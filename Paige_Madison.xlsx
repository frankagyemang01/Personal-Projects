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igemadison/Desktop/"/>
    </mc:Choice>
  </mc:AlternateContent>
  <xr:revisionPtr revIDLastSave="0" documentId="8_{071797BC-B762-714D-AFAC-11423940233B}" xr6:coauthVersionLast="47" xr6:coauthVersionMax="47" xr10:uidLastSave="{00000000-0000-0000-0000-000000000000}"/>
  <bookViews>
    <workbookView xWindow="6620" yWindow="500" windowWidth="21180" windowHeight="15960" xr2:uid="{947A087A-9A04-3646-9C67-1FBD979ABB06}"/>
  </bookViews>
  <sheets>
    <sheet name="Cornboard Final Data" sheetId="6" r:id="rId1"/>
    <sheet name="Performance" sheetId="3" r:id="rId2"/>
    <sheet name="Final Performance" sheetId="4" r:id="rId3"/>
    <sheet name="Livers 2 Important" sheetId="5" r:id="rId4"/>
    <sheet name="Assign" sheetId="2" r:id="rId5"/>
  </sheets>
  <externalReferences>
    <externalReference r:id="rId6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88" i="4" l="1"/>
  <c r="T388" i="4"/>
  <c r="S388" i="4"/>
  <c r="R388" i="4"/>
  <c r="Q388" i="4"/>
  <c r="O388" i="4"/>
  <c r="N388" i="4"/>
  <c r="M388" i="4"/>
  <c r="P388" i="4" s="1"/>
  <c r="L388" i="4"/>
  <c r="I388" i="4"/>
  <c r="F388" i="4"/>
  <c r="G388" i="4" s="1"/>
  <c r="E388" i="4"/>
  <c r="B388" i="4"/>
  <c r="T387" i="4"/>
  <c r="S387" i="4"/>
  <c r="R387" i="4"/>
  <c r="Q387" i="4"/>
  <c r="O387" i="4"/>
  <c r="N387" i="4"/>
  <c r="M387" i="4"/>
  <c r="L387" i="4"/>
  <c r="I387" i="4"/>
  <c r="G387" i="4"/>
  <c r="F387" i="4"/>
  <c r="E387" i="4"/>
  <c r="B387" i="4"/>
  <c r="U386" i="4"/>
  <c r="T386" i="4"/>
  <c r="S386" i="4"/>
  <c r="R386" i="4"/>
  <c r="Q386" i="4"/>
  <c r="O386" i="4"/>
  <c r="M386" i="4"/>
  <c r="L386" i="4"/>
  <c r="N386" i="4" s="1"/>
  <c r="I386" i="4"/>
  <c r="G386" i="4"/>
  <c r="H386" i="4" s="1"/>
  <c r="F386" i="4"/>
  <c r="E386" i="4"/>
  <c r="B386" i="4"/>
  <c r="U385" i="4"/>
  <c r="T385" i="4"/>
  <c r="S385" i="4"/>
  <c r="R385" i="4"/>
  <c r="Q385" i="4"/>
  <c r="O385" i="4"/>
  <c r="N385" i="4"/>
  <c r="M385" i="4"/>
  <c r="L385" i="4"/>
  <c r="I385" i="4"/>
  <c r="G385" i="4"/>
  <c r="F385" i="4"/>
  <c r="E385" i="4"/>
  <c r="B385" i="4"/>
  <c r="U384" i="4"/>
  <c r="T384" i="4"/>
  <c r="S384" i="4"/>
  <c r="R384" i="4"/>
  <c r="Q384" i="4"/>
  <c r="O384" i="4"/>
  <c r="N384" i="4"/>
  <c r="M384" i="4"/>
  <c r="P384" i="4" s="1"/>
  <c r="L384" i="4"/>
  <c r="I384" i="4"/>
  <c r="G384" i="4"/>
  <c r="H384" i="4" s="1"/>
  <c r="F384" i="4"/>
  <c r="E384" i="4"/>
  <c r="B384" i="4"/>
  <c r="T383" i="4"/>
  <c r="S383" i="4"/>
  <c r="R383" i="4"/>
  <c r="N383" i="4"/>
  <c r="L383" i="4"/>
  <c r="Q383" i="4" s="1"/>
  <c r="J383" i="4"/>
  <c r="K383" i="4" s="1"/>
  <c r="I383" i="4"/>
  <c r="F383" i="4"/>
  <c r="G383" i="4" s="1"/>
  <c r="H383" i="4" s="1"/>
  <c r="E383" i="4"/>
  <c r="B383" i="4"/>
  <c r="U382" i="4"/>
  <c r="T382" i="4"/>
  <c r="S382" i="4"/>
  <c r="R382" i="4"/>
  <c r="L382" i="4"/>
  <c r="I382" i="4"/>
  <c r="H382" i="4"/>
  <c r="F382" i="4"/>
  <c r="G382" i="4" s="1"/>
  <c r="E382" i="4"/>
  <c r="B382" i="4"/>
  <c r="U381" i="4"/>
  <c r="T381" i="4"/>
  <c r="S381" i="4"/>
  <c r="R381" i="4"/>
  <c r="N381" i="4"/>
  <c r="L381" i="4"/>
  <c r="Q381" i="4" s="1"/>
  <c r="I381" i="4"/>
  <c r="F381" i="4"/>
  <c r="G381" i="4" s="1"/>
  <c r="E381" i="4"/>
  <c r="B381" i="4"/>
  <c r="U380" i="4"/>
  <c r="T380" i="4"/>
  <c r="S380" i="4"/>
  <c r="R380" i="4"/>
  <c r="L380" i="4"/>
  <c r="I380" i="4"/>
  <c r="F380" i="4"/>
  <c r="G380" i="4" s="1"/>
  <c r="J380" i="4" s="1"/>
  <c r="K380" i="4" s="1"/>
  <c r="E380" i="4"/>
  <c r="B380" i="4"/>
  <c r="U379" i="4"/>
  <c r="R379" i="4"/>
  <c r="L379" i="4"/>
  <c r="I379" i="4"/>
  <c r="F379" i="4"/>
  <c r="G379" i="4" s="1"/>
  <c r="E379" i="4"/>
  <c r="B379" i="4"/>
  <c r="U378" i="4"/>
  <c r="T378" i="4"/>
  <c r="S378" i="4"/>
  <c r="R378" i="4"/>
  <c r="N378" i="4"/>
  <c r="L378" i="4"/>
  <c r="Q378" i="4" s="1"/>
  <c r="I378" i="4"/>
  <c r="F378" i="4"/>
  <c r="G378" i="4" s="1"/>
  <c r="H378" i="4" s="1"/>
  <c r="E378" i="4"/>
  <c r="B378" i="4"/>
  <c r="U377" i="4"/>
  <c r="T377" i="4"/>
  <c r="S377" i="4"/>
  <c r="R377" i="4"/>
  <c r="L377" i="4"/>
  <c r="I377" i="4"/>
  <c r="F377" i="4"/>
  <c r="G377" i="4" s="1"/>
  <c r="E377" i="4"/>
  <c r="B377" i="4"/>
  <c r="N376" i="4"/>
  <c r="L376" i="4"/>
  <c r="Q376" i="4" s="1"/>
  <c r="J376" i="4"/>
  <c r="K376" i="4" s="1"/>
  <c r="I376" i="4"/>
  <c r="F376" i="4"/>
  <c r="G376" i="4" s="1"/>
  <c r="H376" i="4" s="1"/>
  <c r="E376" i="4"/>
  <c r="B376" i="4"/>
  <c r="U375" i="4"/>
  <c r="T375" i="4"/>
  <c r="S375" i="4"/>
  <c r="R375" i="4"/>
  <c r="L375" i="4"/>
  <c r="I375" i="4"/>
  <c r="F375" i="4"/>
  <c r="G375" i="4" s="1"/>
  <c r="E375" i="4"/>
  <c r="B375" i="4"/>
  <c r="U374" i="4"/>
  <c r="T374" i="4"/>
  <c r="S374" i="4"/>
  <c r="R374" i="4"/>
  <c r="N374" i="4"/>
  <c r="L374" i="4"/>
  <c r="Q374" i="4" s="1"/>
  <c r="I374" i="4"/>
  <c r="F374" i="4"/>
  <c r="G374" i="4" s="1"/>
  <c r="H374" i="4" s="1"/>
  <c r="E374" i="4"/>
  <c r="B374" i="4"/>
  <c r="U373" i="4"/>
  <c r="T373" i="4"/>
  <c r="S373" i="4"/>
  <c r="R373" i="4"/>
  <c r="L373" i="4"/>
  <c r="I373" i="4"/>
  <c r="F373" i="4"/>
  <c r="G373" i="4" s="1"/>
  <c r="E373" i="4"/>
  <c r="B373" i="4"/>
  <c r="U372" i="4"/>
  <c r="T372" i="4"/>
  <c r="S372" i="4"/>
  <c r="R372" i="4"/>
  <c r="N372" i="4"/>
  <c r="L372" i="4"/>
  <c r="Q372" i="4" s="1"/>
  <c r="J372" i="4"/>
  <c r="K372" i="4" s="1"/>
  <c r="I372" i="4"/>
  <c r="F372" i="4"/>
  <c r="G372" i="4" s="1"/>
  <c r="H372" i="4" s="1"/>
  <c r="E372" i="4"/>
  <c r="B372" i="4"/>
  <c r="U371" i="4"/>
  <c r="Q371" i="4"/>
  <c r="O371" i="4"/>
  <c r="N371" i="4"/>
  <c r="M371" i="4"/>
  <c r="P371" i="4" s="1"/>
  <c r="L371" i="4"/>
  <c r="I371" i="4"/>
  <c r="G371" i="4"/>
  <c r="H371" i="4" s="1"/>
  <c r="F371" i="4"/>
  <c r="E371" i="4"/>
  <c r="B371" i="4"/>
  <c r="Q370" i="4"/>
  <c r="O370" i="4"/>
  <c r="M370" i="4"/>
  <c r="L370" i="4"/>
  <c r="N370" i="4" s="1"/>
  <c r="I370" i="4"/>
  <c r="G370" i="4"/>
  <c r="F370" i="4"/>
  <c r="E370" i="4"/>
  <c r="B370" i="4"/>
  <c r="U369" i="4"/>
  <c r="T369" i="4"/>
  <c r="S369" i="4"/>
  <c r="R369" i="4"/>
  <c r="Q369" i="4"/>
  <c r="O369" i="4"/>
  <c r="N369" i="4"/>
  <c r="M369" i="4"/>
  <c r="P369" i="4" s="1"/>
  <c r="L369" i="4"/>
  <c r="I369" i="4"/>
  <c r="G369" i="4"/>
  <c r="H369" i="4" s="1"/>
  <c r="F369" i="4"/>
  <c r="E369" i="4"/>
  <c r="B369" i="4"/>
  <c r="T368" i="4"/>
  <c r="S368" i="4"/>
  <c r="R368" i="4"/>
  <c r="N368" i="4"/>
  <c r="L368" i="4"/>
  <c r="Q368" i="4" s="1"/>
  <c r="J368" i="4"/>
  <c r="K368" i="4" s="1"/>
  <c r="I368" i="4"/>
  <c r="F368" i="4"/>
  <c r="G368" i="4" s="1"/>
  <c r="H368" i="4" s="1"/>
  <c r="E368" i="4"/>
  <c r="B368" i="4"/>
  <c r="U367" i="4"/>
  <c r="T367" i="4"/>
  <c r="S367" i="4"/>
  <c r="R367" i="4"/>
  <c r="L367" i="4"/>
  <c r="I367" i="4"/>
  <c r="H367" i="4"/>
  <c r="F367" i="4"/>
  <c r="G367" i="4" s="1"/>
  <c r="E367" i="4"/>
  <c r="B367" i="4"/>
  <c r="U366" i="4"/>
  <c r="T366" i="4"/>
  <c r="S366" i="4"/>
  <c r="R366" i="4"/>
  <c r="N366" i="4"/>
  <c r="L366" i="4"/>
  <c r="Q366" i="4" s="1"/>
  <c r="I366" i="4"/>
  <c r="F366" i="4"/>
  <c r="G366" i="4" s="1"/>
  <c r="E366" i="4"/>
  <c r="B366" i="4"/>
  <c r="U365" i="4"/>
  <c r="T365" i="4"/>
  <c r="S365" i="4"/>
  <c r="R365" i="4"/>
  <c r="L365" i="4"/>
  <c r="I365" i="4"/>
  <c r="F365" i="4"/>
  <c r="G365" i="4" s="1"/>
  <c r="J365" i="4" s="1"/>
  <c r="K365" i="4" s="1"/>
  <c r="E365" i="4"/>
  <c r="B365" i="4"/>
  <c r="U364" i="4"/>
  <c r="T364" i="4"/>
  <c r="S364" i="4"/>
  <c r="R364" i="4"/>
  <c r="L364" i="4"/>
  <c r="I364" i="4"/>
  <c r="F364" i="4"/>
  <c r="G364" i="4" s="1"/>
  <c r="E364" i="4"/>
  <c r="B364" i="4"/>
  <c r="U363" i="4"/>
  <c r="T363" i="4"/>
  <c r="S363" i="4"/>
  <c r="R363" i="4"/>
  <c r="N363" i="4"/>
  <c r="L363" i="4"/>
  <c r="I363" i="4"/>
  <c r="H363" i="4"/>
  <c r="F363" i="4"/>
  <c r="G363" i="4" s="1"/>
  <c r="E363" i="4"/>
  <c r="B363" i="4"/>
  <c r="J363" i="4" s="1"/>
  <c r="K363" i="4" s="1"/>
  <c r="U362" i="4"/>
  <c r="T362" i="4"/>
  <c r="S362" i="4"/>
  <c r="R362" i="4"/>
  <c r="L362" i="4"/>
  <c r="I362" i="4"/>
  <c r="G362" i="4"/>
  <c r="F362" i="4"/>
  <c r="E362" i="4"/>
  <c r="B362" i="4"/>
  <c r="U361" i="4"/>
  <c r="T361" i="4"/>
  <c r="S361" i="4"/>
  <c r="R361" i="4"/>
  <c r="Q361" i="4"/>
  <c r="L361" i="4"/>
  <c r="I361" i="4"/>
  <c r="F361" i="4"/>
  <c r="G361" i="4" s="1"/>
  <c r="E361" i="4"/>
  <c r="B361" i="4"/>
  <c r="U360" i="4"/>
  <c r="T360" i="4"/>
  <c r="S360" i="4"/>
  <c r="R360" i="4"/>
  <c r="O360" i="4"/>
  <c r="L360" i="4"/>
  <c r="I360" i="4"/>
  <c r="F360" i="4"/>
  <c r="G360" i="4" s="1"/>
  <c r="H360" i="4" s="1"/>
  <c r="E360" i="4"/>
  <c r="B360" i="4"/>
  <c r="U359" i="4"/>
  <c r="T359" i="4"/>
  <c r="S359" i="4"/>
  <c r="R359" i="4"/>
  <c r="M359" i="4"/>
  <c r="L359" i="4"/>
  <c r="O359" i="4" s="1"/>
  <c r="J359" i="4"/>
  <c r="K359" i="4" s="1"/>
  <c r="I359" i="4"/>
  <c r="F359" i="4"/>
  <c r="G359" i="4" s="1"/>
  <c r="H359" i="4" s="1"/>
  <c r="E359" i="4"/>
  <c r="B359" i="4"/>
  <c r="U358" i="4"/>
  <c r="T358" i="4"/>
  <c r="S358" i="4"/>
  <c r="R358" i="4"/>
  <c r="O358" i="4"/>
  <c r="N358" i="4"/>
  <c r="L358" i="4"/>
  <c r="I358" i="4"/>
  <c r="F358" i="4"/>
  <c r="G358" i="4" s="1"/>
  <c r="E358" i="4"/>
  <c r="B358" i="4"/>
  <c r="U357" i="4"/>
  <c r="T357" i="4"/>
  <c r="S357" i="4"/>
  <c r="R357" i="4"/>
  <c r="N357" i="4"/>
  <c r="L357" i="4"/>
  <c r="O357" i="4" s="1"/>
  <c r="I357" i="4"/>
  <c r="F357" i="4"/>
  <c r="G357" i="4" s="1"/>
  <c r="E357" i="4"/>
  <c r="B357" i="4"/>
  <c r="U356" i="4"/>
  <c r="T356" i="4"/>
  <c r="S356" i="4"/>
  <c r="R356" i="4"/>
  <c r="L356" i="4"/>
  <c r="I356" i="4"/>
  <c r="H356" i="4"/>
  <c r="F356" i="4"/>
  <c r="G356" i="4" s="1"/>
  <c r="J356" i="4" s="1"/>
  <c r="K356" i="4" s="1"/>
  <c r="E356" i="4"/>
  <c r="B356" i="4"/>
  <c r="U355" i="4"/>
  <c r="T355" i="4"/>
  <c r="S355" i="4"/>
  <c r="R355" i="4"/>
  <c r="N355" i="4"/>
  <c r="M355" i="4"/>
  <c r="P355" i="4" s="1"/>
  <c r="L355" i="4"/>
  <c r="O355" i="4" s="1"/>
  <c r="I355" i="4"/>
  <c r="H355" i="4"/>
  <c r="F355" i="4"/>
  <c r="G355" i="4" s="1"/>
  <c r="E355" i="4"/>
  <c r="B355" i="4"/>
  <c r="J355" i="4" s="1"/>
  <c r="K355" i="4" s="1"/>
  <c r="U354" i="4"/>
  <c r="T354" i="4"/>
  <c r="S354" i="4"/>
  <c r="R354" i="4"/>
  <c r="L354" i="4"/>
  <c r="I354" i="4"/>
  <c r="G354" i="4"/>
  <c r="F354" i="4"/>
  <c r="E354" i="4"/>
  <c r="B354" i="4"/>
  <c r="U353" i="4"/>
  <c r="T353" i="4"/>
  <c r="S353" i="4"/>
  <c r="R353" i="4"/>
  <c r="Q353" i="4"/>
  <c r="L353" i="4"/>
  <c r="I353" i="4"/>
  <c r="F353" i="4"/>
  <c r="G353" i="4" s="1"/>
  <c r="E353" i="4"/>
  <c r="B353" i="4"/>
  <c r="U352" i="4"/>
  <c r="L352" i="4"/>
  <c r="I352" i="4"/>
  <c r="G352" i="4"/>
  <c r="F352" i="4"/>
  <c r="E352" i="4"/>
  <c r="B352" i="4"/>
  <c r="U351" i="4"/>
  <c r="T351" i="4"/>
  <c r="S351" i="4"/>
  <c r="R351" i="4"/>
  <c r="Q351" i="4"/>
  <c r="L351" i="4"/>
  <c r="I351" i="4"/>
  <c r="F351" i="4"/>
  <c r="G351" i="4" s="1"/>
  <c r="J351" i="4" s="1"/>
  <c r="K351" i="4" s="1"/>
  <c r="E351" i="4"/>
  <c r="B351" i="4"/>
  <c r="U350" i="4"/>
  <c r="T350" i="4"/>
  <c r="S350" i="4"/>
  <c r="R350" i="4"/>
  <c r="O350" i="4"/>
  <c r="N350" i="4"/>
  <c r="L350" i="4"/>
  <c r="Q350" i="4" s="1"/>
  <c r="I350" i="4"/>
  <c r="F350" i="4"/>
  <c r="G350" i="4" s="1"/>
  <c r="H350" i="4" s="1"/>
  <c r="E350" i="4"/>
  <c r="B350" i="4"/>
  <c r="U349" i="4"/>
  <c r="T349" i="4"/>
  <c r="S349" i="4"/>
  <c r="R349" i="4"/>
  <c r="L349" i="4"/>
  <c r="I349" i="4"/>
  <c r="H349" i="4"/>
  <c r="F349" i="4"/>
  <c r="G349" i="4" s="1"/>
  <c r="J349" i="4" s="1"/>
  <c r="K349" i="4" s="1"/>
  <c r="E349" i="4"/>
  <c r="B349" i="4"/>
  <c r="U348" i="4"/>
  <c r="T348" i="4"/>
  <c r="S348" i="4"/>
  <c r="R348" i="4"/>
  <c r="O348" i="4"/>
  <c r="N348" i="4"/>
  <c r="L348" i="4"/>
  <c r="Q348" i="4" s="1"/>
  <c r="I348" i="4"/>
  <c r="F348" i="4"/>
  <c r="G348" i="4" s="1"/>
  <c r="H348" i="4" s="1"/>
  <c r="E348" i="4"/>
  <c r="B348" i="4"/>
  <c r="U347" i="4"/>
  <c r="Q347" i="4"/>
  <c r="O347" i="4"/>
  <c r="N347" i="4"/>
  <c r="M347" i="4"/>
  <c r="P347" i="4" s="1"/>
  <c r="L347" i="4"/>
  <c r="I347" i="4"/>
  <c r="F347" i="4"/>
  <c r="G347" i="4" s="1"/>
  <c r="E347" i="4"/>
  <c r="B347" i="4"/>
  <c r="U346" i="4"/>
  <c r="T346" i="4"/>
  <c r="S346" i="4"/>
  <c r="R346" i="4"/>
  <c r="O346" i="4"/>
  <c r="L346" i="4"/>
  <c r="N346" i="4" s="1"/>
  <c r="I346" i="4"/>
  <c r="G346" i="4"/>
  <c r="F346" i="4"/>
  <c r="E346" i="4"/>
  <c r="B346" i="4"/>
  <c r="U345" i="4"/>
  <c r="T345" i="4"/>
  <c r="S345" i="4"/>
  <c r="R345" i="4"/>
  <c r="Q345" i="4"/>
  <c r="O345" i="4"/>
  <c r="N345" i="4"/>
  <c r="M345" i="4"/>
  <c r="P345" i="4" s="1"/>
  <c r="L345" i="4"/>
  <c r="I345" i="4"/>
  <c r="F345" i="4"/>
  <c r="G345" i="4" s="1"/>
  <c r="E345" i="4"/>
  <c r="B345" i="4"/>
  <c r="U344" i="4"/>
  <c r="T344" i="4"/>
  <c r="S344" i="4"/>
  <c r="R344" i="4"/>
  <c r="O344" i="4"/>
  <c r="L344" i="4"/>
  <c r="N344" i="4" s="1"/>
  <c r="I344" i="4"/>
  <c r="G344" i="4"/>
  <c r="F344" i="4"/>
  <c r="E344" i="4"/>
  <c r="B344" i="4"/>
  <c r="U343" i="4"/>
  <c r="T343" i="4"/>
  <c r="S343" i="4"/>
  <c r="R343" i="4"/>
  <c r="Q343" i="4"/>
  <c r="O343" i="4"/>
  <c r="N343" i="4"/>
  <c r="M343" i="4"/>
  <c r="P343" i="4" s="1"/>
  <c r="L343" i="4"/>
  <c r="I343" i="4"/>
  <c r="F343" i="4"/>
  <c r="G343" i="4" s="1"/>
  <c r="E343" i="4"/>
  <c r="B343" i="4"/>
  <c r="U342" i="4"/>
  <c r="T342" i="4"/>
  <c r="S342" i="4"/>
  <c r="R342" i="4"/>
  <c r="O342" i="4"/>
  <c r="L342" i="4"/>
  <c r="N342" i="4" s="1"/>
  <c r="I342" i="4"/>
  <c r="G342" i="4"/>
  <c r="F342" i="4"/>
  <c r="E342" i="4"/>
  <c r="B342" i="4"/>
  <c r="U341" i="4"/>
  <c r="T341" i="4"/>
  <c r="S341" i="4"/>
  <c r="R341" i="4"/>
  <c r="Q341" i="4"/>
  <c r="O341" i="4"/>
  <c r="N341" i="4"/>
  <c r="M341" i="4"/>
  <c r="P341" i="4" s="1"/>
  <c r="L341" i="4"/>
  <c r="I341" i="4"/>
  <c r="F341" i="4"/>
  <c r="G341" i="4" s="1"/>
  <c r="E341" i="4"/>
  <c r="B341" i="4"/>
  <c r="O340" i="4"/>
  <c r="L340" i="4"/>
  <c r="N340" i="4" s="1"/>
  <c r="I340" i="4"/>
  <c r="G340" i="4"/>
  <c r="F340" i="4"/>
  <c r="E340" i="4"/>
  <c r="B340" i="4"/>
  <c r="U339" i="4"/>
  <c r="T339" i="4"/>
  <c r="S339" i="4"/>
  <c r="R339" i="4"/>
  <c r="Q339" i="4"/>
  <c r="O339" i="4"/>
  <c r="N339" i="4"/>
  <c r="M339" i="4"/>
  <c r="P339" i="4" s="1"/>
  <c r="L339" i="4"/>
  <c r="I339" i="4"/>
  <c r="G339" i="4"/>
  <c r="H339" i="4" s="1"/>
  <c r="F339" i="4"/>
  <c r="E339" i="4"/>
  <c r="B339" i="4"/>
  <c r="U338" i="4"/>
  <c r="T338" i="4"/>
  <c r="S338" i="4"/>
  <c r="R338" i="4"/>
  <c r="O338" i="4"/>
  <c r="M338" i="4"/>
  <c r="P338" i="4" s="1"/>
  <c r="L338" i="4"/>
  <c r="N338" i="4" s="1"/>
  <c r="I338" i="4"/>
  <c r="G338" i="4"/>
  <c r="F338" i="4"/>
  <c r="E338" i="4"/>
  <c r="B338" i="4"/>
  <c r="T337" i="4"/>
  <c r="S337" i="4"/>
  <c r="R337" i="4"/>
  <c r="L337" i="4"/>
  <c r="I337" i="4"/>
  <c r="H337" i="4"/>
  <c r="F337" i="4"/>
  <c r="G337" i="4" s="1"/>
  <c r="E337" i="4"/>
  <c r="B337" i="4"/>
  <c r="U336" i="4"/>
  <c r="T336" i="4"/>
  <c r="S336" i="4"/>
  <c r="R336" i="4"/>
  <c r="O336" i="4"/>
  <c r="N336" i="4"/>
  <c r="L336" i="4"/>
  <c r="Q336" i="4" s="1"/>
  <c r="J336" i="4"/>
  <c r="K336" i="4" s="1"/>
  <c r="I336" i="4"/>
  <c r="F336" i="4"/>
  <c r="G336" i="4" s="1"/>
  <c r="H336" i="4" s="1"/>
  <c r="E336" i="4"/>
  <c r="B336" i="4"/>
  <c r="U335" i="4"/>
  <c r="T335" i="4"/>
  <c r="S335" i="4"/>
  <c r="R335" i="4"/>
  <c r="L335" i="4"/>
  <c r="I335" i="4"/>
  <c r="F335" i="4"/>
  <c r="G335" i="4" s="1"/>
  <c r="J335" i="4" s="1"/>
  <c r="K335" i="4" s="1"/>
  <c r="E335" i="4"/>
  <c r="B335" i="4"/>
  <c r="U334" i="4"/>
  <c r="T334" i="4"/>
  <c r="S334" i="4"/>
  <c r="R334" i="4"/>
  <c r="O334" i="4"/>
  <c r="N334" i="4"/>
  <c r="L334" i="4"/>
  <c r="Q334" i="4" s="1"/>
  <c r="I334" i="4"/>
  <c r="F334" i="4"/>
  <c r="G334" i="4" s="1"/>
  <c r="H334" i="4" s="1"/>
  <c r="E334" i="4"/>
  <c r="B334" i="4"/>
  <c r="U333" i="4"/>
  <c r="T333" i="4"/>
  <c r="S333" i="4"/>
  <c r="R333" i="4"/>
  <c r="L333" i="4"/>
  <c r="I333" i="4"/>
  <c r="H333" i="4"/>
  <c r="F333" i="4"/>
  <c r="G333" i="4" s="1"/>
  <c r="J333" i="4" s="1"/>
  <c r="K333" i="4" s="1"/>
  <c r="E333" i="4"/>
  <c r="B333" i="4"/>
  <c r="U332" i="4"/>
  <c r="T332" i="4"/>
  <c r="S332" i="4"/>
  <c r="R332" i="4"/>
  <c r="O332" i="4"/>
  <c r="N332" i="4"/>
  <c r="L332" i="4"/>
  <c r="Q332" i="4" s="1"/>
  <c r="I332" i="4"/>
  <c r="F332" i="4"/>
  <c r="G332" i="4" s="1"/>
  <c r="H332" i="4" s="1"/>
  <c r="E332" i="4"/>
  <c r="B332" i="4"/>
  <c r="L331" i="4"/>
  <c r="I331" i="4"/>
  <c r="F331" i="4"/>
  <c r="G331" i="4" s="1"/>
  <c r="E331" i="4"/>
  <c r="B331" i="4"/>
  <c r="U330" i="4"/>
  <c r="T330" i="4"/>
  <c r="S330" i="4"/>
  <c r="R330" i="4"/>
  <c r="O330" i="4"/>
  <c r="N330" i="4"/>
  <c r="L330" i="4"/>
  <c r="Q330" i="4" s="1"/>
  <c r="J330" i="4"/>
  <c r="K330" i="4" s="1"/>
  <c r="I330" i="4"/>
  <c r="F330" i="4"/>
  <c r="G330" i="4" s="1"/>
  <c r="H330" i="4" s="1"/>
  <c r="E330" i="4"/>
  <c r="B330" i="4"/>
  <c r="U329" i="4"/>
  <c r="T329" i="4"/>
  <c r="S329" i="4"/>
  <c r="R329" i="4"/>
  <c r="L329" i="4"/>
  <c r="I329" i="4"/>
  <c r="H329" i="4"/>
  <c r="F329" i="4"/>
  <c r="G329" i="4" s="1"/>
  <c r="E329" i="4"/>
  <c r="B329" i="4"/>
  <c r="U328" i="4"/>
  <c r="T328" i="4"/>
  <c r="S328" i="4"/>
  <c r="R328" i="4"/>
  <c r="O328" i="4"/>
  <c r="N328" i="4"/>
  <c r="L328" i="4"/>
  <c r="Q328" i="4" s="1"/>
  <c r="J328" i="4"/>
  <c r="K328" i="4" s="1"/>
  <c r="I328" i="4"/>
  <c r="F328" i="4"/>
  <c r="G328" i="4" s="1"/>
  <c r="H328" i="4" s="1"/>
  <c r="E328" i="4"/>
  <c r="B328" i="4"/>
  <c r="U327" i="4"/>
  <c r="T327" i="4"/>
  <c r="S327" i="4"/>
  <c r="R327" i="4"/>
  <c r="L327" i="4"/>
  <c r="I327" i="4"/>
  <c r="F327" i="4"/>
  <c r="G327" i="4" s="1"/>
  <c r="J327" i="4" s="1"/>
  <c r="K327" i="4" s="1"/>
  <c r="E327" i="4"/>
  <c r="B327" i="4"/>
  <c r="U326" i="4"/>
  <c r="T326" i="4"/>
  <c r="S326" i="4"/>
  <c r="R326" i="4"/>
  <c r="O326" i="4"/>
  <c r="N326" i="4"/>
  <c r="L326" i="4"/>
  <c r="Q326" i="4" s="1"/>
  <c r="I326" i="4"/>
  <c r="F326" i="4"/>
  <c r="G326" i="4" s="1"/>
  <c r="H326" i="4" s="1"/>
  <c r="E326" i="4"/>
  <c r="B326" i="4"/>
  <c r="T325" i="4"/>
  <c r="S325" i="4"/>
  <c r="R325" i="4"/>
  <c r="O325" i="4"/>
  <c r="L325" i="4"/>
  <c r="N325" i="4" s="1"/>
  <c r="I325" i="4"/>
  <c r="G325" i="4"/>
  <c r="F325" i="4"/>
  <c r="E325" i="4"/>
  <c r="B325" i="4"/>
  <c r="U324" i="4"/>
  <c r="T324" i="4"/>
  <c r="S324" i="4"/>
  <c r="R324" i="4"/>
  <c r="Q324" i="4"/>
  <c r="O324" i="4"/>
  <c r="N324" i="4"/>
  <c r="M324" i="4"/>
  <c r="P324" i="4" s="1"/>
  <c r="L324" i="4"/>
  <c r="I324" i="4"/>
  <c r="F324" i="4"/>
  <c r="G324" i="4" s="1"/>
  <c r="E324" i="4"/>
  <c r="B324" i="4"/>
  <c r="T323" i="4"/>
  <c r="S323" i="4"/>
  <c r="R323" i="4"/>
  <c r="O323" i="4"/>
  <c r="N323" i="4"/>
  <c r="L323" i="4"/>
  <c r="Q323" i="4" s="1"/>
  <c r="I323" i="4"/>
  <c r="F323" i="4"/>
  <c r="G323" i="4" s="1"/>
  <c r="H323" i="4" s="1"/>
  <c r="E323" i="4"/>
  <c r="B323" i="4"/>
  <c r="U322" i="4"/>
  <c r="T322" i="4"/>
  <c r="S322" i="4"/>
  <c r="R322" i="4"/>
  <c r="L322" i="4"/>
  <c r="I322" i="4"/>
  <c r="F322" i="4"/>
  <c r="G322" i="4" s="1"/>
  <c r="E322" i="4"/>
  <c r="B322" i="4"/>
  <c r="T321" i="4"/>
  <c r="S321" i="4"/>
  <c r="R321" i="4"/>
  <c r="Q321" i="4"/>
  <c r="O321" i="4"/>
  <c r="N321" i="4"/>
  <c r="M321" i="4"/>
  <c r="P321" i="4" s="1"/>
  <c r="L321" i="4"/>
  <c r="I321" i="4"/>
  <c r="G321" i="4"/>
  <c r="H321" i="4" s="1"/>
  <c r="F321" i="4"/>
  <c r="E321" i="4"/>
  <c r="B321" i="4"/>
  <c r="U320" i="4"/>
  <c r="T320" i="4"/>
  <c r="S320" i="4"/>
  <c r="R320" i="4"/>
  <c r="L320" i="4"/>
  <c r="N320" i="4" s="1"/>
  <c r="I320" i="4"/>
  <c r="G320" i="4"/>
  <c r="J320" i="4" s="1"/>
  <c r="K320" i="4" s="1"/>
  <c r="F320" i="4"/>
  <c r="E320" i="4"/>
  <c r="B320" i="4"/>
  <c r="U319" i="4"/>
  <c r="T319" i="4"/>
  <c r="S319" i="4"/>
  <c r="R319" i="4"/>
  <c r="Q319" i="4"/>
  <c r="O319" i="4"/>
  <c r="N319" i="4"/>
  <c r="M319" i="4"/>
  <c r="L319" i="4"/>
  <c r="I319" i="4"/>
  <c r="G319" i="4"/>
  <c r="H319" i="4" s="1"/>
  <c r="F319" i="4"/>
  <c r="E319" i="4"/>
  <c r="B319" i="4"/>
  <c r="U318" i="4"/>
  <c r="T318" i="4"/>
  <c r="S318" i="4"/>
  <c r="R318" i="4"/>
  <c r="L318" i="4"/>
  <c r="N318" i="4" s="1"/>
  <c r="I318" i="4"/>
  <c r="G318" i="4"/>
  <c r="J318" i="4" s="1"/>
  <c r="K318" i="4" s="1"/>
  <c r="F318" i="4"/>
  <c r="E318" i="4"/>
  <c r="B318" i="4"/>
  <c r="U317" i="4"/>
  <c r="T317" i="4"/>
  <c r="S317" i="4"/>
  <c r="R317" i="4"/>
  <c r="Q317" i="4"/>
  <c r="O317" i="4"/>
  <c r="N317" i="4"/>
  <c r="M317" i="4"/>
  <c r="L317" i="4"/>
  <c r="I317" i="4"/>
  <c r="G317" i="4"/>
  <c r="H317" i="4" s="1"/>
  <c r="F317" i="4"/>
  <c r="E317" i="4"/>
  <c r="B317" i="4"/>
  <c r="U316" i="4"/>
  <c r="T316" i="4"/>
  <c r="S316" i="4"/>
  <c r="R316" i="4"/>
  <c r="L316" i="4"/>
  <c r="N316" i="4" s="1"/>
  <c r="I316" i="4"/>
  <c r="G316" i="4"/>
  <c r="J316" i="4" s="1"/>
  <c r="K316" i="4" s="1"/>
  <c r="F316" i="4"/>
  <c r="E316" i="4"/>
  <c r="B316" i="4"/>
  <c r="U315" i="4"/>
  <c r="T315" i="4"/>
  <c r="S315" i="4"/>
  <c r="R315" i="4"/>
  <c r="Q315" i="4"/>
  <c r="O315" i="4"/>
  <c r="N315" i="4"/>
  <c r="M315" i="4"/>
  <c r="L315" i="4"/>
  <c r="I315" i="4"/>
  <c r="G315" i="4"/>
  <c r="H315" i="4" s="1"/>
  <c r="F315" i="4"/>
  <c r="E315" i="4"/>
  <c r="B315" i="4"/>
  <c r="U314" i="4"/>
  <c r="T314" i="4"/>
  <c r="S314" i="4"/>
  <c r="R314" i="4"/>
  <c r="L314" i="4"/>
  <c r="N314" i="4" s="1"/>
  <c r="I314" i="4"/>
  <c r="G314" i="4"/>
  <c r="J314" i="4" s="1"/>
  <c r="K314" i="4" s="1"/>
  <c r="F314" i="4"/>
  <c r="E314" i="4"/>
  <c r="B314" i="4"/>
  <c r="U313" i="4"/>
  <c r="T313" i="4"/>
  <c r="S313" i="4"/>
  <c r="R313" i="4"/>
  <c r="Q313" i="4"/>
  <c r="O313" i="4"/>
  <c r="N313" i="4"/>
  <c r="M313" i="4"/>
  <c r="L313" i="4"/>
  <c r="I313" i="4"/>
  <c r="G313" i="4"/>
  <c r="H313" i="4" s="1"/>
  <c r="F313" i="4"/>
  <c r="E313" i="4"/>
  <c r="B313" i="4"/>
  <c r="U312" i="4"/>
  <c r="T312" i="4"/>
  <c r="S312" i="4"/>
  <c r="R312" i="4"/>
  <c r="L312" i="4"/>
  <c r="N312" i="4" s="1"/>
  <c r="I312" i="4"/>
  <c r="G312" i="4"/>
  <c r="J312" i="4" s="1"/>
  <c r="K312" i="4" s="1"/>
  <c r="F312" i="4"/>
  <c r="E312" i="4"/>
  <c r="B312" i="4"/>
  <c r="U311" i="4"/>
  <c r="T311" i="4"/>
  <c r="S311" i="4"/>
  <c r="R311" i="4"/>
  <c r="Q311" i="4"/>
  <c r="O311" i="4"/>
  <c r="N311" i="4"/>
  <c r="M311" i="4"/>
  <c r="L311" i="4"/>
  <c r="I311" i="4"/>
  <c r="G311" i="4"/>
  <c r="H311" i="4" s="1"/>
  <c r="F311" i="4"/>
  <c r="E311" i="4"/>
  <c r="B311" i="4"/>
  <c r="U310" i="4"/>
  <c r="T310" i="4"/>
  <c r="S310" i="4"/>
  <c r="R310" i="4"/>
  <c r="L310" i="4"/>
  <c r="N310" i="4" s="1"/>
  <c r="I310" i="4"/>
  <c r="G310" i="4"/>
  <c r="J310" i="4" s="1"/>
  <c r="K310" i="4" s="1"/>
  <c r="F310" i="4"/>
  <c r="E310" i="4"/>
  <c r="B310" i="4"/>
  <c r="U309" i="4"/>
  <c r="T309" i="4"/>
  <c r="S309" i="4"/>
  <c r="R309" i="4"/>
  <c r="Q309" i="4"/>
  <c r="O309" i="4"/>
  <c r="N309" i="4"/>
  <c r="M309" i="4"/>
  <c r="L309" i="4"/>
  <c r="I309" i="4"/>
  <c r="G309" i="4"/>
  <c r="H309" i="4" s="1"/>
  <c r="F309" i="4"/>
  <c r="E309" i="4"/>
  <c r="B309" i="4"/>
  <c r="U308" i="4"/>
  <c r="T308" i="4"/>
  <c r="S308" i="4"/>
  <c r="R308" i="4"/>
  <c r="L308" i="4"/>
  <c r="N308" i="4" s="1"/>
  <c r="I308" i="4"/>
  <c r="G308" i="4"/>
  <c r="J308" i="4" s="1"/>
  <c r="K308" i="4" s="1"/>
  <c r="F308" i="4"/>
  <c r="E308" i="4"/>
  <c r="B308" i="4"/>
  <c r="U307" i="4"/>
  <c r="T307" i="4"/>
  <c r="S307" i="4"/>
  <c r="R307" i="4"/>
  <c r="Q307" i="4"/>
  <c r="O307" i="4"/>
  <c r="N307" i="4"/>
  <c r="M307" i="4"/>
  <c r="L307" i="4"/>
  <c r="I307" i="4"/>
  <c r="G307" i="4"/>
  <c r="H307" i="4" s="1"/>
  <c r="F307" i="4"/>
  <c r="E307" i="4"/>
  <c r="B307" i="4"/>
  <c r="U306" i="4"/>
  <c r="T306" i="4"/>
  <c r="S306" i="4"/>
  <c r="R306" i="4"/>
  <c r="L306" i="4"/>
  <c r="N306" i="4" s="1"/>
  <c r="I306" i="4"/>
  <c r="G306" i="4"/>
  <c r="J306" i="4" s="1"/>
  <c r="K306" i="4" s="1"/>
  <c r="F306" i="4"/>
  <c r="E306" i="4"/>
  <c r="B306" i="4"/>
  <c r="Q305" i="4"/>
  <c r="O305" i="4"/>
  <c r="N305" i="4"/>
  <c r="M305" i="4"/>
  <c r="L305" i="4"/>
  <c r="I305" i="4"/>
  <c r="G305" i="4"/>
  <c r="H305" i="4" s="1"/>
  <c r="F305" i="4"/>
  <c r="E305" i="4"/>
  <c r="B305" i="4"/>
  <c r="U304" i="4"/>
  <c r="T304" i="4"/>
  <c r="S304" i="4"/>
  <c r="R304" i="4"/>
  <c r="L304" i="4"/>
  <c r="N304" i="4" s="1"/>
  <c r="I304" i="4"/>
  <c r="G304" i="4"/>
  <c r="J304" i="4" s="1"/>
  <c r="K304" i="4" s="1"/>
  <c r="F304" i="4"/>
  <c r="E304" i="4"/>
  <c r="B304" i="4"/>
  <c r="U303" i="4"/>
  <c r="T303" i="4"/>
  <c r="S303" i="4"/>
  <c r="R303" i="4"/>
  <c r="Q303" i="4"/>
  <c r="O303" i="4"/>
  <c r="N303" i="4"/>
  <c r="M303" i="4"/>
  <c r="L303" i="4"/>
  <c r="I303" i="4"/>
  <c r="G303" i="4"/>
  <c r="H303" i="4" s="1"/>
  <c r="F303" i="4"/>
  <c r="E303" i="4"/>
  <c r="B303" i="4"/>
  <c r="U302" i="4"/>
  <c r="T302" i="4"/>
  <c r="S302" i="4"/>
  <c r="R302" i="4"/>
  <c r="L302" i="4"/>
  <c r="N302" i="4" s="1"/>
  <c r="I302" i="4"/>
  <c r="G302" i="4"/>
  <c r="J302" i="4" s="1"/>
  <c r="K302" i="4" s="1"/>
  <c r="F302" i="4"/>
  <c r="E302" i="4"/>
  <c r="B302" i="4"/>
  <c r="U301" i="4"/>
  <c r="T301" i="4"/>
  <c r="S301" i="4"/>
  <c r="R301" i="4"/>
  <c r="Q301" i="4"/>
  <c r="O301" i="4"/>
  <c r="N301" i="4"/>
  <c r="M301" i="4"/>
  <c r="L301" i="4"/>
  <c r="I301" i="4"/>
  <c r="G301" i="4"/>
  <c r="H301" i="4" s="1"/>
  <c r="F301" i="4"/>
  <c r="E301" i="4"/>
  <c r="B301" i="4"/>
  <c r="U300" i="4"/>
  <c r="T300" i="4"/>
  <c r="S300" i="4"/>
  <c r="R300" i="4"/>
  <c r="L300" i="4"/>
  <c r="N300" i="4" s="1"/>
  <c r="I300" i="4"/>
  <c r="G300" i="4"/>
  <c r="J300" i="4" s="1"/>
  <c r="K300" i="4" s="1"/>
  <c r="F300" i="4"/>
  <c r="E300" i="4"/>
  <c r="B300" i="4"/>
  <c r="U299" i="4"/>
  <c r="T299" i="4"/>
  <c r="S299" i="4"/>
  <c r="R299" i="4"/>
  <c r="Q299" i="4"/>
  <c r="O299" i="4"/>
  <c r="N299" i="4"/>
  <c r="M299" i="4"/>
  <c r="L299" i="4"/>
  <c r="I299" i="4"/>
  <c r="G299" i="4"/>
  <c r="H299" i="4" s="1"/>
  <c r="F299" i="4"/>
  <c r="E299" i="4"/>
  <c r="B299" i="4"/>
  <c r="U298" i="4"/>
  <c r="T298" i="4"/>
  <c r="S298" i="4"/>
  <c r="R298" i="4"/>
  <c r="L298" i="4"/>
  <c r="N298" i="4" s="1"/>
  <c r="I298" i="4"/>
  <c r="G298" i="4"/>
  <c r="J298" i="4" s="1"/>
  <c r="K298" i="4" s="1"/>
  <c r="F298" i="4"/>
  <c r="E298" i="4"/>
  <c r="B298" i="4"/>
  <c r="U297" i="4"/>
  <c r="T297" i="4"/>
  <c r="S297" i="4"/>
  <c r="R297" i="4"/>
  <c r="Q297" i="4"/>
  <c r="O297" i="4"/>
  <c r="N297" i="4"/>
  <c r="M297" i="4"/>
  <c r="L297" i="4"/>
  <c r="I297" i="4"/>
  <c r="G297" i="4"/>
  <c r="H297" i="4" s="1"/>
  <c r="F297" i="4"/>
  <c r="E297" i="4"/>
  <c r="B297" i="4"/>
  <c r="U296" i="4"/>
  <c r="T296" i="4"/>
  <c r="S296" i="4"/>
  <c r="R296" i="4"/>
  <c r="L296" i="4"/>
  <c r="N296" i="4" s="1"/>
  <c r="I296" i="4"/>
  <c r="G296" i="4"/>
  <c r="J296" i="4" s="1"/>
  <c r="K296" i="4" s="1"/>
  <c r="F296" i="4"/>
  <c r="E296" i="4"/>
  <c r="B296" i="4"/>
  <c r="U295" i="4"/>
  <c r="T295" i="4"/>
  <c r="S295" i="4"/>
  <c r="R295" i="4"/>
  <c r="Q295" i="4"/>
  <c r="O295" i="4"/>
  <c r="N295" i="4"/>
  <c r="M295" i="4"/>
  <c r="L295" i="4"/>
  <c r="I295" i="4"/>
  <c r="G295" i="4"/>
  <c r="H295" i="4" s="1"/>
  <c r="F295" i="4"/>
  <c r="E295" i="4"/>
  <c r="B295" i="4"/>
  <c r="U294" i="4"/>
  <c r="T294" i="4"/>
  <c r="S294" i="4"/>
  <c r="R294" i="4"/>
  <c r="L294" i="4"/>
  <c r="N294" i="4" s="1"/>
  <c r="I294" i="4"/>
  <c r="G294" i="4"/>
  <c r="J294" i="4" s="1"/>
  <c r="K294" i="4" s="1"/>
  <c r="F294" i="4"/>
  <c r="E294" i="4"/>
  <c r="B294" i="4"/>
  <c r="U293" i="4"/>
  <c r="R293" i="4"/>
  <c r="O293" i="4"/>
  <c r="L293" i="4"/>
  <c r="N293" i="4" s="1"/>
  <c r="I293" i="4"/>
  <c r="G293" i="4"/>
  <c r="J293" i="4" s="1"/>
  <c r="K293" i="4" s="1"/>
  <c r="F293" i="4"/>
  <c r="E293" i="4"/>
  <c r="B293" i="4"/>
  <c r="U292" i="4"/>
  <c r="T292" i="4"/>
  <c r="S292" i="4"/>
  <c r="R292" i="4"/>
  <c r="Q292" i="4"/>
  <c r="O292" i="4"/>
  <c r="N292" i="4"/>
  <c r="M292" i="4"/>
  <c r="L292" i="4"/>
  <c r="I292" i="4"/>
  <c r="F292" i="4"/>
  <c r="G292" i="4" s="1"/>
  <c r="H292" i="4" s="1"/>
  <c r="E292" i="4"/>
  <c r="B292" i="4"/>
  <c r="U291" i="4"/>
  <c r="T291" i="4"/>
  <c r="S291" i="4"/>
  <c r="R291" i="4"/>
  <c r="O291" i="4"/>
  <c r="N291" i="4"/>
  <c r="M291" i="4"/>
  <c r="P291" i="4" s="1"/>
  <c r="L291" i="4"/>
  <c r="Q291" i="4" s="1"/>
  <c r="I291" i="4"/>
  <c r="F291" i="4"/>
  <c r="G291" i="4" s="1"/>
  <c r="E291" i="4"/>
  <c r="B291" i="4"/>
  <c r="U290" i="4"/>
  <c r="T290" i="4"/>
  <c r="S290" i="4"/>
  <c r="R290" i="4"/>
  <c r="N290" i="4"/>
  <c r="L290" i="4"/>
  <c r="Q290" i="4" s="1"/>
  <c r="I290" i="4"/>
  <c r="G290" i="4"/>
  <c r="H290" i="4" s="1"/>
  <c r="F290" i="4"/>
  <c r="E290" i="4"/>
  <c r="B290" i="4"/>
  <c r="U289" i="4"/>
  <c r="T289" i="4"/>
  <c r="S289" i="4"/>
  <c r="R289" i="4"/>
  <c r="Q289" i="4"/>
  <c r="O289" i="4"/>
  <c r="M289" i="4"/>
  <c r="L289" i="4"/>
  <c r="N289" i="4" s="1"/>
  <c r="I289" i="4"/>
  <c r="F289" i="4"/>
  <c r="G289" i="4" s="1"/>
  <c r="E289" i="4"/>
  <c r="B289" i="4"/>
  <c r="U288" i="4"/>
  <c r="T288" i="4"/>
  <c r="S288" i="4"/>
  <c r="R288" i="4"/>
  <c r="L288" i="4"/>
  <c r="O288" i="4" s="1"/>
  <c r="I288" i="4"/>
  <c r="G288" i="4"/>
  <c r="J288" i="4" s="1"/>
  <c r="F288" i="4"/>
  <c r="E288" i="4"/>
  <c r="B288" i="4"/>
  <c r="U287" i="4"/>
  <c r="T287" i="4"/>
  <c r="S287" i="4"/>
  <c r="R287" i="4"/>
  <c r="Q287" i="4"/>
  <c r="O287" i="4"/>
  <c r="N287" i="4"/>
  <c r="M287" i="4"/>
  <c r="P287" i="4" s="1"/>
  <c r="L287" i="4"/>
  <c r="I287" i="4"/>
  <c r="F287" i="4"/>
  <c r="G287" i="4" s="1"/>
  <c r="E287" i="4"/>
  <c r="B287" i="4"/>
  <c r="U286" i="4"/>
  <c r="T286" i="4"/>
  <c r="S286" i="4"/>
  <c r="R286" i="4"/>
  <c r="N286" i="4"/>
  <c r="L286" i="4"/>
  <c r="Q286" i="4" s="1"/>
  <c r="I286" i="4"/>
  <c r="G286" i="4"/>
  <c r="H286" i="4" s="1"/>
  <c r="F286" i="4"/>
  <c r="E286" i="4"/>
  <c r="B286" i="4"/>
  <c r="U285" i="4"/>
  <c r="T285" i="4"/>
  <c r="S285" i="4"/>
  <c r="R285" i="4"/>
  <c r="Q285" i="4"/>
  <c r="O285" i="4"/>
  <c r="M285" i="4"/>
  <c r="L285" i="4"/>
  <c r="N285" i="4" s="1"/>
  <c r="I285" i="4"/>
  <c r="F285" i="4"/>
  <c r="G285" i="4" s="1"/>
  <c r="E285" i="4"/>
  <c r="B285" i="4"/>
  <c r="U284" i="4"/>
  <c r="T284" i="4"/>
  <c r="S284" i="4"/>
  <c r="R284" i="4"/>
  <c r="L284" i="4"/>
  <c r="O284" i="4" s="1"/>
  <c r="I284" i="4"/>
  <c r="G284" i="4"/>
  <c r="J284" i="4" s="1"/>
  <c r="F284" i="4"/>
  <c r="E284" i="4"/>
  <c r="B284" i="4"/>
  <c r="U283" i="4"/>
  <c r="T283" i="4"/>
  <c r="S283" i="4"/>
  <c r="R283" i="4"/>
  <c r="Q283" i="4"/>
  <c r="O283" i="4"/>
  <c r="N283" i="4"/>
  <c r="M283" i="4"/>
  <c r="P283" i="4" s="1"/>
  <c r="L283" i="4"/>
  <c r="I283" i="4"/>
  <c r="F283" i="4"/>
  <c r="G283" i="4" s="1"/>
  <c r="E283" i="4"/>
  <c r="B283" i="4"/>
  <c r="U282" i="4"/>
  <c r="T282" i="4"/>
  <c r="S282" i="4"/>
  <c r="R282" i="4"/>
  <c r="N282" i="4"/>
  <c r="L282" i="4"/>
  <c r="Q282" i="4" s="1"/>
  <c r="I282" i="4"/>
  <c r="G282" i="4"/>
  <c r="H282" i="4" s="1"/>
  <c r="F282" i="4"/>
  <c r="E282" i="4"/>
  <c r="B282" i="4"/>
  <c r="U281" i="4"/>
  <c r="T281" i="4"/>
  <c r="S281" i="4"/>
  <c r="R281" i="4"/>
  <c r="Q281" i="4"/>
  <c r="O281" i="4"/>
  <c r="M281" i="4"/>
  <c r="L281" i="4"/>
  <c r="N281" i="4" s="1"/>
  <c r="J281" i="4"/>
  <c r="I281" i="4"/>
  <c r="F281" i="4"/>
  <c r="G281" i="4" s="1"/>
  <c r="H281" i="4" s="1"/>
  <c r="E281" i="4"/>
  <c r="B281" i="4"/>
  <c r="U280" i="4"/>
  <c r="T280" i="4"/>
  <c r="S280" i="4"/>
  <c r="R280" i="4"/>
  <c r="L280" i="4"/>
  <c r="I280" i="4"/>
  <c r="G280" i="4"/>
  <c r="F280" i="4"/>
  <c r="E280" i="4"/>
  <c r="B280" i="4"/>
  <c r="U279" i="4"/>
  <c r="T279" i="4"/>
  <c r="S279" i="4"/>
  <c r="R279" i="4"/>
  <c r="Q279" i="4"/>
  <c r="O279" i="4"/>
  <c r="N279" i="4"/>
  <c r="M279" i="4"/>
  <c r="L279" i="4"/>
  <c r="J279" i="4"/>
  <c r="I279" i="4"/>
  <c r="F279" i="4"/>
  <c r="G279" i="4" s="1"/>
  <c r="H279" i="4" s="1"/>
  <c r="E279" i="4"/>
  <c r="B279" i="4"/>
  <c r="U278" i="4"/>
  <c r="T278" i="4"/>
  <c r="S278" i="4"/>
  <c r="R278" i="4"/>
  <c r="L278" i="4"/>
  <c r="I278" i="4"/>
  <c r="G278" i="4"/>
  <c r="F278" i="4"/>
  <c r="E278" i="4"/>
  <c r="B278" i="4"/>
  <c r="U277" i="4"/>
  <c r="T277" i="4"/>
  <c r="S277" i="4"/>
  <c r="R277" i="4"/>
  <c r="Q277" i="4"/>
  <c r="O277" i="4"/>
  <c r="M277" i="4"/>
  <c r="P277" i="4" s="1"/>
  <c r="L277" i="4"/>
  <c r="N277" i="4" s="1"/>
  <c r="I277" i="4"/>
  <c r="H277" i="4"/>
  <c r="F277" i="4"/>
  <c r="G277" i="4" s="1"/>
  <c r="J277" i="4" s="1"/>
  <c r="E277" i="4"/>
  <c r="B277" i="4"/>
  <c r="U276" i="4"/>
  <c r="T276" i="4"/>
  <c r="S276" i="4"/>
  <c r="R276" i="4"/>
  <c r="N276" i="4"/>
  <c r="L276" i="4"/>
  <c r="I276" i="4"/>
  <c r="G276" i="4"/>
  <c r="F276" i="4"/>
  <c r="E276" i="4"/>
  <c r="B276" i="4"/>
  <c r="T275" i="4"/>
  <c r="S275" i="4"/>
  <c r="R275" i="4"/>
  <c r="N275" i="4"/>
  <c r="L275" i="4"/>
  <c r="I275" i="4"/>
  <c r="G275" i="4"/>
  <c r="F275" i="4"/>
  <c r="E275" i="4"/>
  <c r="B275" i="4"/>
  <c r="U274" i="4"/>
  <c r="T274" i="4"/>
  <c r="S274" i="4"/>
  <c r="R274" i="4"/>
  <c r="Q274" i="4"/>
  <c r="O274" i="4"/>
  <c r="N274" i="4"/>
  <c r="M274" i="4"/>
  <c r="L274" i="4"/>
  <c r="J274" i="4"/>
  <c r="I274" i="4"/>
  <c r="F274" i="4"/>
  <c r="G274" i="4" s="1"/>
  <c r="H274" i="4" s="1"/>
  <c r="E274" i="4"/>
  <c r="B274" i="4"/>
  <c r="U273" i="4"/>
  <c r="T273" i="4"/>
  <c r="S273" i="4"/>
  <c r="R273" i="4"/>
  <c r="N273" i="4"/>
  <c r="L273" i="4"/>
  <c r="O273" i="4" s="1"/>
  <c r="I273" i="4"/>
  <c r="G273" i="4"/>
  <c r="F273" i="4"/>
  <c r="E273" i="4"/>
  <c r="B273" i="4"/>
  <c r="U272" i="4"/>
  <c r="T272" i="4"/>
  <c r="S272" i="4"/>
  <c r="R272" i="4"/>
  <c r="L272" i="4"/>
  <c r="I272" i="4"/>
  <c r="G272" i="4"/>
  <c r="F272" i="4"/>
  <c r="E272" i="4"/>
  <c r="B272" i="4"/>
  <c r="U271" i="4"/>
  <c r="T271" i="4"/>
  <c r="S271" i="4"/>
  <c r="R271" i="4"/>
  <c r="Q271" i="4"/>
  <c r="L271" i="4"/>
  <c r="I271" i="4"/>
  <c r="G271" i="4"/>
  <c r="J271" i="4" s="1"/>
  <c r="F271" i="4"/>
  <c r="E271" i="4"/>
  <c r="B271" i="4"/>
  <c r="U270" i="4"/>
  <c r="T270" i="4"/>
  <c r="S270" i="4"/>
  <c r="R270" i="4"/>
  <c r="Q270" i="4"/>
  <c r="O270" i="4"/>
  <c r="N270" i="4"/>
  <c r="M270" i="4"/>
  <c r="L270" i="4"/>
  <c r="J270" i="4"/>
  <c r="I270" i="4"/>
  <c r="F270" i="4"/>
  <c r="G270" i="4" s="1"/>
  <c r="H270" i="4" s="1"/>
  <c r="E270" i="4"/>
  <c r="B270" i="4"/>
  <c r="U269" i="4"/>
  <c r="T269" i="4"/>
  <c r="S269" i="4"/>
  <c r="R269" i="4"/>
  <c r="N269" i="4"/>
  <c r="L269" i="4"/>
  <c r="O269" i="4" s="1"/>
  <c r="I269" i="4"/>
  <c r="G269" i="4"/>
  <c r="F269" i="4"/>
  <c r="E269" i="4"/>
  <c r="B269" i="4"/>
  <c r="U268" i="4"/>
  <c r="T268" i="4"/>
  <c r="S268" i="4"/>
  <c r="R268" i="4"/>
  <c r="Q268" i="4"/>
  <c r="L268" i="4"/>
  <c r="I268" i="4"/>
  <c r="G268" i="4"/>
  <c r="F268" i="4"/>
  <c r="E268" i="4"/>
  <c r="B268" i="4"/>
  <c r="U267" i="4"/>
  <c r="T267" i="4"/>
  <c r="S267" i="4"/>
  <c r="R267" i="4"/>
  <c r="L267" i="4"/>
  <c r="I267" i="4"/>
  <c r="G267" i="4"/>
  <c r="J267" i="4" s="1"/>
  <c r="F267" i="4"/>
  <c r="E267" i="4"/>
  <c r="B267" i="4"/>
  <c r="U266" i="4"/>
  <c r="T266" i="4"/>
  <c r="S266" i="4"/>
  <c r="R266" i="4"/>
  <c r="Q266" i="4"/>
  <c r="O266" i="4"/>
  <c r="N266" i="4"/>
  <c r="M266" i="4"/>
  <c r="L266" i="4"/>
  <c r="J266" i="4"/>
  <c r="I266" i="4"/>
  <c r="F266" i="4"/>
  <c r="G266" i="4" s="1"/>
  <c r="H266" i="4" s="1"/>
  <c r="E266" i="4"/>
  <c r="B266" i="4"/>
  <c r="U265" i="4"/>
  <c r="T265" i="4"/>
  <c r="S265" i="4"/>
  <c r="R265" i="4"/>
  <c r="N265" i="4"/>
  <c r="L265" i="4"/>
  <c r="O265" i="4" s="1"/>
  <c r="I265" i="4"/>
  <c r="G265" i="4"/>
  <c r="F265" i="4"/>
  <c r="E265" i="4"/>
  <c r="B265" i="4"/>
  <c r="U264" i="4"/>
  <c r="T264" i="4"/>
  <c r="S264" i="4"/>
  <c r="R264" i="4"/>
  <c r="L264" i="4"/>
  <c r="I264" i="4"/>
  <c r="G264" i="4"/>
  <c r="F264" i="4"/>
  <c r="E264" i="4"/>
  <c r="B264" i="4"/>
  <c r="U263" i="4"/>
  <c r="T263" i="4"/>
  <c r="S263" i="4"/>
  <c r="R263" i="4"/>
  <c r="Q263" i="4"/>
  <c r="L263" i="4"/>
  <c r="I263" i="4"/>
  <c r="G263" i="4"/>
  <c r="F263" i="4"/>
  <c r="E263" i="4"/>
  <c r="B263" i="4"/>
  <c r="U262" i="4"/>
  <c r="T262" i="4"/>
  <c r="S262" i="4"/>
  <c r="R262" i="4"/>
  <c r="Q262" i="4"/>
  <c r="O262" i="4"/>
  <c r="N262" i="4"/>
  <c r="M262" i="4"/>
  <c r="L262" i="4"/>
  <c r="J262" i="4"/>
  <c r="I262" i="4"/>
  <c r="F262" i="4"/>
  <c r="G262" i="4" s="1"/>
  <c r="E262" i="4"/>
  <c r="B262" i="4"/>
  <c r="H262" i="4" s="1"/>
  <c r="U261" i="4"/>
  <c r="T261" i="4"/>
  <c r="S261" i="4"/>
  <c r="R261" i="4"/>
  <c r="N261" i="4"/>
  <c r="L261" i="4"/>
  <c r="O261" i="4" s="1"/>
  <c r="I261" i="4"/>
  <c r="G261" i="4"/>
  <c r="F261" i="4"/>
  <c r="E261" i="4"/>
  <c r="B261" i="4"/>
  <c r="U260" i="4"/>
  <c r="T260" i="4"/>
  <c r="S260" i="4"/>
  <c r="R260" i="4"/>
  <c r="Q260" i="4"/>
  <c r="L260" i="4"/>
  <c r="I260" i="4"/>
  <c r="G260" i="4"/>
  <c r="F260" i="4"/>
  <c r="E260" i="4"/>
  <c r="B260" i="4"/>
  <c r="T259" i="4"/>
  <c r="S259" i="4"/>
  <c r="R259" i="4"/>
  <c r="P259" i="4"/>
  <c r="O259" i="4"/>
  <c r="M259" i="4"/>
  <c r="L259" i="4"/>
  <c r="N259" i="4" s="1"/>
  <c r="I259" i="4"/>
  <c r="F259" i="4"/>
  <c r="G259" i="4" s="1"/>
  <c r="E259" i="4"/>
  <c r="B259" i="4"/>
  <c r="U258" i="4"/>
  <c r="T258" i="4"/>
  <c r="S258" i="4"/>
  <c r="R258" i="4"/>
  <c r="P258" i="4"/>
  <c r="N258" i="4"/>
  <c r="M258" i="4"/>
  <c r="L258" i="4"/>
  <c r="O258" i="4" s="1"/>
  <c r="I258" i="4"/>
  <c r="G258" i="4"/>
  <c r="F258" i="4"/>
  <c r="E258" i="4"/>
  <c r="B258" i="4"/>
  <c r="H258" i="4" s="1"/>
  <c r="U257" i="4"/>
  <c r="T257" i="4"/>
  <c r="S257" i="4"/>
  <c r="R257" i="4"/>
  <c r="Q257" i="4"/>
  <c r="O257" i="4"/>
  <c r="N257" i="4"/>
  <c r="M257" i="4"/>
  <c r="L257" i="4"/>
  <c r="I257" i="4"/>
  <c r="F257" i="4"/>
  <c r="G257" i="4" s="1"/>
  <c r="E257" i="4"/>
  <c r="B257" i="4"/>
  <c r="H257" i="4" s="1"/>
  <c r="U256" i="4"/>
  <c r="T256" i="4"/>
  <c r="S256" i="4"/>
  <c r="R256" i="4"/>
  <c r="L256" i="4"/>
  <c r="I256" i="4"/>
  <c r="F256" i="4"/>
  <c r="G256" i="4" s="1"/>
  <c r="E256" i="4"/>
  <c r="B256" i="4"/>
  <c r="U255" i="4"/>
  <c r="T255" i="4"/>
  <c r="S255" i="4"/>
  <c r="R255" i="4"/>
  <c r="P255" i="4"/>
  <c r="O255" i="4"/>
  <c r="M255" i="4"/>
  <c r="L255" i="4"/>
  <c r="N255" i="4" s="1"/>
  <c r="I255" i="4"/>
  <c r="F255" i="4"/>
  <c r="G255" i="4" s="1"/>
  <c r="E255" i="4"/>
  <c r="B255" i="4"/>
  <c r="U254" i="4"/>
  <c r="T254" i="4"/>
  <c r="S254" i="4"/>
  <c r="R254" i="4"/>
  <c r="P254" i="4"/>
  <c r="N254" i="4"/>
  <c r="M254" i="4"/>
  <c r="L254" i="4"/>
  <c r="O254" i="4" s="1"/>
  <c r="I254" i="4"/>
  <c r="G254" i="4"/>
  <c r="F254" i="4"/>
  <c r="E254" i="4"/>
  <c r="B254" i="4"/>
  <c r="H254" i="4" s="1"/>
  <c r="S253" i="4"/>
  <c r="R253" i="4"/>
  <c r="Q253" i="4"/>
  <c r="L253" i="4"/>
  <c r="I253" i="4"/>
  <c r="G253" i="4"/>
  <c r="F253" i="4"/>
  <c r="E253" i="4"/>
  <c r="B253" i="4"/>
  <c r="U252" i="4"/>
  <c r="T252" i="4"/>
  <c r="S252" i="4"/>
  <c r="R252" i="4"/>
  <c r="Q252" i="4"/>
  <c r="M252" i="4"/>
  <c r="L252" i="4"/>
  <c r="O252" i="4" s="1"/>
  <c r="I252" i="4"/>
  <c r="G252" i="4"/>
  <c r="J252" i="4" s="1"/>
  <c r="F252" i="4"/>
  <c r="E252" i="4"/>
  <c r="B252" i="4"/>
  <c r="H252" i="4" s="1"/>
  <c r="U251" i="4"/>
  <c r="T251" i="4"/>
  <c r="S251" i="4"/>
  <c r="R251" i="4"/>
  <c r="Q251" i="4"/>
  <c r="N251" i="4"/>
  <c r="M251" i="4"/>
  <c r="P251" i="4" s="1"/>
  <c r="L251" i="4"/>
  <c r="O251" i="4" s="1"/>
  <c r="I251" i="4"/>
  <c r="G251" i="4"/>
  <c r="J251" i="4" s="1"/>
  <c r="F251" i="4"/>
  <c r="E251" i="4"/>
  <c r="B251" i="4"/>
  <c r="H251" i="4" s="1"/>
  <c r="U250" i="4"/>
  <c r="T250" i="4"/>
  <c r="S250" i="4"/>
  <c r="R250" i="4"/>
  <c r="Q250" i="4"/>
  <c r="O250" i="4"/>
  <c r="N250" i="4"/>
  <c r="M250" i="4"/>
  <c r="L250" i="4"/>
  <c r="J250" i="4"/>
  <c r="I250" i="4"/>
  <c r="F250" i="4"/>
  <c r="G250" i="4" s="1"/>
  <c r="H250" i="4" s="1"/>
  <c r="E250" i="4"/>
  <c r="B250" i="4"/>
  <c r="U249" i="4"/>
  <c r="T249" i="4"/>
  <c r="S249" i="4"/>
  <c r="R249" i="4"/>
  <c r="L249" i="4"/>
  <c r="I249" i="4"/>
  <c r="G249" i="4"/>
  <c r="F249" i="4"/>
  <c r="E249" i="4"/>
  <c r="B249" i="4"/>
  <c r="S248" i="4"/>
  <c r="R248" i="4"/>
  <c r="Q248" i="4"/>
  <c r="O248" i="4"/>
  <c r="N248" i="4"/>
  <c r="M248" i="4"/>
  <c r="L248" i="4"/>
  <c r="I248" i="4"/>
  <c r="F248" i="4"/>
  <c r="E248" i="4"/>
  <c r="B248" i="4"/>
  <c r="U247" i="4"/>
  <c r="T247" i="4"/>
  <c r="S247" i="4"/>
  <c r="R247" i="4"/>
  <c r="Q247" i="4"/>
  <c r="M247" i="4"/>
  <c r="L247" i="4"/>
  <c r="O247" i="4" s="1"/>
  <c r="I247" i="4"/>
  <c r="G247" i="4"/>
  <c r="J247" i="4" s="1"/>
  <c r="F247" i="4"/>
  <c r="E247" i="4"/>
  <c r="B247" i="4"/>
  <c r="H247" i="4" s="1"/>
  <c r="T246" i="4"/>
  <c r="S246" i="4"/>
  <c r="R246" i="4"/>
  <c r="Q246" i="4"/>
  <c r="M246" i="4"/>
  <c r="L246" i="4"/>
  <c r="O246" i="4" s="1"/>
  <c r="I246" i="4"/>
  <c r="G246" i="4"/>
  <c r="J246" i="4" s="1"/>
  <c r="F246" i="4"/>
  <c r="E246" i="4"/>
  <c r="B246" i="4"/>
  <c r="H246" i="4" s="1"/>
  <c r="U245" i="4"/>
  <c r="T245" i="4"/>
  <c r="S245" i="4"/>
  <c r="R245" i="4"/>
  <c r="Q245" i="4"/>
  <c r="N245" i="4"/>
  <c r="M245" i="4"/>
  <c r="L245" i="4"/>
  <c r="O245" i="4" s="1"/>
  <c r="I245" i="4"/>
  <c r="G245" i="4"/>
  <c r="J245" i="4" s="1"/>
  <c r="F245" i="4"/>
  <c r="E245" i="4"/>
  <c r="B245" i="4"/>
  <c r="H245" i="4" s="1"/>
  <c r="T244" i="4"/>
  <c r="S244" i="4"/>
  <c r="R244" i="4"/>
  <c r="Q244" i="4"/>
  <c r="N244" i="4"/>
  <c r="M244" i="4"/>
  <c r="L244" i="4"/>
  <c r="O244" i="4" s="1"/>
  <c r="I244" i="4"/>
  <c r="G244" i="4"/>
  <c r="J244" i="4" s="1"/>
  <c r="F244" i="4"/>
  <c r="E244" i="4"/>
  <c r="B244" i="4"/>
  <c r="H244" i="4" s="1"/>
  <c r="U243" i="4"/>
  <c r="T243" i="4"/>
  <c r="S243" i="4"/>
  <c r="R243" i="4"/>
  <c r="Q243" i="4"/>
  <c r="O243" i="4"/>
  <c r="N243" i="4"/>
  <c r="M243" i="4"/>
  <c r="P243" i="4" s="1"/>
  <c r="L243" i="4"/>
  <c r="I243" i="4"/>
  <c r="F243" i="4"/>
  <c r="G243" i="4" s="1"/>
  <c r="E243" i="4"/>
  <c r="B243" i="4"/>
  <c r="S242" i="4"/>
  <c r="R242" i="4"/>
  <c r="Q242" i="4"/>
  <c r="N242" i="4"/>
  <c r="M242" i="4"/>
  <c r="L242" i="4"/>
  <c r="O242" i="4" s="1"/>
  <c r="I242" i="4"/>
  <c r="G242" i="4"/>
  <c r="J242" i="4" s="1"/>
  <c r="F242" i="4"/>
  <c r="E242" i="4"/>
  <c r="B242" i="4"/>
  <c r="H242" i="4" s="1"/>
  <c r="U241" i="4"/>
  <c r="T241" i="4"/>
  <c r="S241" i="4"/>
  <c r="R241" i="4"/>
  <c r="Q241" i="4"/>
  <c r="O241" i="4"/>
  <c r="N241" i="4"/>
  <c r="M241" i="4"/>
  <c r="L241" i="4"/>
  <c r="J241" i="4"/>
  <c r="I241" i="4"/>
  <c r="F241" i="4"/>
  <c r="G241" i="4" s="1"/>
  <c r="H241" i="4" s="1"/>
  <c r="E241" i="4"/>
  <c r="B241" i="4"/>
  <c r="U240" i="4"/>
  <c r="T240" i="4"/>
  <c r="S240" i="4"/>
  <c r="R240" i="4"/>
  <c r="L240" i="4"/>
  <c r="I240" i="4"/>
  <c r="G240" i="4"/>
  <c r="F240" i="4"/>
  <c r="E240" i="4"/>
  <c r="B240" i="4"/>
  <c r="U239" i="4"/>
  <c r="T239" i="4"/>
  <c r="S239" i="4"/>
  <c r="R239" i="4"/>
  <c r="Q239" i="4"/>
  <c r="M239" i="4"/>
  <c r="L239" i="4"/>
  <c r="O239" i="4" s="1"/>
  <c r="I239" i="4"/>
  <c r="G239" i="4"/>
  <c r="J239" i="4" s="1"/>
  <c r="F239" i="4"/>
  <c r="E239" i="4"/>
  <c r="B239" i="4"/>
  <c r="H239" i="4" s="1"/>
  <c r="U238" i="4"/>
  <c r="T238" i="4"/>
  <c r="S238" i="4"/>
  <c r="R238" i="4"/>
  <c r="Q238" i="4"/>
  <c r="N238" i="4"/>
  <c r="M238" i="4"/>
  <c r="L238" i="4"/>
  <c r="O238" i="4" s="1"/>
  <c r="I238" i="4"/>
  <c r="G238" i="4"/>
  <c r="J238" i="4" s="1"/>
  <c r="F238" i="4"/>
  <c r="E238" i="4"/>
  <c r="B238" i="4"/>
  <c r="H238" i="4" s="1"/>
  <c r="U237" i="4"/>
  <c r="T237" i="4"/>
  <c r="S237" i="4"/>
  <c r="R237" i="4"/>
  <c r="Q237" i="4"/>
  <c r="O237" i="4"/>
  <c r="N237" i="4"/>
  <c r="M237" i="4"/>
  <c r="P237" i="4" s="1"/>
  <c r="L237" i="4"/>
  <c r="I237" i="4"/>
  <c r="F237" i="4"/>
  <c r="G237" i="4" s="1"/>
  <c r="E237" i="4"/>
  <c r="B237" i="4"/>
  <c r="U236" i="4"/>
  <c r="T236" i="4"/>
  <c r="S236" i="4"/>
  <c r="R236" i="4"/>
  <c r="L236" i="4"/>
  <c r="I236" i="4"/>
  <c r="G236" i="4"/>
  <c r="F236" i="4"/>
  <c r="E236" i="4"/>
  <c r="B236" i="4"/>
  <c r="U235" i="4"/>
  <c r="T235" i="4"/>
  <c r="S235" i="4"/>
  <c r="R235" i="4"/>
  <c r="Q235" i="4"/>
  <c r="M235" i="4"/>
  <c r="L235" i="4"/>
  <c r="O235" i="4" s="1"/>
  <c r="I235" i="4"/>
  <c r="G235" i="4"/>
  <c r="J235" i="4" s="1"/>
  <c r="F235" i="4"/>
  <c r="E235" i="4"/>
  <c r="B235" i="4"/>
  <c r="H235" i="4" s="1"/>
  <c r="S234" i="4"/>
  <c r="R234" i="4"/>
  <c r="L234" i="4"/>
  <c r="I234" i="4"/>
  <c r="G234" i="4"/>
  <c r="F234" i="4"/>
  <c r="E234" i="4"/>
  <c r="B234" i="4"/>
  <c r="U233" i="4"/>
  <c r="T233" i="4"/>
  <c r="S233" i="4"/>
  <c r="R233" i="4"/>
  <c r="Q233" i="4"/>
  <c r="M233" i="4"/>
  <c r="L233" i="4"/>
  <c r="O233" i="4" s="1"/>
  <c r="I233" i="4"/>
  <c r="F233" i="4"/>
  <c r="E233" i="4"/>
  <c r="B233" i="4"/>
  <c r="S232" i="4"/>
  <c r="R232" i="4"/>
  <c r="Q232" i="4"/>
  <c r="M232" i="4"/>
  <c r="L232" i="4"/>
  <c r="O232" i="4" s="1"/>
  <c r="I232" i="4"/>
  <c r="G232" i="4"/>
  <c r="J232" i="4" s="1"/>
  <c r="F232" i="4"/>
  <c r="E232" i="4"/>
  <c r="B232" i="4"/>
  <c r="H232" i="4" s="1"/>
  <c r="U231" i="4"/>
  <c r="T231" i="4"/>
  <c r="S231" i="4"/>
  <c r="R231" i="4"/>
  <c r="Q231" i="4"/>
  <c r="N231" i="4"/>
  <c r="M231" i="4"/>
  <c r="P231" i="4" s="1"/>
  <c r="L231" i="4"/>
  <c r="O231" i="4" s="1"/>
  <c r="I231" i="4"/>
  <c r="G231" i="4"/>
  <c r="J231" i="4" s="1"/>
  <c r="F231" i="4"/>
  <c r="E231" i="4"/>
  <c r="B231" i="4"/>
  <c r="H231" i="4" s="1"/>
  <c r="U230" i="4"/>
  <c r="T230" i="4"/>
  <c r="S230" i="4"/>
  <c r="R230" i="4"/>
  <c r="Q230" i="4"/>
  <c r="O230" i="4"/>
  <c r="N230" i="4"/>
  <c r="M230" i="4"/>
  <c r="L230" i="4"/>
  <c r="J230" i="4"/>
  <c r="I230" i="4"/>
  <c r="F230" i="4"/>
  <c r="G230" i="4" s="1"/>
  <c r="H230" i="4" s="1"/>
  <c r="E230" i="4"/>
  <c r="B230" i="4"/>
  <c r="U229" i="4"/>
  <c r="T229" i="4"/>
  <c r="S229" i="4"/>
  <c r="R229" i="4"/>
  <c r="L229" i="4"/>
  <c r="I229" i="4"/>
  <c r="G229" i="4"/>
  <c r="F229" i="4"/>
  <c r="E229" i="4"/>
  <c r="B229" i="4"/>
  <c r="U228" i="4"/>
  <c r="T228" i="4"/>
  <c r="S228" i="4"/>
  <c r="R228" i="4"/>
  <c r="Q228" i="4"/>
  <c r="M228" i="4"/>
  <c r="L228" i="4"/>
  <c r="O228" i="4" s="1"/>
  <c r="I228" i="4"/>
  <c r="G228" i="4"/>
  <c r="F228" i="4"/>
  <c r="E228" i="4"/>
  <c r="B228" i="4"/>
  <c r="H228" i="4" s="1"/>
  <c r="U227" i="4"/>
  <c r="T227" i="4"/>
  <c r="S227" i="4"/>
  <c r="R227" i="4"/>
  <c r="Q227" i="4"/>
  <c r="N227" i="4"/>
  <c r="M227" i="4"/>
  <c r="L227" i="4"/>
  <c r="O227" i="4" s="1"/>
  <c r="I227" i="4"/>
  <c r="G227" i="4"/>
  <c r="J227" i="4" s="1"/>
  <c r="F227" i="4"/>
  <c r="E227" i="4"/>
  <c r="B227" i="4"/>
  <c r="H227" i="4" s="1"/>
  <c r="U226" i="4"/>
  <c r="T226" i="4"/>
  <c r="S226" i="4"/>
  <c r="R226" i="4"/>
  <c r="Q226" i="4"/>
  <c r="O226" i="4"/>
  <c r="N226" i="4"/>
  <c r="M226" i="4"/>
  <c r="L226" i="4"/>
  <c r="J226" i="4"/>
  <c r="I226" i="4"/>
  <c r="F226" i="4"/>
  <c r="G226" i="4" s="1"/>
  <c r="H226" i="4" s="1"/>
  <c r="E226" i="4"/>
  <c r="B226" i="4"/>
  <c r="U225" i="4"/>
  <c r="T225" i="4"/>
  <c r="S225" i="4"/>
  <c r="R225" i="4"/>
  <c r="L225" i="4"/>
  <c r="I225" i="4"/>
  <c r="G225" i="4"/>
  <c r="F225" i="4"/>
  <c r="E225" i="4"/>
  <c r="B225" i="4"/>
  <c r="U224" i="4"/>
  <c r="T224" i="4"/>
  <c r="S224" i="4"/>
  <c r="R224" i="4"/>
  <c r="Q224" i="4"/>
  <c r="M224" i="4"/>
  <c r="L224" i="4"/>
  <c r="O224" i="4" s="1"/>
  <c r="I224" i="4"/>
  <c r="G224" i="4"/>
  <c r="J224" i="4" s="1"/>
  <c r="F224" i="4"/>
  <c r="E224" i="4"/>
  <c r="B224" i="4"/>
  <c r="H224" i="4" s="1"/>
  <c r="U223" i="4"/>
  <c r="T223" i="4"/>
  <c r="S223" i="4"/>
  <c r="R223" i="4"/>
  <c r="Q223" i="4"/>
  <c r="N223" i="4"/>
  <c r="M223" i="4"/>
  <c r="L223" i="4"/>
  <c r="O223" i="4" s="1"/>
  <c r="I223" i="4"/>
  <c r="G223" i="4"/>
  <c r="J223" i="4" s="1"/>
  <c r="F223" i="4"/>
  <c r="E223" i="4"/>
  <c r="B223" i="4"/>
  <c r="H223" i="4" s="1"/>
  <c r="U222" i="4"/>
  <c r="T222" i="4"/>
  <c r="S222" i="4"/>
  <c r="R222" i="4"/>
  <c r="Q222" i="4"/>
  <c r="O222" i="4"/>
  <c r="N222" i="4"/>
  <c r="M222" i="4"/>
  <c r="P222" i="4" s="1"/>
  <c r="L222" i="4"/>
  <c r="I222" i="4"/>
  <c r="F222" i="4"/>
  <c r="G222" i="4" s="1"/>
  <c r="E222" i="4"/>
  <c r="B222" i="4"/>
  <c r="U221" i="4"/>
  <c r="T221" i="4"/>
  <c r="S221" i="4"/>
  <c r="R221" i="4"/>
  <c r="O221" i="4"/>
  <c r="L221" i="4"/>
  <c r="I221" i="4"/>
  <c r="G221" i="4"/>
  <c r="F221" i="4"/>
  <c r="E221" i="4"/>
  <c r="B221" i="4"/>
  <c r="U220" i="4"/>
  <c r="T220" i="4"/>
  <c r="S220" i="4"/>
  <c r="R220" i="4"/>
  <c r="Q220" i="4"/>
  <c r="L220" i="4"/>
  <c r="I220" i="4"/>
  <c r="G220" i="4"/>
  <c r="J220" i="4" s="1"/>
  <c r="F220" i="4"/>
  <c r="E220" i="4"/>
  <c r="B220" i="4"/>
  <c r="U219" i="4"/>
  <c r="T219" i="4"/>
  <c r="S219" i="4"/>
  <c r="R219" i="4"/>
  <c r="Q219" i="4"/>
  <c r="N219" i="4"/>
  <c r="M219" i="4"/>
  <c r="P219" i="4" s="1"/>
  <c r="L219" i="4"/>
  <c r="O219" i="4" s="1"/>
  <c r="I219" i="4"/>
  <c r="G219" i="4"/>
  <c r="J219" i="4" s="1"/>
  <c r="F219" i="4"/>
  <c r="E219" i="4"/>
  <c r="B219" i="4"/>
  <c r="H219" i="4" s="1"/>
  <c r="U218" i="4"/>
  <c r="T218" i="4"/>
  <c r="S218" i="4"/>
  <c r="R218" i="4"/>
  <c r="Q218" i="4"/>
  <c r="O218" i="4"/>
  <c r="N218" i="4"/>
  <c r="M218" i="4"/>
  <c r="P218" i="4" s="1"/>
  <c r="L218" i="4"/>
  <c r="I218" i="4"/>
  <c r="F218" i="4"/>
  <c r="G218" i="4" s="1"/>
  <c r="H218" i="4" s="1"/>
  <c r="E218" i="4"/>
  <c r="B218" i="4"/>
  <c r="U217" i="4"/>
  <c r="T217" i="4"/>
  <c r="S217" i="4"/>
  <c r="R217" i="4"/>
  <c r="L217" i="4"/>
  <c r="I217" i="4"/>
  <c r="F217" i="4"/>
  <c r="G217" i="4" s="1"/>
  <c r="E217" i="4"/>
  <c r="B217" i="4"/>
  <c r="U216" i="4"/>
  <c r="T216" i="4"/>
  <c r="S216" i="4"/>
  <c r="R216" i="4"/>
  <c r="Q216" i="4"/>
  <c r="L216" i="4"/>
  <c r="I216" i="4"/>
  <c r="G216" i="4"/>
  <c r="F216" i="4"/>
  <c r="E216" i="4"/>
  <c r="B216" i="4"/>
  <c r="H216" i="4" s="1"/>
  <c r="U215" i="4"/>
  <c r="T215" i="4"/>
  <c r="S215" i="4"/>
  <c r="R215" i="4"/>
  <c r="Q215" i="4"/>
  <c r="N215" i="4"/>
  <c r="M215" i="4"/>
  <c r="L215" i="4"/>
  <c r="O215" i="4" s="1"/>
  <c r="I215" i="4"/>
  <c r="G215" i="4"/>
  <c r="J215" i="4" s="1"/>
  <c r="F215" i="4"/>
  <c r="E215" i="4"/>
  <c r="B215" i="4"/>
  <c r="H215" i="4" s="1"/>
  <c r="U214" i="4"/>
  <c r="T214" i="4"/>
  <c r="S214" i="4"/>
  <c r="R214" i="4"/>
  <c r="Q214" i="4"/>
  <c r="O214" i="4"/>
  <c r="N214" i="4"/>
  <c r="M214" i="4"/>
  <c r="L214" i="4"/>
  <c r="J214" i="4"/>
  <c r="I214" i="4"/>
  <c r="F214" i="4"/>
  <c r="G214" i="4" s="1"/>
  <c r="H214" i="4" s="1"/>
  <c r="E214" i="4"/>
  <c r="B214" i="4"/>
  <c r="S213" i="4"/>
  <c r="R213" i="4"/>
  <c r="Q213" i="4"/>
  <c r="N213" i="4"/>
  <c r="M213" i="4"/>
  <c r="L213" i="4"/>
  <c r="O213" i="4" s="1"/>
  <c r="I213" i="4"/>
  <c r="G213" i="4"/>
  <c r="F213" i="4"/>
  <c r="E213" i="4"/>
  <c r="B213" i="4"/>
  <c r="H213" i="4" s="1"/>
  <c r="U212" i="4"/>
  <c r="T212" i="4"/>
  <c r="S212" i="4"/>
  <c r="R212" i="4"/>
  <c r="Q212" i="4"/>
  <c r="O212" i="4"/>
  <c r="N212" i="4"/>
  <c r="M212" i="4"/>
  <c r="P212" i="4" s="1"/>
  <c r="L212" i="4"/>
  <c r="I212" i="4"/>
  <c r="F212" i="4"/>
  <c r="G212" i="4" s="1"/>
  <c r="E212" i="4"/>
  <c r="B212" i="4"/>
  <c r="U211" i="4"/>
  <c r="T211" i="4"/>
  <c r="S211" i="4"/>
  <c r="R211" i="4"/>
  <c r="O211" i="4"/>
  <c r="L211" i="4"/>
  <c r="I211" i="4"/>
  <c r="G211" i="4"/>
  <c r="F211" i="4"/>
  <c r="E211" i="4"/>
  <c r="B211" i="4"/>
  <c r="U210" i="4"/>
  <c r="T210" i="4"/>
  <c r="S210" i="4"/>
  <c r="R210" i="4"/>
  <c r="L210" i="4"/>
  <c r="I210" i="4"/>
  <c r="G210" i="4"/>
  <c r="F210" i="4"/>
  <c r="E210" i="4"/>
  <c r="B210" i="4"/>
  <c r="U209" i="4"/>
  <c r="T209" i="4"/>
  <c r="S209" i="4"/>
  <c r="R209" i="4"/>
  <c r="Q209" i="4"/>
  <c r="L209" i="4"/>
  <c r="I209" i="4"/>
  <c r="G209" i="4"/>
  <c r="J209" i="4" s="1"/>
  <c r="F209" i="4"/>
  <c r="E209" i="4"/>
  <c r="B209" i="4"/>
  <c r="U208" i="4"/>
  <c r="T208" i="4"/>
  <c r="S208" i="4"/>
  <c r="R208" i="4"/>
  <c r="Q208" i="4"/>
  <c r="O208" i="4"/>
  <c r="N208" i="4"/>
  <c r="M208" i="4"/>
  <c r="L208" i="4"/>
  <c r="J208" i="4"/>
  <c r="I208" i="4"/>
  <c r="F208" i="4"/>
  <c r="G208" i="4" s="1"/>
  <c r="H208" i="4" s="1"/>
  <c r="E208" i="4"/>
  <c r="B208" i="4"/>
  <c r="U207" i="4"/>
  <c r="T207" i="4"/>
  <c r="S207" i="4"/>
  <c r="R207" i="4"/>
  <c r="O207" i="4"/>
  <c r="N207" i="4"/>
  <c r="L207" i="4"/>
  <c r="I207" i="4"/>
  <c r="G207" i="4"/>
  <c r="F207" i="4"/>
  <c r="E207" i="4"/>
  <c r="B207" i="4"/>
  <c r="U206" i="4"/>
  <c r="T206" i="4"/>
  <c r="S206" i="4"/>
  <c r="R206" i="4"/>
  <c r="L206" i="4"/>
  <c r="I206" i="4"/>
  <c r="G206" i="4"/>
  <c r="F206" i="4"/>
  <c r="E206" i="4"/>
  <c r="B206" i="4"/>
  <c r="U205" i="4"/>
  <c r="T205" i="4"/>
  <c r="S205" i="4"/>
  <c r="R205" i="4"/>
  <c r="Q205" i="4"/>
  <c r="L205" i="4"/>
  <c r="I205" i="4"/>
  <c r="G205" i="4"/>
  <c r="J205" i="4" s="1"/>
  <c r="F205" i="4"/>
  <c r="E205" i="4"/>
  <c r="B205" i="4"/>
  <c r="U204" i="4"/>
  <c r="T204" i="4"/>
  <c r="S204" i="4"/>
  <c r="R204" i="4"/>
  <c r="Q204" i="4"/>
  <c r="O204" i="4"/>
  <c r="N204" i="4"/>
  <c r="M204" i="4"/>
  <c r="L204" i="4"/>
  <c r="J204" i="4"/>
  <c r="I204" i="4"/>
  <c r="F204" i="4"/>
  <c r="G204" i="4" s="1"/>
  <c r="H204" i="4" s="1"/>
  <c r="E204" i="4"/>
  <c r="B204" i="4"/>
  <c r="U203" i="4"/>
  <c r="T203" i="4"/>
  <c r="S203" i="4"/>
  <c r="R203" i="4"/>
  <c r="O203" i="4"/>
  <c r="N203" i="4"/>
  <c r="L203" i="4"/>
  <c r="I203" i="4"/>
  <c r="G203" i="4"/>
  <c r="F203" i="4"/>
  <c r="E203" i="4"/>
  <c r="B203" i="4"/>
  <c r="T202" i="4"/>
  <c r="S202" i="4"/>
  <c r="R202" i="4"/>
  <c r="O202" i="4"/>
  <c r="L202" i="4"/>
  <c r="I202" i="4"/>
  <c r="F202" i="4"/>
  <c r="G202" i="4" s="1"/>
  <c r="E202" i="4"/>
  <c r="B202" i="4"/>
  <c r="T201" i="4"/>
  <c r="S201" i="4"/>
  <c r="R201" i="4"/>
  <c r="L201" i="4"/>
  <c r="J201" i="4"/>
  <c r="I201" i="4"/>
  <c r="F201" i="4"/>
  <c r="G201" i="4" s="1"/>
  <c r="H201" i="4" s="1"/>
  <c r="E201" i="4"/>
  <c r="B201" i="4"/>
  <c r="U200" i="4"/>
  <c r="T200" i="4"/>
  <c r="S200" i="4"/>
  <c r="R200" i="4"/>
  <c r="O200" i="4"/>
  <c r="L200" i="4"/>
  <c r="N200" i="4" s="1"/>
  <c r="I200" i="4"/>
  <c r="F200" i="4"/>
  <c r="G200" i="4" s="1"/>
  <c r="E200" i="4"/>
  <c r="B200" i="4"/>
  <c r="U199" i="4"/>
  <c r="T199" i="4"/>
  <c r="S199" i="4"/>
  <c r="R199" i="4"/>
  <c r="N199" i="4"/>
  <c r="L199" i="4"/>
  <c r="O199" i="4" s="1"/>
  <c r="I199" i="4"/>
  <c r="G199" i="4"/>
  <c r="F199" i="4"/>
  <c r="E199" i="4"/>
  <c r="B199" i="4"/>
  <c r="H199" i="4" s="1"/>
  <c r="U198" i="4"/>
  <c r="T198" i="4"/>
  <c r="S198" i="4"/>
  <c r="R198" i="4"/>
  <c r="Q198" i="4"/>
  <c r="O198" i="4"/>
  <c r="N198" i="4"/>
  <c r="M198" i="4"/>
  <c r="P198" i="4" s="1"/>
  <c r="I198" i="4"/>
  <c r="G198" i="4"/>
  <c r="J198" i="4" s="1"/>
  <c r="F198" i="4"/>
  <c r="E198" i="4"/>
  <c r="B198" i="4"/>
  <c r="U197" i="4"/>
  <c r="T197" i="4"/>
  <c r="S197" i="4"/>
  <c r="R197" i="4"/>
  <c r="Q197" i="4"/>
  <c r="O197" i="4"/>
  <c r="N197" i="4"/>
  <c r="M197" i="4"/>
  <c r="L197" i="4"/>
  <c r="J197" i="4"/>
  <c r="I197" i="4"/>
  <c r="F197" i="4"/>
  <c r="G197" i="4" s="1"/>
  <c r="H197" i="4" s="1"/>
  <c r="E197" i="4"/>
  <c r="B197" i="4"/>
  <c r="U196" i="4"/>
  <c r="T196" i="4"/>
  <c r="S196" i="4"/>
  <c r="R196" i="4"/>
  <c r="O196" i="4"/>
  <c r="N196" i="4"/>
  <c r="L196" i="4"/>
  <c r="I196" i="4"/>
  <c r="G196" i="4"/>
  <c r="F196" i="4"/>
  <c r="E196" i="4"/>
  <c r="B196" i="4"/>
  <c r="T195" i="4"/>
  <c r="S195" i="4"/>
  <c r="R195" i="4"/>
  <c r="O195" i="4"/>
  <c r="L195" i="4"/>
  <c r="I195" i="4"/>
  <c r="F195" i="4"/>
  <c r="G195" i="4" s="1"/>
  <c r="E195" i="4"/>
  <c r="B195" i="4"/>
  <c r="T194" i="4"/>
  <c r="S194" i="4"/>
  <c r="R194" i="4"/>
  <c r="L194" i="4"/>
  <c r="J194" i="4"/>
  <c r="I194" i="4"/>
  <c r="F194" i="4"/>
  <c r="G194" i="4" s="1"/>
  <c r="H194" i="4" s="1"/>
  <c r="E194" i="4"/>
  <c r="B194" i="4"/>
  <c r="U193" i="4"/>
  <c r="T193" i="4"/>
  <c r="S193" i="4"/>
  <c r="R193" i="4"/>
  <c r="O193" i="4"/>
  <c r="L193" i="4"/>
  <c r="N193" i="4" s="1"/>
  <c r="I193" i="4"/>
  <c r="F193" i="4"/>
  <c r="G193" i="4" s="1"/>
  <c r="E193" i="4"/>
  <c r="B193" i="4"/>
  <c r="U192" i="4"/>
  <c r="T192" i="4"/>
  <c r="S192" i="4"/>
  <c r="R192" i="4"/>
  <c r="N192" i="4"/>
  <c r="L192" i="4"/>
  <c r="O192" i="4" s="1"/>
  <c r="I192" i="4"/>
  <c r="G192" i="4"/>
  <c r="F192" i="4"/>
  <c r="E192" i="4"/>
  <c r="B192" i="4"/>
  <c r="H192" i="4" s="1"/>
  <c r="U191" i="4"/>
  <c r="T191" i="4"/>
  <c r="S191" i="4"/>
  <c r="R191" i="4"/>
  <c r="Q191" i="4"/>
  <c r="O191" i="4"/>
  <c r="N191" i="4"/>
  <c r="M191" i="4"/>
  <c r="P191" i="4" s="1"/>
  <c r="L191" i="4"/>
  <c r="I191" i="4"/>
  <c r="H191" i="4"/>
  <c r="F191" i="4"/>
  <c r="G191" i="4" s="1"/>
  <c r="E191" i="4"/>
  <c r="B191" i="4"/>
  <c r="J191" i="4" s="1"/>
  <c r="U190" i="4"/>
  <c r="T190" i="4"/>
  <c r="S190" i="4"/>
  <c r="R190" i="4"/>
  <c r="L190" i="4"/>
  <c r="I190" i="4"/>
  <c r="F190" i="4"/>
  <c r="G190" i="4" s="1"/>
  <c r="H190" i="4" s="1"/>
  <c r="E190" i="4"/>
  <c r="B190" i="4"/>
  <c r="U189" i="4"/>
  <c r="T189" i="4"/>
  <c r="S189" i="4"/>
  <c r="R189" i="4"/>
  <c r="O189" i="4"/>
  <c r="L189" i="4"/>
  <c r="N189" i="4" s="1"/>
  <c r="I189" i="4"/>
  <c r="F189" i="4"/>
  <c r="G189" i="4" s="1"/>
  <c r="E189" i="4"/>
  <c r="B189" i="4"/>
  <c r="U188" i="4"/>
  <c r="T188" i="4"/>
  <c r="S188" i="4"/>
  <c r="R188" i="4"/>
  <c r="N188" i="4"/>
  <c r="L188" i="4"/>
  <c r="O188" i="4" s="1"/>
  <c r="I188" i="4"/>
  <c r="G188" i="4"/>
  <c r="F188" i="4"/>
  <c r="E188" i="4"/>
  <c r="B188" i="4"/>
  <c r="H188" i="4" s="1"/>
  <c r="T187" i="4"/>
  <c r="S187" i="4"/>
  <c r="R187" i="4"/>
  <c r="Q187" i="4"/>
  <c r="L187" i="4"/>
  <c r="I187" i="4"/>
  <c r="G187" i="4"/>
  <c r="J187" i="4" s="1"/>
  <c r="F187" i="4"/>
  <c r="E187" i="4"/>
  <c r="B187" i="4"/>
  <c r="U186" i="4"/>
  <c r="T186" i="4"/>
  <c r="S186" i="4"/>
  <c r="R186" i="4"/>
  <c r="Q186" i="4"/>
  <c r="O186" i="4"/>
  <c r="N186" i="4"/>
  <c r="M186" i="4"/>
  <c r="L186" i="4"/>
  <c r="J186" i="4"/>
  <c r="I186" i="4"/>
  <c r="F186" i="4"/>
  <c r="G186" i="4" s="1"/>
  <c r="H186" i="4" s="1"/>
  <c r="E186" i="4"/>
  <c r="B186" i="4"/>
  <c r="T185" i="4"/>
  <c r="S185" i="4"/>
  <c r="R185" i="4"/>
  <c r="Q185" i="4"/>
  <c r="O185" i="4"/>
  <c r="N185" i="4"/>
  <c r="M185" i="4"/>
  <c r="P185" i="4" s="1"/>
  <c r="L185" i="4"/>
  <c r="I185" i="4"/>
  <c r="H185" i="4"/>
  <c r="F185" i="4"/>
  <c r="G185" i="4" s="1"/>
  <c r="E185" i="4"/>
  <c r="B185" i="4"/>
  <c r="J185" i="4" s="1"/>
  <c r="U184" i="4"/>
  <c r="T184" i="4"/>
  <c r="S184" i="4"/>
  <c r="R184" i="4"/>
  <c r="L184" i="4"/>
  <c r="J184" i="4"/>
  <c r="I184" i="4"/>
  <c r="F184" i="4"/>
  <c r="G184" i="4" s="1"/>
  <c r="H184" i="4" s="1"/>
  <c r="E184" i="4"/>
  <c r="B184" i="4"/>
  <c r="U183" i="4"/>
  <c r="T183" i="4"/>
  <c r="S183" i="4"/>
  <c r="R183" i="4"/>
  <c r="O183" i="4"/>
  <c r="L183" i="4"/>
  <c r="N183" i="4" s="1"/>
  <c r="J183" i="4"/>
  <c r="I183" i="4"/>
  <c r="F183" i="4"/>
  <c r="G183" i="4" s="1"/>
  <c r="H183" i="4" s="1"/>
  <c r="E183" i="4"/>
  <c r="B183" i="4"/>
  <c r="U182" i="4"/>
  <c r="S182" i="4"/>
  <c r="R182" i="4"/>
  <c r="O182" i="4"/>
  <c r="L182" i="4"/>
  <c r="N182" i="4" s="1"/>
  <c r="I182" i="4"/>
  <c r="F182" i="4"/>
  <c r="G182" i="4" s="1"/>
  <c r="H182" i="4" s="1"/>
  <c r="E182" i="4"/>
  <c r="B182" i="4"/>
  <c r="U181" i="4"/>
  <c r="T181" i="4"/>
  <c r="S181" i="4"/>
  <c r="R181" i="4"/>
  <c r="L181" i="4"/>
  <c r="I181" i="4"/>
  <c r="G181" i="4"/>
  <c r="F181" i="4"/>
  <c r="E181" i="4"/>
  <c r="B181" i="4"/>
  <c r="U180" i="4"/>
  <c r="T180" i="4"/>
  <c r="S180" i="4"/>
  <c r="R180" i="4"/>
  <c r="Q180" i="4"/>
  <c r="O180" i="4"/>
  <c r="N180" i="4"/>
  <c r="M180" i="4"/>
  <c r="P180" i="4" s="1"/>
  <c r="L180" i="4"/>
  <c r="I180" i="4"/>
  <c r="F180" i="4"/>
  <c r="G180" i="4" s="1"/>
  <c r="J180" i="4" s="1"/>
  <c r="E180" i="4"/>
  <c r="B180" i="4"/>
  <c r="U179" i="4"/>
  <c r="T179" i="4"/>
  <c r="S179" i="4"/>
  <c r="R179" i="4"/>
  <c r="O179" i="4"/>
  <c r="N179" i="4"/>
  <c r="L179" i="4"/>
  <c r="Q179" i="4" s="1"/>
  <c r="I179" i="4"/>
  <c r="F179" i="4"/>
  <c r="G179" i="4" s="1"/>
  <c r="E179" i="4"/>
  <c r="B179" i="4"/>
  <c r="U178" i="4"/>
  <c r="T178" i="4"/>
  <c r="S178" i="4"/>
  <c r="R178" i="4"/>
  <c r="O178" i="4"/>
  <c r="L178" i="4"/>
  <c r="N178" i="4" s="1"/>
  <c r="J178" i="4"/>
  <c r="I178" i="4"/>
  <c r="F178" i="4"/>
  <c r="G178" i="4" s="1"/>
  <c r="H178" i="4" s="1"/>
  <c r="E178" i="4"/>
  <c r="B178" i="4"/>
  <c r="U177" i="4"/>
  <c r="T177" i="4"/>
  <c r="S177" i="4"/>
  <c r="R177" i="4"/>
  <c r="L177" i="4"/>
  <c r="I177" i="4"/>
  <c r="G177" i="4"/>
  <c r="F177" i="4"/>
  <c r="E177" i="4"/>
  <c r="B177" i="4"/>
  <c r="U176" i="4"/>
  <c r="T176" i="4"/>
  <c r="S176" i="4"/>
  <c r="R176" i="4"/>
  <c r="Q176" i="4"/>
  <c r="O176" i="4"/>
  <c r="N176" i="4"/>
  <c r="M176" i="4"/>
  <c r="P176" i="4" s="1"/>
  <c r="L176" i="4"/>
  <c r="I176" i="4"/>
  <c r="F176" i="4"/>
  <c r="G176" i="4" s="1"/>
  <c r="J176" i="4" s="1"/>
  <c r="E176" i="4"/>
  <c r="B176" i="4"/>
  <c r="U175" i="4"/>
  <c r="R175" i="4"/>
  <c r="L175" i="4"/>
  <c r="I175" i="4"/>
  <c r="G175" i="4"/>
  <c r="F175" i="4"/>
  <c r="E175" i="4"/>
  <c r="B175" i="4"/>
  <c r="U174" i="4"/>
  <c r="T174" i="4"/>
  <c r="S174" i="4"/>
  <c r="R174" i="4"/>
  <c r="Q174" i="4"/>
  <c r="O174" i="4"/>
  <c r="N174" i="4"/>
  <c r="M174" i="4"/>
  <c r="P174" i="4" s="1"/>
  <c r="L174" i="4"/>
  <c r="I174" i="4"/>
  <c r="F174" i="4"/>
  <c r="G174" i="4" s="1"/>
  <c r="E174" i="4"/>
  <c r="B174" i="4"/>
  <c r="U173" i="4"/>
  <c r="T173" i="4"/>
  <c r="S173" i="4"/>
  <c r="R173" i="4"/>
  <c r="O173" i="4"/>
  <c r="N173" i="4"/>
  <c r="L173" i="4"/>
  <c r="Q173" i="4" s="1"/>
  <c r="I173" i="4"/>
  <c r="F173" i="4"/>
  <c r="G173" i="4" s="1"/>
  <c r="E173" i="4"/>
  <c r="B173" i="4"/>
  <c r="U172" i="4"/>
  <c r="T172" i="4"/>
  <c r="S172" i="4"/>
  <c r="R172" i="4"/>
  <c r="O172" i="4"/>
  <c r="L172" i="4"/>
  <c r="N172" i="4" s="1"/>
  <c r="I172" i="4"/>
  <c r="F172" i="4"/>
  <c r="G172" i="4" s="1"/>
  <c r="H172" i="4" s="1"/>
  <c r="E172" i="4"/>
  <c r="B172" i="4"/>
  <c r="U171" i="4"/>
  <c r="T171" i="4"/>
  <c r="S171" i="4"/>
  <c r="R171" i="4"/>
  <c r="L171" i="4"/>
  <c r="I171" i="4"/>
  <c r="G171" i="4"/>
  <c r="F171" i="4"/>
  <c r="E171" i="4"/>
  <c r="B171" i="4"/>
  <c r="U170" i="4"/>
  <c r="T170" i="4"/>
  <c r="S170" i="4"/>
  <c r="R170" i="4"/>
  <c r="Q170" i="4"/>
  <c r="O170" i="4"/>
  <c r="N170" i="4"/>
  <c r="M170" i="4"/>
  <c r="P170" i="4" s="1"/>
  <c r="L170" i="4"/>
  <c r="I170" i="4"/>
  <c r="H170" i="4"/>
  <c r="F170" i="4"/>
  <c r="G170" i="4" s="1"/>
  <c r="E170" i="4"/>
  <c r="B170" i="4"/>
  <c r="U169" i="4"/>
  <c r="T169" i="4"/>
  <c r="S169" i="4"/>
  <c r="R169" i="4"/>
  <c r="O169" i="4"/>
  <c r="N169" i="4"/>
  <c r="L169" i="4"/>
  <c r="Q169" i="4" s="1"/>
  <c r="I169" i="4"/>
  <c r="F169" i="4"/>
  <c r="G169" i="4" s="1"/>
  <c r="E169" i="4"/>
  <c r="B169" i="4"/>
  <c r="U168" i="4"/>
  <c r="T168" i="4"/>
  <c r="S168" i="4"/>
  <c r="R168" i="4"/>
  <c r="O168" i="4"/>
  <c r="L168" i="4"/>
  <c r="N168" i="4" s="1"/>
  <c r="I168" i="4"/>
  <c r="F168" i="4"/>
  <c r="G168" i="4" s="1"/>
  <c r="H168" i="4" s="1"/>
  <c r="E168" i="4"/>
  <c r="B168" i="4"/>
  <c r="U167" i="4"/>
  <c r="T167" i="4"/>
  <c r="S167" i="4"/>
  <c r="R167" i="4"/>
  <c r="L167" i="4"/>
  <c r="I167" i="4"/>
  <c r="G167" i="4"/>
  <c r="F167" i="4"/>
  <c r="E167" i="4"/>
  <c r="B167" i="4"/>
  <c r="U166" i="4"/>
  <c r="T166" i="4"/>
  <c r="S166" i="4"/>
  <c r="R166" i="4"/>
  <c r="Q166" i="4"/>
  <c r="O166" i="4"/>
  <c r="N166" i="4"/>
  <c r="M166" i="4"/>
  <c r="P166" i="4" s="1"/>
  <c r="L166" i="4"/>
  <c r="I166" i="4"/>
  <c r="F166" i="4"/>
  <c r="G166" i="4" s="1"/>
  <c r="J166" i="4" s="1"/>
  <c r="E166" i="4"/>
  <c r="B166" i="4"/>
  <c r="U165" i="4"/>
  <c r="T165" i="4"/>
  <c r="S165" i="4"/>
  <c r="R165" i="4"/>
  <c r="O165" i="4"/>
  <c r="N165" i="4"/>
  <c r="L165" i="4"/>
  <c r="Q165" i="4" s="1"/>
  <c r="I165" i="4"/>
  <c r="F165" i="4"/>
  <c r="G165" i="4" s="1"/>
  <c r="H165" i="4" s="1"/>
  <c r="E165" i="4"/>
  <c r="B165" i="4"/>
  <c r="U164" i="4"/>
  <c r="T164" i="4"/>
  <c r="S164" i="4"/>
  <c r="R164" i="4"/>
  <c r="O164" i="4"/>
  <c r="L164" i="4"/>
  <c r="I164" i="4"/>
  <c r="G164" i="4"/>
  <c r="H164" i="4" s="1"/>
  <c r="F164" i="4"/>
  <c r="E164" i="4"/>
  <c r="B164" i="4"/>
  <c r="U163" i="4"/>
  <c r="T163" i="4"/>
  <c r="S163" i="4"/>
  <c r="R163" i="4"/>
  <c r="Q163" i="4"/>
  <c r="L163" i="4"/>
  <c r="I163" i="4"/>
  <c r="G163" i="4"/>
  <c r="F163" i="4"/>
  <c r="E163" i="4"/>
  <c r="B163" i="4"/>
  <c r="H163" i="4" s="1"/>
  <c r="U162" i="4"/>
  <c r="T162" i="4"/>
  <c r="S162" i="4"/>
  <c r="R162" i="4"/>
  <c r="Q162" i="4"/>
  <c r="O162" i="4"/>
  <c r="N162" i="4"/>
  <c r="M162" i="4"/>
  <c r="L162" i="4"/>
  <c r="I162" i="4"/>
  <c r="H162" i="4"/>
  <c r="F162" i="4"/>
  <c r="G162" i="4" s="1"/>
  <c r="E162" i="4"/>
  <c r="B162" i="4"/>
  <c r="U161" i="4"/>
  <c r="T161" i="4"/>
  <c r="S161" i="4"/>
  <c r="R161" i="4"/>
  <c r="O161" i="4"/>
  <c r="N161" i="4"/>
  <c r="L161" i="4"/>
  <c r="Q161" i="4" s="1"/>
  <c r="J161" i="4"/>
  <c r="I161" i="4"/>
  <c r="F161" i="4"/>
  <c r="G161" i="4" s="1"/>
  <c r="H161" i="4" s="1"/>
  <c r="E161" i="4"/>
  <c r="B161" i="4"/>
  <c r="U160" i="4"/>
  <c r="T160" i="4"/>
  <c r="S160" i="4"/>
  <c r="R160" i="4"/>
  <c r="L160" i="4"/>
  <c r="I160" i="4"/>
  <c r="F160" i="4"/>
  <c r="G160" i="4" s="1"/>
  <c r="E160" i="4"/>
  <c r="B160" i="4"/>
  <c r="U159" i="4"/>
  <c r="T159" i="4"/>
  <c r="S159" i="4"/>
  <c r="R159" i="4"/>
  <c r="L159" i="4"/>
  <c r="I159" i="4"/>
  <c r="G159" i="4"/>
  <c r="J159" i="4" s="1"/>
  <c r="F159" i="4"/>
  <c r="E159" i="4"/>
  <c r="B159" i="4"/>
  <c r="U158" i="4"/>
  <c r="T158" i="4"/>
  <c r="S158" i="4"/>
  <c r="R158" i="4"/>
  <c r="Q158" i="4"/>
  <c r="O158" i="4"/>
  <c r="N158" i="4"/>
  <c r="M158" i="4"/>
  <c r="P158" i="4" s="1"/>
  <c r="L158" i="4"/>
  <c r="I158" i="4"/>
  <c r="F158" i="4"/>
  <c r="G158" i="4" s="1"/>
  <c r="E158" i="4"/>
  <c r="B158" i="4"/>
  <c r="U157" i="4"/>
  <c r="T157" i="4"/>
  <c r="S157" i="4"/>
  <c r="R157" i="4"/>
  <c r="O157" i="4"/>
  <c r="N157" i="4"/>
  <c r="L157" i="4"/>
  <c r="Q157" i="4" s="1"/>
  <c r="I157" i="4"/>
  <c r="F157" i="4"/>
  <c r="G157" i="4" s="1"/>
  <c r="E157" i="4"/>
  <c r="B157" i="4"/>
  <c r="U156" i="4"/>
  <c r="T156" i="4"/>
  <c r="S156" i="4"/>
  <c r="R156" i="4"/>
  <c r="O156" i="4"/>
  <c r="L156" i="4"/>
  <c r="N156" i="4" s="1"/>
  <c r="I156" i="4"/>
  <c r="F156" i="4"/>
  <c r="G156" i="4" s="1"/>
  <c r="E156" i="4"/>
  <c r="B156" i="4"/>
  <c r="S155" i="4"/>
  <c r="R155" i="4"/>
  <c r="L155" i="4"/>
  <c r="I155" i="4"/>
  <c r="F155" i="4"/>
  <c r="G155" i="4" s="1"/>
  <c r="E155" i="4"/>
  <c r="B155" i="4"/>
  <c r="U154" i="4"/>
  <c r="T154" i="4"/>
  <c r="S154" i="4"/>
  <c r="R154" i="4"/>
  <c r="O154" i="4"/>
  <c r="L154" i="4"/>
  <c r="N154" i="4" s="1"/>
  <c r="I154" i="4"/>
  <c r="F154" i="4"/>
  <c r="G154" i="4" s="1"/>
  <c r="E154" i="4"/>
  <c r="B154" i="4"/>
  <c r="U153" i="4"/>
  <c r="T153" i="4"/>
  <c r="S153" i="4"/>
  <c r="R153" i="4"/>
  <c r="N153" i="4"/>
  <c r="L153" i="4"/>
  <c r="O153" i="4" s="1"/>
  <c r="I153" i="4"/>
  <c r="G153" i="4"/>
  <c r="F153" i="4"/>
  <c r="E153" i="4"/>
  <c r="B153" i="4"/>
  <c r="H153" i="4" s="1"/>
  <c r="U152" i="4"/>
  <c r="T152" i="4"/>
  <c r="S152" i="4"/>
  <c r="R152" i="4"/>
  <c r="Q152" i="4"/>
  <c r="O152" i="4"/>
  <c r="N152" i="4"/>
  <c r="M152" i="4"/>
  <c r="P152" i="4" s="1"/>
  <c r="L152" i="4"/>
  <c r="I152" i="4"/>
  <c r="F152" i="4"/>
  <c r="G152" i="4" s="1"/>
  <c r="E152" i="4"/>
  <c r="B152" i="4"/>
  <c r="J152" i="4" s="1"/>
  <c r="U151" i="4"/>
  <c r="T151" i="4"/>
  <c r="S151" i="4"/>
  <c r="R151" i="4"/>
  <c r="L151" i="4"/>
  <c r="I151" i="4"/>
  <c r="F151" i="4"/>
  <c r="G151" i="4" s="1"/>
  <c r="E151" i="4"/>
  <c r="B151" i="4"/>
  <c r="U150" i="4"/>
  <c r="T150" i="4"/>
  <c r="S150" i="4"/>
  <c r="R150" i="4"/>
  <c r="O150" i="4"/>
  <c r="L150" i="4"/>
  <c r="N150" i="4" s="1"/>
  <c r="I150" i="4"/>
  <c r="F150" i="4"/>
  <c r="G150" i="4" s="1"/>
  <c r="E150" i="4"/>
  <c r="B150" i="4"/>
  <c r="U149" i="4"/>
  <c r="T149" i="4"/>
  <c r="S149" i="4"/>
  <c r="R149" i="4"/>
  <c r="N149" i="4"/>
  <c r="L149" i="4"/>
  <c r="O149" i="4" s="1"/>
  <c r="I149" i="4"/>
  <c r="G149" i="4"/>
  <c r="F149" i="4"/>
  <c r="E149" i="4"/>
  <c r="B149" i="4"/>
  <c r="H149" i="4" s="1"/>
  <c r="U148" i="4"/>
  <c r="T148" i="4"/>
  <c r="S148" i="4"/>
  <c r="R148" i="4"/>
  <c r="Q148" i="4"/>
  <c r="O148" i="4"/>
  <c r="N148" i="4"/>
  <c r="M148" i="4"/>
  <c r="L148" i="4"/>
  <c r="I148" i="4"/>
  <c r="F148" i="4"/>
  <c r="G148" i="4" s="1"/>
  <c r="E148" i="4"/>
  <c r="B148" i="4"/>
  <c r="J148" i="4" s="1"/>
  <c r="U147" i="4"/>
  <c r="T147" i="4"/>
  <c r="S147" i="4"/>
  <c r="R147" i="4"/>
  <c r="L147" i="4"/>
  <c r="I147" i="4"/>
  <c r="F147" i="4"/>
  <c r="G147" i="4" s="1"/>
  <c r="E147" i="4"/>
  <c r="B147" i="4"/>
  <c r="U146" i="4"/>
  <c r="T146" i="4"/>
  <c r="S146" i="4"/>
  <c r="R146" i="4"/>
  <c r="L146" i="4"/>
  <c r="N146" i="4" s="1"/>
  <c r="I146" i="4"/>
  <c r="F146" i="4"/>
  <c r="G146" i="4" s="1"/>
  <c r="E146" i="4"/>
  <c r="B146" i="4"/>
  <c r="U145" i="4"/>
  <c r="T145" i="4"/>
  <c r="S145" i="4"/>
  <c r="R145" i="4"/>
  <c r="L145" i="4"/>
  <c r="O145" i="4" s="1"/>
  <c r="I145" i="4"/>
  <c r="G145" i="4"/>
  <c r="F145" i="4"/>
  <c r="E145" i="4"/>
  <c r="B145" i="4"/>
  <c r="H145" i="4" s="1"/>
  <c r="S144" i="4"/>
  <c r="R144" i="4"/>
  <c r="L144" i="4"/>
  <c r="N144" i="4" s="1"/>
  <c r="I144" i="4"/>
  <c r="F144" i="4"/>
  <c r="E144" i="4"/>
  <c r="B144" i="4"/>
  <c r="U143" i="4"/>
  <c r="T143" i="4"/>
  <c r="S143" i="4"/>
  <c r="R143" i="4"/>
  <c r="Q143" i="4"/>
  <c r="O143" i="4"/>
  <c r="N143" i="4"/>
  <c r="M143" i="4"/>
  <c r="P143" i="4" s="1"/>
  <c r="L143" i="4"/>
  <c r="I143" i="4"/>
  <c r="H143" i="4"/>
  <c r="F143" i="4"/>
  <c r="G143" i="4" s="1"/>
  <c r="J143" i="4" s="1"/>
  <c r="E143" i="4"/>
  <c r="B143" i="4"/>
  <c r="U142" i="4"/>
  <c r="T142" i="4"/>
  <c r="S142" i="4"/>
  <c r="R142" i="4"/>
  <c r="L142" i="4"/>
  <c r="O142" i="4" s="1"/>
  <c r="I142" i="4"/>
  <c r="F142" i="4"/>
  <c r="G142" i="4" s="1"/>
  <c r="E142" i="4"/>
  <c r="B142" i="4"/>
  <c r="S141" i="4"/>
  <c r="R141" i="4"/>
  <c r="Q141" i="4"/>
  <c r="O141" i="4"/>
  <c r="N141" i="4"/>
  <c r="M141" i="4"/>
  <c r="P141" i="4" s="1"/>
  <c r="L141" i="4"/>
  <c r="I141" i="4"/>
  <c r="F141" i="4"/>
  <c r="G141" i="4" s="1"/>
  <c r="H141" i="4" s="1"/>
  <c r="E141" i="4"/>
  <c r="B141" i="4"/>
  <c r="U140" i="4"/>
  <c r="T140" i="4"/>
  <c r="S140" i="4"/>
  <c r="R140" i="4"/>
  <c r="O140" i="4"/>
  <c r="N140" i="4"/>
  <c r="L140" i="4"/>
  <c r="J140" i="4"/>
  <c r="I140" i="4"/>
  <c r="G140" i="4"/>
  <c r="H140" i="4" s="1"/>
  <c r="F140" i="4"/>
  <c r="E140" i="4"/>
  <c r="B140" i="4"/>
  <c r="U139" i="4"/>
  <c r="T139" i="4"/>
  <c r="S139" i="4"/>
  <c r="R139" i="4"/>
  <c r="O139" i="4"/>
  <c r="M139" i="4"/>
  <c r="P139" i="4" s="1"/>
  <c r="L139" i="4"/>
  <c r="N139" i="4" s="1"/>
  <c r="I139" i="4"/>
  <c r="G139" i="4"/>
  <c r="J139" i="4" s="1"/>
  <c r="F139" i="4"/>
  <c r="E139" i="4"/>
  <c r="B139" i="4"/>
  <c r="H139" i="4" s="1"/>
  <c r="U138" i="4"/>
  <c r="T138" i="4"/>
  <c r="S138" i="4"/>
  <c r="R138" i="4"/>
  <c r="M138" i="4"/>
  <c r="L138" i="4"/>
  <c r="O138" i="4" s="1"/>
  <c r="I138" i="4"/>
  <c r="G138" i="4"/>
  <c r="J138" i="4" s="1"/>
  <c r="F138" i="4"/>
  <c r="E138" i="4"/>
  <c r="B138" i="4"/>
  <c r="U137" i="4"/>
  <c r="T137" i="4"/>
  <c r="S137" i="4"/>
  <c r="R137" i="4"/>
  <c r="Q137" i="4"/>
  <c r="O137" i="4"/>
  <c r="N137" i="4"/>
  <c r="M137" i="4"/>
  <c r="P137" i="4" s="1"/>
  <c r="L137" i="4"/>
  <c r="I137" i="4"/>
  <c r="F137" i="4"/>
  <c r="G137" i="4" s="1"/>
  <c r="H137" i="4" s="1"/>
  <c r="E137" i="4"/>
  <c r="B137" i="4"/>
  <c r="U136" i="4"/>
  <c r="T136" i="4"/>
  <c r="S136" i="4"/>
  <c r="R136" i="4"/>
  <c r="O136" i="4"/>
  <c r="N136" i="4"/>
  <c r="L136" i="4"/>
  <c r="I136" i="4"/>
  <c r="G136" i="4"/>
  <c r="H136" i="4" s="1"/>
  <c r="F136" i="4"/>
  <c r="E136" i="4"/>
  <c r="B136" i="4"/>
  <c r="U135" i="4"/>
  <c r="T135" i="4"/>
  <c r="S135" i="4"/>
  <c r="R135" i="4"/>
  <c r="M135" i="4"/>
  <c r="L135" i="4"/>
  <c r="N135" i="4" s="1"/>
  <c r="I135" i="4"/>
  <c r="G135" i="4"/>
  <c r="J135" i="4" s="1"/>
  <c r="F135" i="4"/>
  <c r="E135" i="4"/>
  <c r="B135" i="4"/>
  <c r="H135" i="4" s="1"/>
  <c r="U134" i="4"/>
  <c r="T134" i="4"/>
  <c r="S134" i="4"/>
  <c r="R134" i="4"/>
  <c r="M134" i="4"/>
  <c r="L134" i="4"/>
  <c r="O134" i="4" s="1"/>
  <c r="I134" i="4"/>
  <c r="G134" i="4"/>
  <c r="J134" i="4" s="1"/>
  <c r="F134" i="4"/>
  <c r="E134" i="4"/>
  <c r="B134" i="4"/>
  <c r="U133" i="4"/>
  <c r="T133" i="4"/>
  <c r="S133" i="4"/>
  <c r="R133" i="4"/>
  <c r="Q133" i="4"/>
  <c r="O133" i="4"/>
  <c r="N133" i="4"/>
  <c r="M133" i="4"/>
  <c r="L133" i="4"/>
  <c r="I133" i="4"/>
  <c r="F133" i="4"/>
  <c r="G133" i="4" s="1"/>
  <c r="H133" i="4" s="1"/>
  <c r="E133" i="4"/>
  <c r="B133" i="4"/>
  <c r="U132" i="4"/>
  <c r="T132" i="4"/>
  <c r="S132" i="4"/>
  <c r="R132" i="4"/>
  <c r="O132" i="4"/>
  <c r="N132" i="4"/>
  <c r="L132" i="4"/>
  <c r="I132" i="4"/>
  <c r="G132" i="4"/>
  <c r="H132" i="4" s="1"/>
  <c r="F132" i="4"/>
  <c r="E132" i="4"/>
  <c r="B132" i="4"/>
  <c r="U131" i="4"/>
  <c r="T131" i="4"/>
  <c r="S131" i="4"/>
  <c r="R131" i="4"/>
  <c r="M131" i="4"/>
  <c r="L131" i="4"/>
  <c r="N131" i="4" s="1"/>
  <c r="I131" i="4"/>
  <c r="G131" i="4"/>
  <c r="J131" i="4" s="1"/>
  <c r="F131" i="4"/>
  <c r="E131" i="4"/>
  <c r="B131" i="4"/>
  <c r="H131" i="4" s="1"/>
  <c r="U130" i="4"/>
  <c r="T130" i="4"/>
  <c r="S130" i="4"/>
  <c r="R130" i="4"/>
  <c r="M130" i="4"/>
  <c r="L130" i="4"/>
  <c r="O130" i="4" s="1"/>
  <c r="I130" i="4"/>
  <c r="G130" i="4"/>
  <c r="J130" i="4" s="1"/>
  <c r="F130" i="4"/>
  <c r="E130" i="4"/>
  <c r="B130" i="4"/>
  <c r="U129" i="4"/>
  <c r="T129" i="4"/>
  <c r="S129" i="4"/>
  <c r="R129" i="4"/>
  <c r="Q129" i="4"/>
  <c r="O129" i="4"/>
  <c r="N129" i="4"/>
  <c r="M129" i="4"/>
  <c r="L129" i="4"/>
  <c r="I129" i="4"/>
  <c r="F129" i="4"/>
  <c r="G129" i="4" s="1"/>
  <c r="H129" i="4" s="1"/>
  <c r="E129" i="4"/>
  <c r="B129" i="4"/>
  <c r="U128" i="4"/>
  <c r="T128" i="4"/>
  <c r="S128" i="4"/>
  <c r="R128" i="4"/>
  <c r="O128" i="4"/>
  <c r="N128" i="4"/>
  <c r="L128" i="4"/>
  <c r="I128" i="4"/>
  <c r="G128" i="4"/>
  <c r="H128" i="4" s="1"/>
  <c r="F128" i="4"/>
  <c r="E128" i="4"/>
  <c r="B128" i="4"/>
  <c r="U127" i="4"/>
  <c r="T127" i="4"/>
  <c r="S127" i="4"/>
  <c r="R127" i="4"/>
  <c r="M127" i="4"/>
  <c r="L127" i="4"/>
  <c r="N127" i="4" s="1"/>
  <c r="I127" i="4"/>
  <c r="G127" i="4"/>
  <c r="J127" i="4" s="1"/>
  <c r="F127" i="4"/>
  <c r="E127" i="4"/>
  <c r="B127" i="4"/>
  <c r="H127" i="4" s="1"/>
  <c r="U126" i="4"/>
  <c r="T126" i="4"/>
  <c r="S126" i="4"/>
  <c r="R126" i="4"/>
  <c r="M126" i="4"/>
  <c r="L126" i="4"/>
  <c r="O126" i="4" s="1"/>
  <c r="I126" i="4"/>
  <c r="G126" i="4"/>
  <c r="J126" i="4" s="1"/>
  <c r="F126" i="4"/>
  <c r="E126" i="4"/>
  <c r="B126" i="4"/>
  <c r="U125" i="4"/>
  <c r="T125" i="4"/>
  <c r="S125" i="4"/>
  <c r="R125" i="4"/>
  <c r="Q125" i="4"/>
  <c r="O125" i="4"/>
  <c r="N125" i="4"/>
  <c r="M125" i="4"/>
  <c r="L125" i="4"/>
  <c r="I125" i="4"/>
  <c r="F125" i="4"/>
  <c r="G125" i="4" s="1"/>
  <c r="H125" i="4" s="1"/>
  <c r="E125" i="4"/>
  <c r="B125" i="4"/>
  <c r="U124" i="4"/>
  <c r="T124" i="4"/>
  <c r="S124" i="4"/>
  <c r="R124" i="4"/>
  <c r="O124" i="4"/>
  <c r="N124" i="4"/>
  <c r="L124" i="4"/>
  <c r="I124" i="4"/>
  <c r="G124" i="4"/>
  <c r="J124" i="4" s="1"/>
  <c r="F124" i="4"/>
  <c r="E124" i="4"/>
  <c r="B124" i="4"/>
  <c r="H124" i="4" s="1"/>
  <c r="U123" i="4"/>
  <c r="T123" i="4"/>
  <c r="S123" i="4"/>
  <c r="R123" i="4"/>
  <c r="Q123" i="4"/>
  <c r="O123" i="4"/>
  <c r="N123" i="4"/>
  <c r="M123" i="4"/>
  <c r="P123" i="4" s="1"/>
  <c r="L123" i="4"/>
  <c r="I123" i="4"/>
  <c r="F123" i="4"/>
  <c r="G123" i="4" s="1"/>
  <c r="E123" i="4"/>
  <c r="B123" i="4"/>
  <c r="U122" i="4"/>
  <c r="T122" i="4"/>
  <c r="S122" i="4"/>
  <c r="R122" i="4"/>
  <c r="L122" i="4"/>
  <c r="N122" i="4" s="1"/>
  <c r="I122" i="4"/>
  <c r="G122" i="4"/>
  <c r="H122" i="4" s="1"/>
  <c r="F122" i="4"/>
  <c r="E122" i="4"/>
  <c r="B122" i="4"/>
  <c r="U121" i="4"/>
  <c r="T121" i="4"/>
  <c r="S121" i="4"/>
  <c r="R121" i="4"/>
  <c r="Q121" i="4"/>
  <c r="M121" i="4"/>
  <c r="L121" i="4"/>
  <c r="O121" i="4" s="1"/>
  <c r="I121" i="4"/>
  <c r="G121" i="4"/>
  <c r="J121" i="4" s="1"/>
  <c r="F121" i="4"/>
  <c r="E121" i="4"/>
  <c r="B121" i="4"/>
  <c r="H121" i="4" s="1"/>
  <c r="U120" i="4"/>
  <c r="T120" i="4"/>
  <c r="S120" i="4"/>
  <c r="R120" i="4"/>
  <c r="Q120" i="4"/>
  <c r="N120" i="4"/>
  <c r="M120" i="4"/>
  <c r="L120" i="4"/>
  <c r="O120" i="4" s="1"/>
  <c r="I120" i="4"/>
  <c r="G120" i="4"/>
  <c r="J120" i="4" s="1"/>
  <c r="F120" i="4"/>
  <c r="E120" i="4"/>
  <c r="B120" i="4"/>
  <c r="H120" i="4" s="1"/>
  <c r="U119" i="4"/>
  <c r="T119" i="4"/>
  <c r="S119" i="4"/>
  <c r="R119" i="4"/>
  <c r="Q119" i="4"/>
  <c r="O119" i="4"/>
  <c r="N119" i="4"/>
  <c r="M119" i="4"/>
  <c r="P119" i="4" s="1"/>
  <c r="L119" i="4"/>
  <c r="I119" i="4"/>
  <c r="F119" i="4"/>
  <c r="G119" i="4" s="1"/>
  <c r="E119" i="4"/>
  <c r="B119" i="4"/>
  <c r="U118" i="4"/>
  <c r="T118" i="4"/>
  <c r="S118" i="4"/>
  <c r="R118" i="4"/>
  <c r="L118" i="4"/>
  <c r="N118" i="4" s="1"/>
  <c r="I118" i="4"/>
  <c r="G118" i="4"/>
  <c r="H118" i="4" s="1"/>
  <c r="F118" i="4"/>
  <c r="E118" i="4"/>
  <c r="B118" i="4"/>
  <c r="U117" i="4"/>
  <c r="T117" i="4"/>
  <c r="S117" i="4"/>
  <c r="R117" i="4"/>
  <c r="Q117" i="4"/>
  <c r="M117" i="4"/>
  <c r="L117" i="4"/>
  <c r="O117" i="4" s="1"/>
  <c r="I117" i="4"/>
  <c r="G117" i="4"/>
  <c r="J117" i="4" s="1"/>
  <c r="F117" i="4"/>
  <c r="E117" i="4"/>
  <c r="B117" i="4"/>
  <c r="H117" i="4" s="1"/>
  <c r="U116" i="4"/>
  <c r="T116" i="4"/>
  <c r="S116" i="4"/>
  <c r="R116" i="4"/>
  <c r="Q116" i="4"/>
  <c r="N116" i="4"/>
  <c r="M116" i="4"/>
  <c r="L116" i="4"/>
  <c r="O116" i="4" s="1"/>
  <c r="I116" i="4"/>
  <c r="G116" i="4"/>
  <c r="J116" i="4" s="1"/>
  <c r="F116" i="4"/>
  <c r="E116" i="4"/>
  <c r="B116" i="4"/>
  <c r="H116" i="4" s="1"/>
  <c r="S115" i="4"/>
  <c r="R115" i="4"/>
  <c r="Q115" i="4"/>
  <c r="M115" i="4"/>
  <c r="L115" i="4"/>
  <c r="O115" i="4" s="1"/>
  <c r="I115" i="4"/>
  <c r="F115" i="4"/>
  <c r="E115" i="4"/>
  <c r="B115" i="4"/>
  <c r="U114" i="4"/>
  <c r="T114" i="4"/>
  <c r="S114" i="4"/>
  <c r="R114" i="4"/>
  <c r="Q114" i="4"/>
  <c r="O114" i="4"/>
  <c r="N114" i="4"/>
  <c r="M114" i="4"/>
  <c r="P114" i="4" s="1"/>
  <c r="L114" i="4"/>
  <c r="I114" i="4"/>
  <c r="F114" i="4"/>
  <c r="G114" i="4" s="1"/>
  <c r="E114" i="4"/>
  <c r="B114" i="4"/>
  <c r="U113" i="4"/>
  <c r="T113" i="4"/>
  <c r="S113" i="4"/>
  <c r="R113" i="4"/>
  <c r="L113" i="4"/>
  <c r="N113" i="4" s="1"/>
  <c r="I113" i="4"/>
  <c r="G113" i="4"/>
  <c r="H113" i="4" s="1"/>
  <c r="F113" i="4"/>
  <c r="E113" i="4"/>
  <c r="B113" i="4"/>
  <c r="U112" i="4"/>
  <c r="T112" i="4"/>
  <c r="S112" i="4"/>
  <c r="R112" i="4"/>
  <c r="Q112" i="4"/>
  <c r="M112" i="4"/>
  <c r="L112" i="4"/>
  <c r="O112" i="4" s="1"/>
  <c r="I112" i="4"/>
  <c r="G112" i="4"/>
  <c r="J112" i="4" s="1"/>
  <c r="F112" i="4"/>
  <c r="E112" i="4"/>
  <c r="B112" i="4"/>
  <c r="H112" i="4" s="1"/>
  <c r="U111" i="4"/>
  <c r="T111" i="4"/>
  <c r="S111" i="4"/>
  <c r="R111" i="4"/>
  <c r="Q111" i="4"/>
  <c r="N111" i="4"/>
  <c r="M111" i="4"/>
  <c r="P111" i="4" s="1"/>
  <c r="L111" i="4"/>
  <c r="O111" i="4" s="1"/>
  <c r="I111" i="4"/>
  <c r="G111" i="4"/>
  <c r="J111" i="4" s="1"/>
  <c r="F111" i="4"/>
  <c r="E111" i="4"/>
  <c r="B111" i="4"/>
  <c r="H111" i="4" s="1"/>
  <c r="U110" i="4"/>
  <c r="T110" i="4"/>
  <c r="S110" i="4"/>
  <c r="R110" i="4"/>
  <c r="Q110" i="4"/>
  <c r="O110" i="4"/>
  <c r="N110" i="4"/>
  <c r="M110" i="4"/>
  <c r="P110" i="4" s="1"/>
  <c r="L110" i="4"/>
  <c r="I110" i="4"/>
  <c r="F110" i="4"/>
  <c r="G110" i="4" s="1"/>
  <c r="E110" i="4"/>
  <c r="B110" i="4"/>
  <c r="U109" i="4"/>
  <c r="T109" i="4"/>
  <c r="S109" i="4"/>
  <c r="R109" i="4"/>
  <c r="L109" i="4"/>
  <c r="N109" i="4" s="1"/>
  <c r="I109" i="4"/>
  <c r="G109" i="4"/>
  <c r="H109" i="4" s="1"/>
  <c r="F109" i="4"/>
  <c r="E109" i="4"/>
  <c r="B109" i="4"/>
  <c r="U108" i="4"/>
  <c r="T108" i="4"/>
  <c r="S108" i="4"/>
  <c r="R108" i="4"/>
  <c r="Q108" i="4"/>
  <c r="M108" i="4"/>
  <c r="L108" i="4"/>
  <c r="O108" i="4" s="1"/>
  <c r="I108" i="4"/>
  <c r="G108" i="4"/>
  <c r="J108" i="4" s="1"/>
  <c r="F108" i="4"/>
  <c r="E108" i="4"/>
  <c r="B108" i="4"/>
  <c r="H108" i="4" s="1"/>
  <c r="U107" i="4"/>
  <c r="T107" i="4"/>
  <c r="S107" i="4"/>
  <c r="R107" i="4"/>
  <c r="Q107" i="4"/>
  <c r="N107" i="4"/>
  <c r="M107" i="4"/>
  <c r="P107" i="4" s="1"/>
  <c r="L107" i="4"/>
  <c r="O107" i="4" s="1"/>
  <c r="I107" i="4"/>
  <c r="G107" i="4"/>
  <c r="J107" i="4" s="1"/>
  <c r="F107" i="4"/>
  <c r="E107" i="4"/>
  <c r="B107" i="4"/>
  <c r="H107" i="4" s="1"/>
  <c r="U106" i="4"/>
  <c r="T106" i="4"/>
  <c r="S106" i="4"/>
  <c r="R106" i="4"/>
  <c r="Q106" i="4"/>
  <c r="O106" i="4"/>
  <c r="N106" i="4"/>
  <c r="M106" i="4"/>
  <c r="P106" i="4" s="1"/>
  <c r="L106" i="4"/>
  <c r="I106" i="4"/>
  <c r="F106" i="4"/>
  <c r="G106" i="4" s="1"/>
  <c r="E106" i="4"/>
  <c r="B106" i="4"/>
  <c r="U105" i="4"/>
  <c r="T105" i="4"/>
  <c r="S105" i="4"/>
  <c r="R105" i="4"/>
  <c r="L105" i="4"/>
  <c r="N105" i="4" s="1"/>
  <c r="I105" i="4"/>
  <c r="G105" i="4"/>
  <c r="H105" i="4" s="1"/>
  <c r="F105" i="4"/>
  <c r="E105" i="4"/>
  <c r="B105" i="4"/>
  <c r="U104" i="4"/>
  <c r="T104" i="4"/>
  <c r="S104" i="4"/>
  <c r="R104" i="4"/>
  <c r="Q104" i="4"/>
  <c r="M104" i="4"/>
  <c r="L104" i="4"/>
  <c r="O104" i="4" s="1"/>
  <c r="I104" i="4"/>
  <c r="F104" i="4"/>
  <c r="E104" i="4"/>
  <c r="B104" i="4"/>
  <c r="U103" i="4"/>
  <c r="T103" i="4"/>
  <c r="S103" i="4"/>
  <c r="R103" i="4"/>
  <c r="Q103" i="4"/>
  <c r="O103" i="4"/>
  <c r="N103" i="4"/>
  <c r="M103" i="4"/>
  <c r="P103" i="4" s="1"/>
  <c r="L103" i="4"/>
  <c r="I103" i="4"/>
  <c r="F103" i="4"/>
  <c r="G103" i="4" s="1"/>
  <c r="E103" i="4"/>
  <c r="B103" i="4"/>
  <c r="T102" i="4"/>
  <c r="S102" i="4"/>
  <c r="R102" i="4"/>
  <c r="Q102" i="4"/>
  <c r="O102" i="4"/>
  <c r="N102" i="4"/>
  <c r="M102" i="4"/>
  <c r="P102" i="4" s="1"/>
  <c r="L102" i="4"/>
  <c r="I102" i="4"/>
  <c r="F102" i="4"/>
  <c r="G102" i="4" s="1"/>
  <c r="E102" i="4"/>
  <c r="B102" i="4"/>
  <c r="U101" i="4"/>
  <c r="T101" i="4"/>
  <c r="S101" i="4"/>
  <c r="R101" i="4"/>
  <c r="L101" i="4"/>
  <c r="N101" i="4" s="1"/>
  <c r="I101" i="4"/>
  <c r="G101" i="4"/>
  <c r="H101" i="4" s="1"/>
  <c r="F101" i="4"/>
  <c r="E101" i="4"/>
  <c r="B101" i="4"/>
  <c r="U100" i="4"/>
  <c r="T100" i="4"/>
  <c r="S100" i="4"/>
  <c r="R100" i="4"/>
  <c r="Q100" i="4"/>
  <c r="M100" i="4"/>
  <c r="L100" i="4"/>
  <c r="O100" i="4" s="1"/>
  <c r="I100" i="4"/>
  <c r="G100" i="4"/>
  <c r="J100" i="4" s="1"/>
  <c r="F100" i="4"/>
  <c r="E100" i="4"/>
  <c r="B100" i="4"/>
  <c r="H100" i="4" s="1"/>
  <c r="S99" i="4"/>
  <c r="R99" i="4"/>
  <c r="L99" i="4"/>
  <c r="N99" i="4" s="1"/>
  <c r="I99" i="4"/>
  <c r="G99" i="4"/>
  <c r="H99" i="4" s="1"/>
  <c r="F99" i="4"/>
  <c r="E99" i="4"/>
  <c r="B99" i="4"/>
  <c r="S98" i="4"/>
  <c r="R98" i="4"/>
  <c r="Q98" i="4"/>
  <c r="O98" i="4"/>
  <c r="N98" i="4"/>
  <c r="M98" i="4"/>
  <c r="P98" i="4" s="1"/>
  <c r="L98" i="4"/>
  <c r="I98" i="4"/>
  <c r="F98" i="4"/>
  <c r="G98" i="4" s="1"/>
  <c r="E98" i="4"/>
  <c r="B98" i="4"/>
  <c r="U97" i="4"/>
  <c r="T97" i="4"/>
  <c r="S97" i="4"/>
  <c r="R97" i="4"/>
  <c r="L97" i="4"/>
  <c r="N97" i="4" s="1"/>
  <c r="I97" i="4"/>
  <c r="G97" i="4"/>
  <c r="H97" i="4" s="1"/>
  <c r="F97" i="4"/>
  <c r="E97" i="4"/>
  <c r="B97" i="4"/>
  <c r="U96" i="4"/>
  <c r="T96" i="4"/>
  <c r="S96" i="4"/>
  <c r="R96" i="4"/>
  <c r="M96" i="4"/>
  <c r="L96" i="4"/>
  <c r="O96" i="4" s="1"/>
  <c r="I96" i="4"/>
  <c r="G96" i="4"/>
  <c r="J96" i="4" s="1"/>
  <c r="F96" i="4"/>
  <c r="E96" i="4"/>
  <c r="B96" i="4"/>
  <c r="H96" i="4" s="1"/>
  <c r="U95" i="4"/>
  <c r="T95" i="4"/>
  <c r="S95" i="4"/>
  <c r="R95" i="4"/>
  <c r="Q95" i="4"/>
  <c r="N95" i="4"/>
  <c r="M95" i="4"/>
  <c r="P95" i="4" s="1"/>
  <c r="L95" i="4"/>
  <c r="O95" i="4" s="1"/>
  <c r="I95" i="4"/>
  <c r="G95" i="4"/>
  <c r="J95" i="4" s="1"/>
  <c r="F95" i="4"/>
  <c r="E95" i="4"/>
  <c r="B95" i="4"/>
  <c r="H95" i="4" s="1"/>
  <c r="U94" i="4"/>
  <c r="T94" i="4"/>
  <c r="S94" i="4"/>
  <c r="R94" i="4"/>
  <c r="Q94" i="4"/>
  <c r="O94" i="4"/>
  <c r="N94" i="4"/>
  <c r="M94" i="4"/>
  <c r="P94" i="4" s="1"/>
  <c r="L94" i="4"/>
  <c r="I94" i="4"/>
  <c r="F94" i="4"/>
  <c r="G94" i="4" s="1"/>
  <c r="E94" i="4"/>
  <c r="B94" i="4"/>
  <c r="U93" i="4"/>
  <c r="T93" i="4"/>
  <c r="S93" i="4"/>
  <c r="R93" i="4"/>
  <c r="L93" i="4"/>
  <c r="N93" i="4" s="1"/>
  <c r="I93" i="4"/>
  <c r="G93" i="4"/>
  <c r="H93" i="4" s="1"/>
  <c r="F93" i="4"/>
  <c r="E93" i="4"/>
  <c r="B93" i="4"/>
  <c r="U92" i="4"/>
  <c r="T92" i="4"/>
  <c r="S92" i="4"/>
  <c r="R92" i="4"/>
  <c r="Q92" i="4"/>
  <c r="M92" i="4"/>
  <c r="L92" i="4"/>
  <c r="O92" i="4" s="1"/>
  <c r="I92" i="4"/>
  <c r="G92" i="4"/>
  <c r="J92" i="4" s="1"/>
  <c r="F92" i="4"/>
  <c r="E92" i="4"/>
  <c r="B92" i="4"/>
  <c r="H92" i="4" s="1"/>
  <c r="U91" i="4"/>
  <c r="T91" i="4"/>
  <c r="S91" i="4"/>
  <c r="R91" i="4"/>
  <c r="Q91" i="4"/>
  <c r="N91" i="4"/>
  <c r="M91" i="4"/>
  <c r="P91" i="4" s="1"/>
  <c r="L91" i="4"/>
  <c r="O91" i="4" s="1"/>
  <c r="I91" i="4"/>
  <c r="G91" i="4"/>
  <c r="J91" i="4" s="1"/>
  <c r="F91" i="4"/>
  <c r="E91" i="4"/>
  <c r="B91" i="4"/>
  <c r="H91" i="4" s="1"/>
  <c r="U90" i="4"/>
  <c r="T90" i="4"/>
  <c r="S90" i="4"/>
  <c r="R90" i="4"/>
  <c r="Q90" i="4"/>
  <c r="O90" i="4"/>
  <c r="N90" i="4"/>
  <c r="M90" i="4"/>
  <c r="P90" i="4" s="1"/>
  <c r="L90" i="4"/>
  <c r="I90" i="4"/>
  <c r="F90" i="4"/>
  <c r="G90" i="4" s="1"/>
  <c r="E90" i="4"/>
  <c r="B90" i="4"/>
  <c r="U89" i="4"/>
  <c r="T89" i="4"/>
  <c r="S89" i="4"/>
  <c r="R89" i="4"/>
  <c r="L89" i="4"/>
  <c r="N89" i="4" s="1"/>
  <c r="I89" i="4"/>
  <c r="G89" i="4"/>
  <c r="H89" i="4" s="1"/>
  <c r="F89" i="4"/>
  <c r="E89" i="4"/>
  <c r="B89" i="4"/>
  <c r="U88" i="4"/>
  <c r="T88" i="4"/>
  <c r="S88" i="4"/>
  <c r="R88" i="4"/>
  <c r="Q88" i="4"/>
  <c r="M88" i="4"/>
  <c r="L88" i="4"/>
  <c r="O88" i="4" s="1"/>
  <c r="I88" i="4"/>
  <c r="G88" i="4"/>
  <c r="J88" i="4" s="1"/>
  <c r="F88" i="4"/>
  <c r="E88" i="4"/>
  <c r="B88" i="4"/>
  <c r="H88" i="4" s="1"/>
  <c r="U87" i="4"/>
  <c r="T87" i="4"/>
  <c r="S87" i="4"/>
  <c r="R87" i="4"/>
  <c r="Q87" i="4"/>
  <c r="N87" i="4"/>
  <c r="M87" i="4"/>
  <c r="P87" i="4" s="1"/>
  <c r="L87" i="4"/>
  <c r="O87" i="4" s="1"/>
  <c r="I87" i="4"/>
  <c r="F87" i="4"/>
  <c r="E87" i="4"/>
  <c r="B87" i="4"/>
  <c r="U86" i="4"/>
  <c r="T86" i="4"/>
  <c r="S86" i="4"/>
  <c r="R86" i="4"/>
  <c r="L86" i="4"/>
  <c r="N86" i="4" s="1"/>
  <c r="I86" i="4"/>
  <c r="G86" i="4"/>
  <c r="H86" i="4" s="1"/>
  <c r="F86" i="4"/>
  <c r="E86" i="4"/>
  <c r="B86" i="4"/>
  <c r="U85" i="4"/>
  <c r="T85" i="4"/>
  <c r="S85" i="4"/>
  <c r="R85" i="4"/>
  <c r="Q85" i="4"/>
  <c r="M85" i="4"/>
  <c r="L85" i="4"/>
  <c r="O85" i="4" s="1"/>
  <c r="I85" i="4"/>
  <c r="G85" i="4"/>
  <c r="J85" i="4" s="1"/>
  <c r="F85" i="4"/>
  <c r="E85" i="4"/>
  <c r="B85" i="4"/>
  <c r="H85" i="4" s="1"/>
  <c r="U84" i="4"/>
  <c r="T84" i="4"/>
  <c r="S84" i="4"/>
  <c r="R84" i="4"/>
  <c r="Q84" i="4"/>
  <c r="N84" i="4"/>
  <c r="M84" i="4"/>
  <c r="P84" i="4" s="1"/>
  <c r="L84" i="4"/>
  <c r="O84" i="4" s="1"/>
  <c r="I84" i="4"/>
  <c r="G84" i="4"/>
  <c r="J84" i="4" s="1"/>
  <c r="F84" i="4"/>
  <c r="E84" i="4"/>
  <c r="B84" i="4"/>
  <c r="H84" i="4" s="1"/>
  <c r="U83" i="4"/>
  <c r="T83" i="4"/>
  <c r="S83" i="4"/>
  <c r="R83" i="4"/>
  <c r="Q83" i="4"/>
  <c r="O83" i="4"/>
  <c r="N83" i="4"/>
  <c r="M83" i="4"/>
  <c r="P83" i="4" s="1"/>
  <c r="L83" i="4"/>
  <c r="I83" i="4"/>
  <c r="F83" i="4"/>
  <c r="G83" i="4" s="1"/>
  <c r="H83" i="4" s="1"/>
  <c r="E83" i="4"/>
  <c r="B83" i="4"/>
  <c r="U82" i="4"/>
  <c r="T82" i="4"/>
  <c r="S82" i="4"/>
  <c r="R82" i="4"/>
  <c r="L82" i="4"/>
  <c r="I82" i="4"/>
  <c r="F82" i="4"/>
  <c r="G82" i="4" s="1"/>
  <c r="E82" i="4"/>
  <c r="B82" i="4"/>
  <c r="U81" i="4"/>
  <c r="T81" i="4"/>
  <c r="S81" i="4"/>
  <c r="R81" i="4"/>
  <c r="Q81" i="4"/>
  <c r="M81" i="4"/>
  <c r="L81" i="4"/>
  <c r="I81" i="4"/>
  <c r="G81" i="4"/>
  <c r="J81" i="4" s="1"/>
  <c r="F81" i="4"/>
  <c r="E81" i="4"/>
  <c r="B81" i="4"/>
  <c r="S80" i="4"/>
  <c r="R80" i="4"/>
  <c r="L80" i="4"/>
  <c r="I80" i="4"/>
  <c r="F80" i="4"/>
  <c r="E80" i="4"/>
  <c r="B80" i="4"/>
  <c r="U79" i="4"/>
  <c r="T79" i="4"/>
  <c r="S79" i="4"/>
  <c r="R79" i="4"/>
  <c r="N79" i="4"/>
  <c r="M79" i="4"/>
  <c r="P79" i="4" s="1"/>
  <c r="L79" i="4"/>
  <c r="O79" i="4" s="1"/>
  <c r="I79" i="4"/>
  <c r="G79" i="4"/>
  <c r="J79" i="4" s="1"/>
  <c r="F79" i="4"/>
  <c r="E79" i="4"/>
  <c r="B79" i="4"/>
  <c r="U78" i="4"/>
  <c r="T78" i="4"/>
  <c r="S78" i="4"/>
  <c r="R78" i="4"/>
  <c r="Q78" i="4"/>
  <c r="O78" i="4"/>
  <c r="N78" i="4"/>
  <c r="M78" i="4"/>
  <c r="P78" i="4" s="1"/>
  <c r="L78" i="4"/>
  <c r="I78" i="4"/>
  <c r="G78" i="4"/>
  <c r="J78" i="4" s="1"/>
  <c r="F78" i="4"/>
  <c r="E78" i="4"/>
  <c r="B78" i="4"/>
  <c r="U77" i="4"/>
  <c r="T77" i="4"/>
  <c r="S77" i="4"/>
  <c r="R77" i="4"/>
  <c r="Q77" i="4"/>
  <c r="O77" i="4"/>
  <c r="N77" i="4"/>
  <c r="M77" i="4"/>
  <c r="P77" i="4" s="1"/>
  <c r="L77" i="4"/>
  <c r="I77" i="4"/>
  <c r="F77" i="4"/>
  <c r="G77" i="4" s="1"/>
  <c r="E77" i="4"/>
  <c r="B77" i="4"/>
  <c r="U76" i="4"/>
  <c r="T76" i="4"/>
  <c r="S76" i="4"/>
  <c r="R76" i="4"/>
  <c r="Q76" i="4"/>
  <c r="O76" i="4"/>
  <c r="N76" i="4"/>
  <c r="P76" i="4" s="1"/>
  <c r="M76" i="4"/>
  <c r="I76" i="4"/>
  <c r="F76" i="4"/>
  <c r="G76" i="4" s="1"/>
  <c r="E76" i="4"/>
  <c r="B76" i="4"/>
  <c r="U75" i="4"/>
  <c r="T75" i="4"/>
  <c r="S75" i="4"/>
  <c r="R75" i="4"/>
  <c r="O75" i="4"/>
  <c r="N75" i="4"/>
  <c r="L75" i="4"/>
  <c r="Q75" i="4" s="1"/>
  <c r="I75" i="4"/>
  <c r="F75" i="4"/>
  <c r="G75" i="4" s="1"/>
  <c r="E75" i="4"/>
  <c r="B75" i="4"/>
  <c r="U74" i="4"/>
  <c r="T74" i="4"/>
  <c r="S74" i="4"/>
  <c r="R74" i="4"/>
  <c r="O74" i="4"/>
  <c r="L74" i="4"/>
  <c r="N74" i="4" s="1"/>
  <c r="I74" i="4"/>
  <c r="F74" i="4"/>
  <c r="G74" i="4" s="1"/>
  <c r="E74" i="4"/>
  <c r="B74" i="4"/>
  <c r="U73" i="4"/>
  <c r="T73" i="4"/>
  <c r="S73" i="4"/>
  <c r="R73" i="4"/>
  <c r="L73" i="4"/>
  <c r="O73" i="4" s="1"/>
  <c r="I73" i="4"/>
  <c r="G73" i="4"/>
  <c r="J73" i="4" s="1"/>
  <c r="F73" i="4"/>
  <c r="E73" i="4"/>
  <c r="B73" i="4"/>
  <c r="U72" i="4"/>
  <c r="T72" i="4"/>
  <c r="S72" i="4"/>
  <c r="R72" i="4"/>
  <c r="Q72" i="4"/>
  <c r="O72" i="4"/>
  <c r="N72" i="4"/>
  <c r="M72" i="4"/>
  <c r="P72" i="4" s="1"/>
  <c r="L72" i="4"/>
  <c r="I72" i="4"/>
  <c r="F72" i="4"/>
  <c r="G72" i="4" s="1"/>
  <c r="E72" i="4"/>
  <c r="B72" i="4"/>
  <c r="U71" i="4"/>
  <c r="T71" i="4"/>
  <c r="S71" i="4"/>
  <c r="R71" i="4"/>
  <c r="O71" i="4"/>
  <c r="N71" i="4"/>
  <c r="L71" i="4"/>
  <c r="Q71" i="4" s="1"/>
  <c r="I71" i="4"/>
  <c r="F71" i="4"/>
  <c r="G71" i="4" s="1"/>
  <c r="E71" i="4"/>
  <c r="B71" i="4"/>
  <c r="U70" i="4"/>
  <c r="T70" i="4"/>
  <c r="S70" i="4"/>
  <c r="R70" i="4"/>
  <c r="O70" i="4"/>
  <c r="L70" i="4"/>
  <c r="N70" i="4" s="1"/>
  <c r="I70" i="4"/>
  <c r="F70" i="4"/>
  <c r="G70" i="4" s="1"/>
  <c r="E70" i="4"/>
  <c r="B70" i="4"/>
  <c r="U69" i="4"/>
  <c r="T69" i="4"/>
  <c r="S69" i="4"/>
  <c r="R69" i="4"/>
  <c r="L69" i="4"/>
  <c r="O69" i="4" s="1"/>
  <c r="I69" i="4"/>
  <c r="G69" i="4"/>
  <c r="J69" i="4" s="1"/>
  <c r="F69" i="4"/>
  <c r="E69" i="4"/>
  <c r="B69" i="4"/>
  <c r="U68" i="4"/>
  <c r="T68" i="4"/>
  <c r="S68" i="4"/>
  <c r="R68" i="4"/>
  <c r="Q68" i="4"/>
  <c r="O68" i="4"/>
  <c r="N68" i="4"/>
  <c r="M68" i="4"/>
  <c r="P68" i="4" s="1"/>
  <c r="L68" i="4"/>
  <c r="I68" i="4"/>
  <c r="F68" i="4"/>
  <c r="G68" i="4" s="1"/>
  <c r="E68" i="4"/>
  <c r="B68" i="4"/>
  <c r="U67" i="4"/>
  <c r="T67" i="4"/>
  <c r="S67" i="4"/>
  <c r="R67" i="4"/>
  <c r="N67" i="4"/>
  <c r="L67" i="4"/>
  <c r="Q67" i="4" s="1"/>
  <c r="I67" i="4"/>
  <c r="F67" i="4"/>
  <c r="G67" i="4" s="1"/>
  <c r="E67" i="4"/>
  <c r="B67" i="4"/>
  <c r="U66" i="4"/>
  <c r="T66" i="4"/>
  <c r="S66" i="4"/>
  <c r="R66" i="4"/>
  <c r="O66" i="4"/>
  <c r="L66" i="4"/>
  <c r="N66" i="4" s="1"/>
  <c r="I66" i="4"/>
  <c r="F66" i="4"/>
  <c r="G66" i="4" s="1"/>
  <c r="E66" i="4"/>
  <c r="B66" i="4"/>
  <c r="U65" i="4"/>
  <c r="T65" i="4"/>
  <c r="S65" i="4"/>
  <c r="R65" i="4"/>
  <c r="L65" i="4"/>
  <c r="O65" i="4" s="1"/>
  <c r="I65" i="4"/>
  <c r="G65" i="4"/>
  <c r="J65" i="4" s="1"/>
  <c r="F65" i="4"/>
  <c r="E65" i="4"/>
  <c r="B65" i="4"/>
  <c r="U64" i="4"/>
  <c r="T64" i="4"/>
  <c r="S64" i="4"/>
  <c r="R64" i="4"/>
  <c r="Q64" i="4"/>
  <c r="O64" i="4"/>
  <c r="N64" i="4"/>
  <c r="M64" i="4"/>
  <c r="P64" i="4" s="1"/>
  <c r="L64" i="4"/>
  <c r="I64" i="4"/>
  <c r="F64" i="4"/>
  <c r="G64" i="4" s="1"/>
  <c r="E64" i="4"/>
  <c r="B64" i="4"/>
  <c r="U63" i="4"/>
  <c r="T63" i="4"/>
  <c r="S63" i="4"/>
  <c r="R63" i="4"/>
  <c r="N63" i="4"/>
  <c r="L63" i="4"/>
  <c r="Q63" i="4" s="1"/>
  <c r="I63" i="4"/>
  <c r="F63" i="4"/>
  <c r="G63" i="4" s="1"/>
  <c r="E63" i="4"/>
  <c r="B63" i="4"/>
  <c r="U62" i="4"/>
  <c r="T62" i="4"/>
  <c r="S62" i="4"/>
  <c r="R62" i="4"/>
  <c r="O62" i="4"/>
  <c r="L62" i="4"/>
  <c r="N62" i="4" s="1"/>
  <c r="I62" i="4"/>
  <c r="F62" i="4"/>
  <c r="G62" i="4" s="1"/>
  <c r="E62" i="4"/>
  <c r="B62" i="4"/>
  <c r="S61" i="4"/>
  <c r="R61" i="4"/>
  <c r="O61" i="4"/>
  <c r="N61" i="4"/>
  <c r="L61" i="4"/>
  <c r="Q61" i="4" s="1"/>
  <c r="I61" i="4"/>
  <c r="F61" i="4"/>
  <c r="G61" i="4" s="1"/>
  <c r="E61" i="4"/>
  <c r="B61" i="4"/>
  <c r="U60" i="4"/>
  <c r="T60" i="4"/>
  <c r="S60" i="4"/>
  <c r="R60" i="4"/>
  <c r="O60" i="4"/>
  <c r="L60" i="4"/>
  <c r="N60" i="4" s="1"/>
  <c r="I60" i="4"/>
  <c r="F60" i="4"/>
  <c r="G60" i="4" s="1"/>
  <c r="E60" i="4"/>
  <c r="B60" i="4"/>
  <c r="T59" i="4"/>
  <c r="S59" i="4"/>
  <c r="R59" i="4"/>
  <c r="O59" i="4"/>
  <c r="L59" i="4"/>
  <c r="N59" i="4" s="1"/>
  <c r="I59" i="4"/>
  <c r="F59" i="4"/>
  <c r="G59" i="4" s="1"/>
  <c r="E59" i="4"/>
  <c r="B59" i="4"/>
  <c r="U58" i="4"/>
  <c r="T58" i="4"/>
  <c r="S58" i="4"/>
  <c r="R58" i="4"/>
  <c r="L58" i="4"/>
  <c r="O58" i="4" s="1"/>
  <c r="I58" i="4"/>
  <c r="G58" i="4"/>
  <c r="J58" i="4" s="1"/>
  <c r="F58" i="4"/>
  <c r="E58" i="4"/>
  <c r="B58" i="4"/>
  <c r="U57" i="4"/>
  <c r="T57" i="4"/>
  <c r="S57" i="4"/>
  <c r="R57" i="4"/>
  <c r="Q57" i="4"/>
  <c r="O57" i="4"/>
  <c r="N57" i="4"/>
  <c r="M57" i="4"/>
  <c r="P57" i="4" s="1"/>
  <c r="L57" i="4"/>
  <c r="I57" i="4"/>
  <c r="F57" i="4"/>
  <c r="G57" i="4" s="1"/>
  <c r="E57" i="4"/>
  <c r="B57" i="4"/>
  <c r="U56" i="4"/>
  <c r="T56" i="4"/>
  <c r="S56" i="4"/>
  <c r="R56" i="4"/>
  <c r="N56" i="4"/>
  <c r="L56" i="4"/>
  <c r="Q56" i="4" s="1"/>
  <c r="I56" i="4"/>
  <c r="F56" i="4"/>
  <c r="G56" i="4" s="1"/>
  <c r="E56" i="4"/>
  <c r="B56" i="4"/>
  <c r="U55" i="4"/>
  <c r="T55" i="4"/>
  <c r="S55" i="4"/>
  <c r="R55" i="4"/>
  <c r="O55" i="4"/>
  <c r="L55" i="4"/>
  <c r="N55" i="4" s="1"/>
  <c r="I55" i="4"/>
  <c r="F55" i="4"/>
  <c r="G55" i="4" s="1"/>
  <c r="E55" i="4"/>
  <c r="B55" i="4"/>
  <c r="U54" i="4"/>
  <c r="T54" i="4"/>
  <c r="S54" i="4"/>
  <c r="R54" i="4"/>
  <c r="L54" i="4"/>
  <c r="O54" i="4" s="1"/>
  <c r="I54" i="4"/>
  <c r="G54" i="4"/>
  <c r="J54" i="4" s="1"/>
  <c r="F54" i="4"/>
  <c r="E54" i="4"/>
  <c r="B54" i="4"/>
  <c r="U53" i="4"/>
  <c r="T53" i="4"/>
  <c r="S53" i="4"/>
  <c r="R53" i="4"/>
  <c r="Q53" i="4"/>
  <c r="O53" i="4"/>
  <c r="N53" i="4"/>
  <c r="M53" i="4"/>
  <c r="P53" i="4" s="1"/>
  <c r="L53" i="4"/>
  <c r="I53" i="4"/>
  <c r="F53" i="4"/>
  <c r="G53" i="4" s="1"/>
  <c r="E53" i="4"/>
  <c r="B53" i="4"/>
  <c r="U52" i="4"/>
  <c r="T52" i="4"/>
  <c r="S52" i="4"/>
  <c r="R52" i="4"/>
  <c r="O52" i="4"/>
  <c r="N52" i="4"/>
  <c r="L52" i="4"/>
  <c r="Q52" i="4" s="1"/>
  <c r="I52" i="4"/>
  <c r="F52" i="4"/>
  <c r="G52" i="4" s="1"/>
  <c r="E52" i="4"/>
  <c r="B52" i="4"/>
  <c r="U51" i="4"/>
  <c r="T51" i="4"/>
  <c r="S51" i="4"/>
  <c r="R51" i="4"/>
  <c r="O51" i="4"/>
  <c r="L51" i="4"/>
  <c r="N51" i="4" s="1"/>
  <c r="I51" i="4"/>
  <c r="F51" i="4"/>
  <c r="G51" i="4" s="1"/>
  <c r="E51" i="4"/>
  <c r="B51" i="4"/>
  <c r="S50" i="4"/>
  <c r="R50" i="4"/>
  <c r="O50" i="4"/>
  <c r="N50" i="4"/>
  <c r="L50" i="4"/>
  <c r="Q50" i="4" s="1"/>
  <c r="I50" i="4"/>
  <c r="F50" i="4"/>
  <c r="G50" i="4" s="1"/>
  <c r="E50" i="4"/>
  <c r="B50" i="4"/>
  <c r="U49" i="4"/>
  <c r="T49" i="4"/>
  <c r="S49" i="4"/>
  <c r="R49" i="4"/>
  <c r="O49" i="4"/>
  <c r="L49" i="4"/>
  <c r="N49" i="4" s="1"/>
  <c r="I49" i="4"/>
  <c r="F49" i="4"/>
  <c r="G49" i="4" s="1"/>
  <c r="E49" i="4"/>
  <c r="B49" i="4"/>
  <c r="U48" i="4"/>
  <c r="T48" i="4"/>
  <c r="S48" i="4"/>
  <c r="R48" i="4"/>
  <c r="L48" i="4"/>
  <c r="O48" i="4" s="1"/>
  <c r="I48" i="4"/>
  <c r="G48" i="4"/>
  <c r="J48" i="4" s="1"/>
  <c r="F48" i="4"/>
  <c r="E48" i="4"/>
  <c r="B48" i="4"/>
  <c r="S47" i="4"/>
  <c r="R47" i="4"/>
  <c r="O47" i="4"/>
  <c r="L47" i="4"/>
  <c r="N47" i="4" s="1"/>
  <c r="I47" i="4"/>
  <c r="F47" i="4"/>
  <c r="G47" i="4" s="1"/>
  <c r="E47" i="4"/>
  <c r="B47" i="4"/>
  <c r="U46" i="4"/>
  <c r="T46" i="4"/>
  <c r="S46" i="4"/>
  <c r="R46" i="4"/>
  <c r="L46" i="4"/>
  <c r="O46" i="4" s="1"/>
  <c r="I46" i="4"/>
  <c r="G46" i="4"/>
  <c r="J46" i="4" s="1"/>
  <c r="F46" i="4"/>
  <c r="E46" i="4"/>
  <c r="B46" i="4"/>
  <c r="U45" i="4"/>
  <c r="T45" i="4"/>
  <c r="S45" i="4"/>
  <c r="R45" i="4"/>
  <c r="Q45" i="4"/>
  <c r="O45" i="4"/>
  <c r="N45" i="4"/>
  <c r="M45" i="4"/>
  <c r="P45" i="4" s="1"/>
  <c r="L45" i="4"/>
  <c r="I45" i="4"/>
  <c r="F45" i="4"/>
  <c r="G45" i="4" s="1"/>
  <c r="E45" i="4"/>
  <c r="B45" i="4"/>
  <c r="U44" i="4"/>
  <c r="T44" i="4"/>
  <c r="S44" i="4"/>
  <c r="R44" i="4"/>
  <c r="O44" i="4"/>
  <c r="N44" i="4"/>
  <c r="L44" i="4"/>
  <c r="Q44" i="4" s="1"/>
  <c r="I44" i="4"/>
  <c r="F44" i="4"/>
  <c r="G44" i="4" s="1"/>
  <c r="E44" i="4"/>
  <c r="B44" i="4"/>
  <c r="U43" i="4"/>
  <c r="T43" i="4"/>
  <c r="S43" i="4"/>
  <c r="R43" i="4"/>
  <c r="O43" i="4"/>
  <c r="L43" i="4"/>
  <c r="N43" i="4" s="1"/>
  <c r="I43" i="4"/>
  <c r="F43" i="4"/>
  <c r="G43" i="4" s="1"/>
  <c r="E43" i="4"/>
  <c r="B43" i="4"/>
  <c r="U42" i="4"/>
  <c r="T42" i="4"/>
  <c r="S42" i="4"/>
  <c r="R42" i="4"/>
  <c r="L42" i="4"/>
  <c r="O42" i="4" s="1"/>
  <c r="I42" i="4"/>
  <c r="G42" i="4"/>
  <c r="J42" i="4" s="1"/>
  <c r="F42" i="4"/>
  <c r="E42" i="4"/>
  <c r="B42" i="4"/>
  <c r="AL41" i="4"/>
  <c r="AK41" i="4"/>
  <c r="AJ41" i="4"/>
  <c r="AI41" i="4"/>
  <c r="AE41" i="4"/>
  <c r="AC41" i="4"/>
  <c r="AB41" i="4"/>
  <c r="AA41" i="4"/>
  <c r="U41" i="4"/>
  <c r="T41" i="4"/>
  <c r="S41" i="4"/>
  <c r="R41" i="4"/>
  <c r="L41" i="4"/>
  <c r="O41" i="4" s="1"/>
  <c r="I41" i="4"/>
  <c r="G41" i="4"/>
  <c r="J41" i="4" s="1"/>
  <c r="F41" i="4"/>
  <c r="E41" i="4"/>
  <c r="B41" i="4"/>
  <c r="AL40" i="4"/>
  <c r="AK40" i="4"/>
  <c r="AJ40" i="4"/>
  <c r="AI40" i="4"/>
  <c r="AE40" i="4"/>
  <c r="AC40" i="4"/>
  <c r="AB40" i="4"/>
  <c r="AA40" i="4"/>
  <c r="U40" i="4"/>
  <c r="T40" i="4"/>
  <c r="S40" i="4"/>
  <c r="R40" i="4"/>
  <c r="Q40" i="4"/>
  <c r="N40" i="4"/>
  <c r="M40" i="4"/>
  <c r="L40" i="4"/>
  <c r="O40" i="4" s="1"/>
  <c r="I40" i="4"/>
  <c r="G40" i="4"/>
  <c r="J40" i="4" s="1"/>
  <c r="F40" i="4"/>
  <c r="E40" i="4"/>
  <c r="B40" i="4"/>
  <c r="H40" i="4" s="1"/>
  <c r="AL39" i="4"/>
  <c r="AK39" i="4"/>
  <c r="AJ39" i="4"/>
  <c r="AI39" i="4"/>
  <c r="AE39" i="4"/>
  <c r="AC39" i="4"/>
  <c r="AB39" i="4"/>
  <c r="AA39" i="4"/>
  <c r="U39" i="4"/>
  <c r="T39" i="4"/>
  <c r="S39" i="4"/>
  <c r="R39" i="4"/>
  <c r="Q39" i="4"/>
  <c r="N39" i="4"/>
  <c r="M39" i="4"/>
  <c r="L39" i="4"/>
  <c r="O39" i="4" s="1"/>
  <c r="I39" i="4"/>
  <c r="G39" i="4"/>
  <c r="J39" i="4" s="1"/>
  <c r="F39" i="4"/>
  <c r="E39" i="4"/>
  <c r="B39" i="4"/>
  <c r="H39" i="4" s="1"/>
  <c r="AL38" i="4"/>
  <c r="AK38" i="4"/>
  <c r="AJ38" i="4"/>
  <c r="AI38" i="4"/>
  <c r="AE38" i="4"/>
  <c r="AC38" i="4"/>
  <c r="AB38" i="4"/>
  <c r="AA38" i="4"/>
  <c r="U38" i="4"/>
  <c r="T38" i="4"/>
  <c r="S38" i="4"/>
  <c r="R38" i="4"/>
  <c r="Q38" i="4"/>
  <c r="N38" i="4"/>
  <c r="M38" i="4"/>
  <c r="P38" i="4" s="1"/>
  <c r="L38" i="4"/>
  <c r="O38" i="4" s="1"/>
  <c r="I38" i="4"/>
  <c r="G38" i="4"/>
  <c r="J38" i="4" s="1"/>
  <c r="F38" i="4"/>
  <c r="E38" i="4"/>
  <c r="B38" i="4"/>
  <c r="H38" i="4" s="1"/>
  <c r="AL37" i="4"/>
  <c r="AK37" i="4"/>
  <c r="AJ37" i="4"/>
  <c r="AI37" i="4"/>
  <c r="AE37" i="4"/>
  <c r="AC37" i="4"/>
  <c r="AB37" i="4"/>
  <c r="AA37" i="4"/>
  <c r="U37" i="4"/>
  <c r="T37" i="4"/>
  <c r="S37" i="4"/>
  <c r="R37" i="4"/>
  <c r="Q37" i="4"/>
  <c r="N37" i="4"/>
  <c r="M37" i="4"/>
  <c r="L37" i="4"/>
  <c r="O37" i="4" s="1"/>
  <c r="I37" i="4"/>
  <c r="G37" i="4"/>
  <c r="J37" i="4" s="1"/>
  <c r="F37" i="4"/>
  <c r="E37" i="4"/>
  <c r="B37" i="4"/>
  <c r="H37" i="4" s="1"/>
  <c r="AL36" i="4"/>
  <c r="AK36" i="4"/>
  <c r="AJ36" i="4"/>
  <c r="AI36" i="4"/>
  <c r="AE36" i="4"/>
  <c r="AC36" i="4"/>
  <c r="AB36" i="4"/>
  <c r="AA36" i="4"/>
  <c r="U36" i="4"/>
  <c r="T36" i="4"/>
  <c r="S36" i="4"/>
  <c r="R36" i="4"/>
  <c r="Q36" i="4"/>
  <c r="O36" i="4"/>
  <c r="N36" i="4"/>
  <c r="M36" i="4"/>
  <c r="P36" i="4" s="1"/>
  <c r="I36" i="4"/>
  <c r="G36" i="4"/>
  <c r="J36" i="4" s="1"/>
  <c r="F36" i="4"/>
  <c r="E36" i="4"/>
  <c r="B36" i="4"/>
  <c r="H36" i="4" s="1"/>
  <c r="AL35" i="4"/>
  <c r="AK35" i="4"/>
  <c r="AJ35" i="4"/>
  <c r="AI35" i="4"/>
  <c r="AE35" i="4"/>
  <c r="AC35" i="4"/>
  <c r="AB35" i="4"/>
  <c r="AA35" i="4"/>
  <c r="U35" i="4"/>
  <c r="T35" i="4"/>
  <c r="S35" i="4"/>
  <c r="R35" i="4"/>
  <c r="Q35" i="4"/>
  <c r="M35" i="4"/>
  <c r="L35" i="4"/>
  <c r="N35" i="4" s="1"/>
  <c r="I35" i="4"/>
  <c r="G35" i="4"/>
  <c r="J35" i="4" s="1"/>
  <c r="F35" i="4"/>
  <c r="E35" i="4"/>
  <c r="B35" i="4"/>
  <c r="H35" i="4" s="1"/>
  <c r="AL34" i="4"/>
  <c r="AK34" i="4"/>
  <c r="AJ34" i="4"/>
  <c r="AI34" i="4"/>
  <c r="AE34" i="4"/>
  <c r="AC34" i="4"/>
  <c r="AB34" i="4"/>
  <c r="AA34" i="4"/>
  <c r="U34" i="4"/>
  <c r="T34" i="4"/>
  <c r="S34" i="4"/>
  <c r="R34" i="4"/>
  <c r="Q34" i="4"/>
  <c r="M34" i="4"/>
  <c r="L34" i="4"/>
  <c r="N34" i="4" s="1"/>
  <c r="I34" i="4"/>
  <c r="G34" i="4"/>
  <c r="J34" i="4" s="1"/>
  <c r="F34" i="4"/>
  <c r="E34" i="4"/>
  <c r="B34" i="4"/>
  <c r="H34" i="4" s="1"/>
  <c r="AL33" i="4"/>
  <c r="AK33" i="4"/>
  <c r="AJ33" i="4"/>
  <c r="AI33" i="4"/>
  <c r="AE33" i="4"/>
  <c r="AC33" i="4"/>
  <c r="AB33" i="4"/>
  <c r="AA33" i="4"/>
  <c r="U33" i="4"/>
  <c r="T33" i="4"/>
  <c r="S33" i="4"/>
  <c r="R33" i="4"/>
  <c r="Q33" i="4"/>
  <c r="M33" i="4"/>
  <c r="L33" i="4"/>
  <c r="N33" i="4" s="1"/>
  <c r="I33" i="4"/>
  <c r="G33" i="4"/>
  <c r="J33" i="4" s="1"/>
  <c r="F33" i="4"/>
  <c r="E33" i="4"/>
  <c r="B33" i="4"/>
  <c r="H33" i="4" s="1"/>
  <c r="AL32" i="4"/>
  <c r="AK32" i="4"/>
  <c r="AJ32" i="4"/>
  <c r="AI32" i="4"/>
  <c r="AE32" i="4"/>
  <c r="AC32" i="4"/>
  <c r="AB32" i="4"/>
  <c r="AA32" i="4"/>
  <c r="U32" i="4"/>
  <c r="T32" i="4"/>
  <c r="S32" i="4"/>
  <c r="R32" i="4"/>
  <c r="Q32" i="4"/>
  <c r="M32" i="4"/>
  <c r="L32" i="4"/>
  <c r="N32" i="4" s="1"/>
  <c r="I32" i="4"/>
  <c r="G32" i="4"/>
  <c r="J32" i="4" s="1"/>
  <c r="F32" i="4"/>
  <c r="E32" i="4"/>
  <c r="B32" i="4"/>
  <c r="H32" i="4" s="1"/>
  <c r="AL31" i="4"/>
  <c r="AK31" i="4"/>
  <c r="AJ31" i="4"/>
  <c r="AI31" i="4"/>
  <c r="AE31" i="4"/>
  <c r="AC31" i="4"/>
  <c r="AB31" i="4"/>
  <c r="AA31" i="4"/>
  <c r="U31" i="4"/>
  <c r="T31" i="4"/>
  <c r="S31" i="4"/>
  <c r="R31" i="4"/>
  <c r="Q31" i="4"/>
  <c r="M31" i="4"/>
  <c r="L31" i="4"/>
  <c r="N31" i="4" s="1"/>
  <c r="I31" i="4"/>
  <c r="G31" i="4"/>
  <c r="J31" i="4" s="1"/>
  <c r="F31" i="4"/>
  <c r="E31" i="4"/>
  <c r="B31" i="4"/>
  <c r="H31" i="4" s="1"/>
  <c r="AL30" i="4"/>
  <c r="AK30" i="4"/>
  <c r="AJ30" i="4"/>
  <c r="AI30" i="4"/>
  <c r="AE30" i="4"/>
  <c r="AC30" i="4"/>
  <c r="AB30" i="4"/>
  <c r="AA30" i="4"/>
  <c r="S30" i="4"/>
  <c r="R30" i="4"/>
  <c r="Q30" i="4"/>
  <c r="O30" i="4"/>
  <c r="N30" i="4"/>
  <c r="M30" i="4"/>
  <c r="P30" i="4" s="1"/>
  <c r="L30" i="4"/>
  <c r="I30" i="4"/>
  <c r="F30" i="4"/>
  <c r="E30" i="4"/>
  <c r="B30" i="4"/>
  <c r="AL29" i="4"/>
  <c r="AK29" i="4"/>
  <c r="AJ29" i="4"/>
  <c r="AI29" i="4"/>
  <c r="AE29" i="4"/>
  <c r="AC29" i="4"/>
  <c r="AB29" i="4"/>
  <c r="AA29" i="4"/>
  <c r="U29" i="4"/>
  <c r="T29" i="4"/>
  <c r="S29" i="4"/>
  <c r="R29" i="4"/>
  <c r="L29" i="4"/>
  <c r="Q29" i="4" s="1"/>
  <c r="I29" i="4"/>
  <c r="G29" i="4"/>
  <c r="H29" i="4" s="1"/>
  <c r="F29" i="4"/>
  <c r="E29" i="4"/>
  <c r="B29" i="4"/>
  <c r="AL28" i="4"/>
  <c r="AK28" i="4"/>
  <c r="AJ28" i="4"/>
  <c r="AI28" i="4"/>
  <c r="AE28" i="4"/>
  <c r="AC28" i="4"/>
  <c r="AB28" i="4"/>
  <c r="AA28" i="4"/>
  <c r="U28" i="4"/>
  <c r="T28" i="4"/>
  <c r="S28" i="4"/>
  <c r="R28" i="4"/>
  <c r="L28" i="4"/>
  <c r="Q28" i="4" s="1"/>
  <c r="I28" i="4"/>
  <c r="G28" i="4"/>
  <c r="H28" i="4" s="1"/>
  <c r="F28" i="4"/>
  <c r="E28" i="4"/>
  <c r="B28" i="4"/>
  <c r="AL27" i="4"/>
  <c r="AK27" i="4"/>
  <c r="AJ27" i="4"/>
  <c r="AI27" i="4"/>
  <c r="AE27" i="4"/>
  <c r="AC27" i="4"/>
  <c r="AB27" i="4"/>
  <c r="AA27" i="4"/>
  <c r="U27" i="4"/>
  <c r="T27" i="4"/>
  <c r="S27" i="4"/>
  <c r="R27" i="4"/>
  <c r="L27" i="4"/>
  <c r="Q27" i="4" s="1"/>
  <c r="I27" i="4"/>
  <c r="G27" i="4"/>
  <c r="H27" i="4" s="1"/>
  <c r="F27" i="4"/>
  <c r="E27" i="4"/>
  <c r="B27" i="4"/>
  <c r="AL26" i="4"/>
  <c r="AK26" i="4"/>
  <c r="AJ26" i="4"/>
  <c r="AI26" i="4"/>
  <c r="AE26" i="4"/>
  <c r="AC26" i="4"/>
  <c r="AB26" i="4"/>
  <c r="AA26" i="4"/>
  <c r="U26" i="4"/>
  <c r="T26" i="4"/>
  <c r="S26" i="4"/>
  <c r="R26" i="4"/>
  <c r="L26" i="4"/>
  <c r="Q26" i="4" s="1"/>
  <c r="I26" i="4"/>
  <c r="G26" i="4"/>
  <c r="H26" i="4" s="1"/>
  <c r="F26" i="4"/>
  <c r="E26" i="4"/>
  <c r="B26" i="4"/>
  <c r="AL25" i="4"/>
  <c r="AK25" i="4"/>
  <c r="AJ25" i="4"/>
  <c r="AI25" i="4"/>
  <c r="AE25" i="4"/>
  <c r="AC25" i="4"/>
  <c r="AB25" i="4"/>
  <c r="AA25" i="4"/>
  <c r="U25" i="4"/>
  <c r="T25" i="4"/>
  <c r="S25" i="4"/>
  <c r="R25" i="4"/>
  <c r="L25" i="4"/>
  <c r="Q25" i="4" s="1"/>
  <c r="I25" i="4"/>
  <c r="G25" i="4"/>
  <c r="H25" i="4" s="1"/>
  <c r="F25" i="4"/>
  <c r="E25" i="4"/>
  <c r="B25" i="4"/>
  <c r="AL24" i="4"/>
  <c r="AK24" i="4"/>
  <c r="AJ24" i="4"/>
  <c r="AI24" i="4"/>
  <c r="AE24" i="4"/>
  <c r="AC24" i="4"/>
  <c r="AB24" i="4"/>
  <c r="AA24" i="4"/>
  <c r="U24" i="4"/>
  <c r="T24" i="4"/>
  <c r="S24" i="4"/>
  <c r="R24" i="4"/>
  <c r="L24" i="4"/>
  <c r="Q24" i="4" s="1"/>
  <c r="I24" i="4"/>
  <c r="G24" i="4"/>
  <c r="H24" i="4" s="1"/>
  <c r="F24" i="4"/>
  <c r="E24" i="4"/>
  <c r="B24" i="4"/>
  <c r="AL23" i="4"/>
  <c r="AK23" i="4"/>
  <c r="AJ23" i="4"/>
  <c r="AI23" i="4"/>
  <c r="AE23" i="4"/>
  <c r="AC23" i="4"/>
  <c r="AB23" i="4"/>
  <c r="AA23" i="4"/>
  <c r="U23" i="4"/>
  <c r="T23" i="4"/>
  <c r="S23" i="4"/>
  <c r="R23" i="4"/>
  <c r="L23" i="4"/>
  <c r="Q23" i="4" s="1"/>
  <c r="I23" i="4"/>
  <c r="G23" i="4"/>
  <c r="H23" i="4" s="1"/>
  <c r="F23" i="4"/>
  <c r="E23" i="4"/>
  <c r="B23" i="4"/>
  <c r="AL22" i="4"/>
  <c r="AK22" i="4"/>
  <c r="AJ22" i="4"/>
  <c r="AI22" i="4"/>
  <c r="AE22" i="4"/>
  <c r="AC22" i="4"/>
  <c r="AB22" i="4"/>
  <c r="AA22" i="4"/>
  <c r="U22" i="4"/>
  <c r="T22" i="4"/>
  <c r="S22" i="4"/>
  <c r="R22" i="4"/>
  <c r="L22" i="4"/>
  <c r="Q22" i="4" s="1"/>
  <c r="I22" i="4"/>
  <c r="G22" i="4"/>
  <c r="H22" i="4" s="1"/>
  <c r="F22" i="4"/>
  <c r="E22" i="4"/>
  <c r="B22" i="4"/>
  <c r="AL21" i="4"/>
  <c r="AK21" i="4"/>
  <c r="AJ21" i="4"/>
  <c r="AI21" i="4"/>
  <c r="AE21" i="4"/>
  <c r="AC21" i="4"/>
  <c r="AB21" i="4"/>
  <c r="AA21" i="4"/>
  <c r="U21" i="4"/>
  <c r="T21" i="4"/>
  <c r="S21" i="4"/>
  <c r="R21" i="4"/>
  <c r="L21" i="4"/>
  <c r="Q21" i="4" s="1"/>
  <c r="I21" i="4"/>
  <c r="G21" i="4"/>
  <c r="H21" i="4" s="1"/>
  <c r="F21" i="4"/>
  <c r="E21" i="4"/>
  <c r="B21" i="4"/>
  <c r="AL20" i="4"/>
  <c r="AK20" i="4"/>
  <c r="AJ20" i="4"/>
  <c r="AI20" i="4"/>
  <c r="AE20" i="4"/>
  <c r="AC20" i="4"/>
  <c r="AB20" i="4"/>
  <c r="AA20" i="4"/>
  <c r="U20" i="4"/>
  <c r="T20" i="4"/>
  <c r="S20" i="4"/>
  <c r="R20" i="4"/>
  <c r="L20" i="4"/>
  <c r="Q20" i="4" s="1"/>
  <c r="I20" i="4"/>
  <c r="G20" i="4"/>
  <c r="H20" i="4" s="1"/>
  <c r="F20" i="4"/>
  <c r="E20" i="4"/>
  <c r="B20" i="4"/>
  <c r="AL19" i="4"/>
  <c r="AK19" i="4"/>
  <c r="AJ19" i="4"/>
  <c r="AI19" i="4"/>
  <c r="AE19" i="4"/>
  <c r="AC19" i="4"/>
  <c r="AB19" i="4"/>
  <c r="AA19" i="4"/>
  <c r="S19" i="4"/>
  <c r="R19" i="4"/>
  <c r="Q19" i="4"/>
  <c r="N19" i="4"/>
  <c r="M19" i="4"/>
  <c r="P19" i="4" s="1"/>
  <c r="L19" i="4"/>
  <c r="O19" i="4" s="1"/>
  <c r="I19" i="4"/>
  <c r="G19" i="4"/>
  <c r="J19" i="4" s="1"/>
  <c r="F19" i="4"/>
  <c r="E19" i="4"/>
  <c r="B19" i="4"/>
  <c r="H19" i="4" s="1"/>
  <c r="AL18" i="4"/>
  <c r="AK18" i="4"/>
  <c r="AJ18" i="4"/>
  <c r="AI18" i="4"/>
  <c r="AE18" i="4"/>
  <c r="AC18" i="4"/>
  <c r="AB18" i="4"/>
  <c r="AA18" i="4"/>
  <c r="U18" i="4"/>
  <c r="T18" i="4"/>
  <c r="S18" i="4"/>
  <c r="R18" i="4"/>
  <c r="Q18" i="4"/>
  <c r="N18" i="4"/>
  <c r="M18" i="4"/>
  <c r="L18" i="4"/>
  <c r="O18" i="4" s="1"/>
  <c r="I18" i="4"/>
  <c r="G18" i="4"/>
  <c r="J18" i="4" s="1"/>
  <c r="F18" i="4"/>
  <c r="E18" i="4"/>
  <c r="B18" i="4"/>
  <c r="H18" i="4" s="1"/>
  <c r="AL17" i="4"/>
  <c r="AK17" i="4"/>
  <c r="AJ17" i="4"/>
  <c r="AI17" i="4"/>
  <c r="AE17" i="4"/>
  <c r="AC17" i="4"/>
  <c r="AB17" i="4"/>
  <c r="AA17" i="4"/>
  <c r="U17" i="4"/>
  <c r="T17" i="4"/>
  <c r="S17" i="4"/>
  <c r="R17" i="4"/>
  <c r="Q17" i="4"/>
  <c r="N17" i="4"/>
  <c r="M17" i="4"/>
  <c r="L17" i="4"/>
  <c r="O17" i="4" s="1"/>
  <c r="I17" i="4"/>
  <c r="G17" i="4"/>
  <c r="J17" i="4" s="1"/>
  <c r="F17" i="4"/>
  <c r="E17" i="4"/>
  <c r="B17" i="4"/>
  <c r="H17" i="4" s="1"/>
  <c r="AL16" i="4"/>
  <c r="AK16" i="4"/>
  <c r="AJ16" i="4"/>
  <c r="AI16" i="4"/>
  <c r="AE16" i="4"/>
  <c r="AC16" i="4"/>
  <c r="AB16" i="4"/>
  <c r="AA16" i="4"/>
  <c r="U16" i="4"/>
  <c r="T16" i="4"/>
  <c r="S16" i="4"/>
  <c r="R16" i="4"/>
  <c r="Q16" i="4"/>
  <c r="N16" i="4"/>
  <c r="M16" i="4"/>
  <c r="L16" i="4"/>
  <c r="O16" i="4" s="1"/>
  <c r="I16" i="4"/>
  <c r="G16" i="4"/>
  <c r="J16" i="4" s="1"/>
  <c r="F16" i="4"/>
  <c r="E16" i="4"/>
  <c r="B16" i="4"/>
  <c r="H16" i="4" s="1"/>
  <c r="AL15" i="4"/>
  <c r="AK15" i="4"/>
  <c r="AJ15" i="4"/>
  <c r="AI15" i="4"/>
  <c r="AE15" i="4"/>
  <c r="AC15" i="4"/>
  <c r="AB15" i="4"/>
  <c r="AA15" i="4"/>
  <c r="U15" i="4"/>
  <c r="T15" i="4"/>
  <c r="S15" i="4"/>
  <c r="R15" i="4"/>
  <c r="Q15" i="4"/>
  <c r="N15" i="4"/>
  <c r="M15" i="4"/>
  <c r="P15" i="4" s="1"/>
  <c r="L15" i="4"/>
  <c r="O15" i="4" s="1"/>
  <c r="I15" i="4"/>
  <c r="G15" i="4"/>
  <c r="J15" i="4" s="1"/>
  <c r="F15" i="4"/>
  <c r="E15" i="4"/>
  <c r="B15" i="4"/>
  <c r="H15" i="4" s="1"/>
  <c r="AL14" i="4"/>
  <c r="AK14" i="4"/>
  <c r="AJ14" i="4"/>
  <c r="AI14" i="4"/>
  <c r="AE14" i="4"/>
  <c r="AC14" i="4"/>
  <c r="AB14" i="4"/>
  <c r="AA14" i="4"/>
  <c r="U14" i="4"/>
  <c r="T14" i="4"/>
  <c r="S14" i="4"/>
  <c r="R14" i="4"/>
  <c r="N14" i="4"/>
  <c r="M14" i="4"/>
  <c r="P14" i="4" s="1"/>
  <c r="L14" i="4"/>
  <c r="O14" i="4" s="1"/>
  <c r="I14" i="4"/>
  <c r="G14" i="4"/>
  <c r="J14" i="4" s="1"/>
  <c r="F14" i="4"/>
  <c r="E14" i="4"/>
  <c r="B14" i="4"/>
  <c r="H14" i="4" s="1"/>
  <c r="AL13" i="4"/>
  <c r="AK13" i="4"/>
  <c r="AJ13" i="4"/>
  <c r="AI13" i="4"/>
  <c r="AE13" i="4"/>
  <c r="AC13" i="4"/>
  <c r="AB13" i="4"/>
  <c r="AA13" i="4"/>
  <c r="U13" i="4"/>
  <c r="T13" i="4"/>
  <c r="S13" i="4"/>
  <c r="R13" i="4"/>
  <c r="N13" i="4"/>
  <c r="L13" i="4"/>
  <c r="O13" i="4" s="1"/>
  <c r="I13" i="4"/>
  <c r="G13" i="4"/>
  <c r="J13" i="4" s="1"/>
  <c r="F13" i="4"/>
  <c r="E13" i="4"/>
  <c r="B13" i="4"/>
  <c r="AL12" i="4"/>
  <c r="AK12" i="4"/>
  <c r="AJ12" i="4"/>
  <c r="AI12" i="4"/>
  <c r="AE12" i="4"/>
  <c r="AC12" i="4"/>
  <c r="AB12" i="4"/>
  <c r="AA12" i="4"/>
  <c r="U12" i="4"/>
  <c r="T12" i="4"/>
  <c r="S12" i="4"/>
  <c r="R12" i="4"/>
  <c r="N12" i="4"/>
  <c r="L12" i="4"/>
  <c r="O12" i="4" s="1"/>
  <c r="I12" i="4"/>
  <c r="G12" i="4"/>
  <c r="J12" i="4" s="1"/>
  <c r="F12" i="4"/>
  <c r="E12" i="4"/>
  <c r="B12" i="4"/>
  <c r="AJ11" i="4"/>
  <c r="AE11" i="4"/>
  <c r="AA11" i="4"/>
  <c r="U11" i="4"/>
  <c r="T11" i="4"/>
  <c r="S11" i="4"/>
  <c r="R11" i="4"/>
  <c r="N11" i="4"/>
  <c r="L11" i="4"/>
  <c r="O11" i="4" s="1"/>
  <c r="I11" i="4"/>
  <c r="G11" i="4"/>
  <c r="J11" i="4" s="1"/>
  <c r="F11" i="4"/>
  <c r="E11" i="4"/>
  <c r="B11" i="4"/>
  <c r="AJ10" i="4"/>
  <c r="AE10" i="4"/>
  <c r="AA10" i="4"/>
  <c r="U10" i="4"/>
  <c r="AL11" i="4" s="1"/>
  <c r="T10" i="4"/>
  <c r="AK11" i="4" s="1"/>
  <c r="S10" i="4"/>
  <c r="R10" i="4"/>
  <c r="AI11" i="4" s="1"/>
  <c r="N10" i="4"/>
  <c r="L10" i="4"/>
  <c r="O10" i="4" s="1"/>
  <c r="I10" i="4"/>
  <c r="G10" i="4"/>
  <c r="J10" i="4" s="1"/>
  <c r="F10" i="4"/>
  <c r="AB11" i="4" s="1"/>
  <c r="E10" i="4"/>
  <c r="B10" i="4"/>
  <c r="AJ9" i="4"/>
  <c r="AE9" i="4"/>
  <c r="AA9" i="4"/>
  <c r="U9" i="4"/>
  <c r="AL10" i="4" s="1"/>
  <c r="T9" i="4"/>
  <c r="AK10" i="4" s="1"/>
  <c r="S9" i="4"/>
  <c r="R9" i="4"/>
  <c r="AI10" i="4" s="1"/>
  <c r="N9" i="4"/>
  <c r="L9" i="4"/>
  <c r="O9" i="4" s="1"/>
  <c r="I9" i="4"/>
  <c r="G9" i="4"/>
  <c r="J9" i="4" s="1"/>
  <c r="F9" i="4"/>
  <c r="AB10" i="4" s="1"/>
  <c r="E9" i="4"/>
  <c r="B9" i="4"/>
  <c r="AJ8" i="4"/>
  <c r="AE8" i="4"/>
  <c r="AA8" i="4"/>
  <c r="U8" i="4"/>
  <c r="AL9" i="4" s="1"/>
  <c r="T8" i="4"/>
  <c r="AK9" i="4" s="1"/>
  <c r="S8" i="4"/>
  <c r="R8" i="4"/>
  <c r="AI9" i="4" s="1"/>
  <c r="N8" i="4"/>
  <c r="L8" i="4"/>
  <c r="O8" i="4" s="1"/>
  <c r="I8" i="4"/>
  <c r="G8" i="4"/>
  <c r="J8" i="4" s="1"/>
  <c r="F8" i="4"/>
  <c r="AB9" i="4" s="1"/>
  <c r="E8" i="4"/>
  <c r="B8" i="4"/>
  <c r="AJ7" i="4"/>
  <c r="AE7" i="4"/>
  <c r="AA7" i="4"/>
  <c r="U7" i="4"/>
  <c r="AL8" i="4" s="1"/>
  <c r="AY2" i="4" s="1"/>
  <c r="T7" i="4"/>
  <c r="AK8" i="4" s="1"/>
  <c r="S7" i="4"/>
  <c r="R7" i="4"/>
  <c r="AI8" i="4" s="1"/>
  <c r="AV2" i="4" s="1"/>
  <c r="N7" i="4"/>
  <c r="L7" i="4"/>
  <c r="O7" i="4" s="1"/>
  <c r="I7" i="4"/>
  <c r="G7" i="4"/>
  <c r="J7" i="4" s="1"/>
  <c r="F7" i="4"/>
  <c r="AB8" i="4" s="1"/>
  <c r="E7" i="4"/>
  <c r="B7" i="4"/>
  <c r="AE6" i="4"/>
  <c r="U6" i="4"/>
  <c r="AL7" i="4" s="1"/>
  <c r="T6" i="4"/>
  <c r="AK7" i="4" s="1"/>
  <c r="S6" i="4"/>
  <c r="R6" i="4"/>
  <c r="AI7" i="4" s="1"/>
  <c r="L6" i="4"/>
  <c r="Q6" i="4" s="1"/>
  <c r="I6" i="4"/>
  <c r="G6" i="4"/>
  <c r="H6" i="4" s="1"/>
  <c r="F6" i="4"/>
  <c r="AB7" i="4" s="1"/>
  <c r="E6" i="4"/>
  <c r="B6" i="4"/>
  <c r="AS5" i="4"/>
  <c r="AL5" i="4"/>
  <c r="AY6" i="4" s="1"/>
  <c r="AK5" i="4"/>
  <c r="AX6" i="4" s="1"/>
  <c r="AJ5" i="4"/>
  <c r="AW6" i="4" s="1"/>
  <c r="AI5" i="4"/>
  <c r="AV6" i="4" s="1"/>
  <c r="AE5" i="4"/>
  <c r="AS6" i="4" s="1"/>
  <c r="AB5" i="4"/>
  <c r="AP6" i="4" s="1"/>
  <c r="AA5" i="4"/>
  <c r="AO6" i="4" s="1"/>
  <c r="U5" i="4"/>
  <c r="AL6" i="4" s="1"/>
  <c r="AY5" i="4" s="1"/>
  <c r="T5" i="4"/>
  <c r="AK6" i="4" s="1"/>
  <c r="AX5" i="4" s="1"/>
  <c r="S5" i="4"/>
  <c r="AJ6" i="4" s="1"/>
  <c r="AW5" i="4" s="1"/>
  <c r="R5" i="4"/>
  <c r="AI6" i="4" s="1"/>
  <c r="AV5" i="4" s="1"/>
  <c r="O5" i="4"/>
  <c r="N5" i="4"/>
  <c r="L5" i="4"/>
  <c r="Q5" i="4" s="1"/>
  <c r="I5" i="4"/>
  <c r="F5" i="4"/>
  <c r="AB6" i="4" s="1"/>
  <c r="AP5" i="4" s="1"/>
  <c r="E5" i="4"/>
  <c r="B5" i="4"/>
  <c r="AA6" i="4" s="1"/>
  <c r="AO5" i="4" s="1"/>
  <c r="AL4" i="4"/>
  <c r="AI4" i="4"/>
  <c r="AE4" i="4"/>
  <c r="U4" i="4"/>
  <c r="T4" i="4"/>
  <c r="AK4" i="4" s="1"/>
  <c r="AX2" i="4" s="1"/>
  <c r="S4" i="4"/>
  <c r="AJ4" i="4" s="1"/>
  <c r="AW2" i="4" s="1"/>
  <c r="R4" i="4"/>
  <c r="L4" i="4"/>
  <c r="Q4" i="4" s="1"/>
  <c r="I4" i="4"/>
  <c r="G4" i="4"/>
  <c r="H4" i="4" s="1"/>
  <c r="F4" i="4"/>
  <c r="AB4" i="4" s="1"/>
  <c r="AP2" i="4" s="1"/>
  <c r="E4" i="4"/>
  <c r="B4" i="4"/>
  <c r="AA4" i="4" s="1"/>
  <c r="AO2" i="4" s="1"/>
  <c r="AK3" i="4"/>
  <c r="AX4" i="4" s="1"/>
  <c r="AJ3" i="4"/>
  <c r="AW4" i="4" s="1"/>
  <c r="AE3" i="4"/>
  <c r="AS4" i="4" s="1"/>
  <c r="AA3" i="4"/>
  <c r="AO4" i="4" s="1"/>
  <c r="U3" i="4"/>
  <c r="AL3" i="4" s="1"/>
  <c r="AY4" i="4" s="1"/>
  <c r="T3" i="4"/>
  <c r="S3" i="4"/>
  <c r="R3" i="4"/>
  <c r="AI3" i="4" s="1"/>
  <c r="AV4" i="4" s="1"/>
  <c r="O3" i="4"/>
  <c r="N3" i="4"/>
  <c r="L3" i="4"/>
  <c r="Q3" i="4" s="1"/>
  <c r="I3" i="4"/>
  <c r="F3" i="4"/>
  <c r="AB3" i="4" s="1"/>
  <c r="AP4" i="4" s="1"/>
  <c r="E3" i="4"/>
  <c r="B3" i="4"/>
  <c r="AS2" i="4"/>
  <c r="AL2" i="4"/>
  <c r="AY3" i="4" s="1"/>
  <c r="AI2" i="4"/>
  <c r="AV3" i="4" s="1"/>
  <c r="AE2" i="4"/>
  <c r="AS3" i="4" s="1"/>
  <c r="U2" i="4"/>
  <c r="T2" i="4"/>
  <c r="AK2" i="4" s="1"/>
  <c r="AX3" i="4" s="1"/>
  <c r="S2" i="4"/>
  <c r="AJ2" i="4" s="1"/>
  <c r="AW3" i="4" s="1"/>
  <c r="R2" i="4"/>
  <c r="L2" i="4"/>
  <c r="Q2" i="4" s="1"/>
  <c r="I2" i="4"/>
  <c r="G2" i="4"/>
  <c r="H2" i="4" s="1"/>
  <c r="F2" i="4"/>
  <c r="AB2" i="4" s="1"/>
  <c r="AP3" i="4" s="1"/>
  <c r="E2" i="4"/>
  <c r="B2" i="4"/>
  <c r="AA2" i="4" s="1"/>
  <c r="AO3" i="4" s="1"/>
  <c r="M401" i="3"/>
  <c r="K401" i="3"/>
  <c r="L401" i="3" s="1"/>
  <c r="N401" i="3" s="1"/>
  <c r="J401" i="3"/>
  <c r="C401" i="3"/>
  <c r="B401" i="3"/>
  <c r="E401" i="3" s="1"/>
  <c r="M400" i="3"/>
  <c r="K400" i="3"/>
  <c r="J400" i="3"/>
  <c r="C400" i="3"/>
  <c r="D400" i="3" s="1"/>
  <c r="B400" i="3"/>
  <c r="E400" i="3" s="1"/>
  <c r="M399" i="3"/>
  <c r="K399" i="3"/>
  <c r="J399" i="3"/>
  <c r="D399" i="3"/>
  <c r="C399" i="3"/>
  <c r="B399" i="3"/>
  <c r="E399" i="3" s="1"/>
  <c r="L399" i="3" s="1"/>
  <c r="N399" i="3" s="1"/>
  <c r="M398" i="3"/>
  <c r="K398" i="3"/>
  <c r="L398" i="3" s="1"/>
  <c r="N398" i="3" s="1"/>
  <c r="J398" i="3"/>
  <c r="E398" i="3"/>
  <c r="C398" i="3"/>
  <c r="D398" i="3" s="1"/>
  <c r="B398" i="3"/>
  <c r="M397" i="3"/>
  <c r="K397" i="3"/>
  <c r="J397" i="3"/>
  <c r="C397" i="3"/>
  <c r="B397" i="3"/>
  <c r="E397" i="3" s="1"/>
  <c r="L397" i="3" s="1"/>
  <c r="N397" i="3" s="1"/>
  <c r="M396" i="3"/>
  <c r="K396" i="3"/>
  <c r="L396" i="3" s="1"/>
  <c r="N396" i="3" s="1"/>
  <c r="J396" i="3"/>
  <c r="C396" i="3"/>
  <c r="E396" i="3" s="1"/>
  <c r="B396" i="3"/>
  <c r="M395" i="3"/>
  <c r="K395" i="3"/>
  <c r="J395" i="3"/>
  <c r="D395" i="3"/>
  <c r="C395" i="3"/>
  <c r="B395" i="3"/>
  <c r="E395" i="3" s="1"/>
  <c r="L395" i="3" s="1"/>
  <c r="N395" i="3" s="1"/>
  <c r="M394" i="3"/>
  <c r="K394" i="3"/>
  <c r="L394" i="3" s="1"/>
  <c r="N394" i="3" s="1"/>
  <c r="J394" i="3"/>
  <c r="E394" i="3"/>
  <c r="C394" i="3"/>
  <c r="B394" i="3"/>
  <c r="D394" i="3" s="1"/>
  <c r="M393" i="3"/>
  <c r="K393" i="3"/>
  <c r="J393" i="3"/>
  <c r="C393" i="3"/>
  <c r="B393" i="3"/>
  <c r="E393" i="3" s="1"/>
  <c r="L393" i="3" s="1"/>
  <c r="N393" i="3" s="1"/>
  <c r="M392" i="3"/>
  <c r="K392" i="3"/>
  <c r="J392" i="3"/>
  <c r="C392" i="3"/>
  <c r="E392" i="3" s="1"/>
  <c r="B392" i="3"/>
  <c r="M391" i="3"/>
  <c r="K391" i="3"/>
  <c r="J391" i="3"/>
  <c r="D391" i="3"/>
  <c r="C391" i="3"/>
  <c r="B391" i="3"/>
  <c r="E391" i="3" s="1"/>
  <c r="L391" i="3" s="1"/>
  <c r="N391" i="3" s="1"/>
  <c r="M390" i="3"/>
  <c r="K390" i="3"/>
  <c r="L390" i="3" s="1"/>
  <c r="N390" i="3" s="1"/>
  <c r="J390" i="3"/>
  <c r="E390" i="3"/>
  <c r="C390" i="3"/>
  <c r="B390" i="3"/>
  <c r="D390" i="3" s="1"/>
  <c r="M389" i="3"/>
  <c r="K389" i="3"/>
  <c r="J389" i="3"/>
  <c r="C389" i="3"/>
  <c r="B389" i="3"/>
  <c r="E389" i="3" s="1"/>
  <c r="L389" i="3" s="1"/>
  <c r="N389" i="3" s="1"/>
  <c r="M388" i="3"/>
  <c r="K388" i="3"/>
  <c r="L388" i="3" s="1"/>
  <c r="N388" i="3" s="1"/>
  <c r="J388" i="3"/>
  <c r="C388" i="3"/>
  <c r="E388" i="3" s="1"/>
  <c r="B388" i="3"/>
  <c r="M387" i="3"/>
  <c r="K387" i="3"/>
  <c r="J387" i="3"/>
  <c r="D387" i="3"/>
  <c r="C387" i="3"/>
  <c r="B387" i="3"/>
  <c r="E387" i="3" s="1"/>
  <c r="L387" i="3" s="1"/>
  <c r="N387" i="3" s="1"/>
  <c r="M386" i="3"/>
  <c r="K386" i="3"/>
  <c r="L386" i="3" s="1"/>
  <c r="N386" i="3" s="1"/>
  <c r="J386" i="3"/>
  <c r="E386" i="3"/>
  <c r="C386" i="3"/>
  <c r="B386" i="3"/>
  <c r="D386" i="3" s="1"/>
  <c r="M385" i="3"/>
  <c r="K385" i="3"/>
  <c r="L385" i="3" s="1"/>
  <c r="N385" i="3" s="1"/>
  <c r="J385" i="3"/>
  <c r="C385" i="3"/>
  <c r="B385" i="3"/>
  <c r="E385" i="3" s="1"/>
  <c r="M384" i="3"/>
  <c r="K384" i="3"/>
  <c r="J384" i="3"/>
  <c r="C384" i="3"/>
  <c r="E384" i="3" s="1"/>
  <c r="B384" i="3"/>
  <c r="M383" i="3"/>
  <c r="L383" i="3"/>
  <c r="N383" i="3" s="1"/>
  <c r="K383" i="3"/>
  <c r="J383" i="3"/>
  <c r="E383" i="3"/>
  <c r="D383" i="3"/>
  <c r="C383" i="3"/>
  <c r="B383" i="3"/>
  <c r="M382" i="3"/>
  <c r="K382" i="3"/>
  <c r="L382" i="3" s="1"/>
  <c r="N382" i="3" s="1"/>
  <c r="J382" i="3"/>
  <c r="E382" i="3"/>
  <c r="C382" i="3"/>
  <c r="B382" i="3"/>
  <c r="D382" i="3" s="1"/>
  <c r="M381" i="3"/>
  <c r="K381" i="3"/>
  <c r="J381" i="3"/>
  <c r="C381" i="3"/>
  <c r="B381" i="3"/>
  <c r="E381" i="3" s="1"/>
  <c r="L381" i="3" s="1"/>
  <c r="N381" i="3" s="1"/>
  <c r="M380" i="3"/>
  <c r="K380" i="3"/>
  <c r="J380" i="3"/>
  <c r="C380" i="3"/>
  <c r="E380" i="3" s="1"/>
  <c r="B380" i="3"/>
  <c r="M379" i="3"/>
  <c r="K379" i="3"/>
  <c r="J379" i="3"/>
  <c r="D379" i="3"/>
  <c r="C379" i="3"/>
  <c r="B379" i="3"/>
  <c r="E379" i="3" s="1"/>
  <c r="L379" i="3" s="1"/>
  <c r="N379" i="3" s="1"/>
  <c r="M378" i="3"/>
  <c r="K378" i="3"/>
  <c r="L378" i="3" s="1"/>
  <c r="N378" i="3" s="1"/>
  <c r="J378" i="3"/>
  <c r="E378" i="3"/>
  <c r="C378" i="3"/>
  <c r="B378" i="3"/>
  <c r="D378" i="3" s="1"/>
  <c r="M377" i="3"/>
  <c r="K377" i="3"/>
  <c r="J377" i="3"/>
  <c r="C377" i="3"/>
  <c r="B377" i="3"/>
  <c r="E377" i="3" s="1"/>
  <c r="L377" i="3" s="1"/>
  <c r="N377" i="3" s="1"/>
  <c r="M376" i="3"/>
  <c r="K376" i="3"/>
  <c r="L376" i="3" s="1"/>
  <c r="N376" i="3" s="1"/>
  <c r="J376" i="3"/>
  <c r="C376" i="3"/>
  <c r="E376" i="3" s="1"/>
  <c r="B376" i="3"/>
  <c r="M375" i="3"/>
  <c r="K375" i="3"/>
  <c r="J375" i="3"/>
  <c r="D375" i="3"/>
  <c r="C375" i="3"/>
  <c r="B375" i="3"/>
  <c r="E375" i="3" s="1"/>
  <c r="L375" i="3" s="1"/>
  <c r="N375" i="3" s="1"/>
  <c r="M374" i="3"/>
  <c r="K374" i="3"/>
  <c r="L374" i="3" s="1"/>
  <c r="N374" i="3" s="1"/>
  <c r="J374" i="3"/>
  <c r="E374" i="3"/>
  <c r="C374" i="3"/>
  <c r="B374" i="3"/>
  <c r="D374" i="3" s="1"/>
  <c r="M373" i="3"/>
  <c r="K373" i="3"/>
  <c r="J373" i="3"/>
  <c r="C373" i="3"/>
  <c r="B373" i="3"/>
  <c r="E373" i="3" s="1"/>
  <c r="L373" i="3" s="1"/>
  <c r="N373" i="3" s="1"/>
  <c r="M372" i="3"/>
  <c r="K372" i="3"/>
  <c r="J372" i="3"/>
  <c r="C372" i="3"/>
  <c r="E372" i="3" s="1"/>
  <c r="B372" i="3"/>
  <c r="M371" i="3"/>
  <c r="K371" i="3"/>
  <c r="J371" i="3"/>
  <c r="D371" i="3"/>
  <c r="C371" i="3"/>
  <c r="B371" i="3"/>
  <c r="E371" i="3" s="1"/>
  <c r="L371" i="3" s="1"/>
  <c r="N371" i="3" s="1"/>
  <c r="M370" i="3"/>
  <c r="K370" i="3"/>
  <c r="L370" i="3" s="1"/>
  <c r="N370" i="3" s="1"/>
  <c r="J370" i="3"/>
  <c r="E370" i="3"/>
  <c r="C370" i="3"/>
  <c r="B370" i="3"/>
  <c r="D370" i="3" s="1"/>
  <c r="M369" i="3"/>
  <c r="K369" i="3"/>
  <c r="J369" i="3"/>
  <c r="C369" i="3"/>
  <c r="B369" i="3"/>
  <c r="E369" i="3" s="1"/>
  <c r="L369" i="3" s="1"/>
  <c r="N369" i="3" s="1"/>
  <c r="M368" i="3"/>
  <c r="K368" i="3"/>
  <c r="J368" i="3"/>
  <c r="C368" i="3"/>
  <c r="E368" i="3" s="1"/>
  <c r="B368" i="3"/>
  <c r="M367" i="3"/>
  <c r="K367" i="3"/>
  <c r="J367" i="3"/>
  <c r="D367" i="3"/>
  <c r="C367" i="3"/>
  <c r="B367" i="3"/>
  <c r="E367" i="3" s="1"/>
  <c r="L367" i="3" s="1"/>
  <c r="N367" i="3" s="1"/>
  <c r="M366" i="3"/>
  <c r="K366" i="3"/>
  <c r="L366" i="3" s="1"/>
  <c r="N366" i="3" s="1"/>
  <c r="J366" i="3"/>
  <c r="E366" i="3"/>
  <c r="C366" i="3"/>
  <c r="B366" i="3"/>
  <c r="D366" i="3" s="1"/>
  <c r="M365" i="3"/>
  <c r="K365" i="3"/>
  <c r="J365" i="3"/>
  <c r="C365" i="3"/>
  <c r="B365" i="3"/>
  <c r="E365" i="3" s="1"/>
  <c r="L365" i="3" s="1"/>
  <c r="N365" i="3" s="1"/>
  <c r="M364" i="3"/>
  <c r="K364" i="3"/>
  <c r="L364" i="3" s="1"/>
  <c r="N364" i="3" s="1"/>
  <c r="J364" i="3"/>
  <c r="C364" i="3"/>
  <c r="E364" i="3" s="1"/>
  <c r="B364" i="3"/>
  <c r="M363" i="3"/>
  <c r="K363" i="3"/>
  <c r="J363" i="3"/>
  <c r="D363" i="3"/>
  <c r="C363" i="3"/>
  <c r="B363" i="3"/>
  <c r="E363" i="3" s="1"/>
  <c r="L363" i="3" s="1"/>
  <c r="N363" i="3" s="1"/>
  <c r="M362" i="3"/>
  <c r="K362" i="3"/>
  <c r="L362" i="3" s="1"/>
  <c r="N362" i="3" s="1"/>
  <c r="J362" i="3"/>
  <c r="E362" i="3"/>
  <c r="C362" i="3"/>
  <c r="B362" i="3"/>
  <c r="D362" i="3" s="1"/>
  <c r="M361" i="3"/>
  <c r="K361" i="3"/>
  <c r="J361" i="3"/>
  <c r="C361" i="3"/>
  <c r="B361" i="3"/>
  <c r="E361" i="3" s="1"/>
  <c r="L361" i="3" s="1"/>
  <c r="N361" i="3" s="1"/>
  <c r="M360" i="3"/>
  <c r="K360" i="3"/>
  <c r="J360" i="3"/>
  <c r="C360" i="3"/>
  <c r="E360" i="3" s="1"/>
  <c r="B360" i="3"/>
  <c r="N359" i="3"/>
  <c r="M359" i="3"/>
  <c r="J359" i="3"/>
  <c r="D359" i="3"/>
  <c r="C359" i="3"/>
  <c r="B359" i="3"/>
  <c r="E359" i="3" s="1"/>
  <c r="M358" i="3"/>
  <c r="K358" i="3"/>
  <c r="J358" i="3"/>
  <c r="E358" i="3"/>
  <c r="C358" i="3"/>
  <c r="D358" i="3" s="1"/>
  <c r="B358" i="3"/>
  <c r="M357" i="3"/>
  <c r="K357" i="3"/>
  <c r="J357" i="3"/>
  <c r="C357" i="3"/>
  <c r="B357" i="3"/>
  <c r="M356" i="3"/>
  <c r="K356" i="3"/>
  <c r="J356" i="3"/>
  <c r="C356" i="3"/>
  <c r="E356" i="3" s="1"/>
  <c r="B356" i="3"/>
  <c r="M355" i="3"/>
  <c r="K355" i="3"/>
  <c r="J355" i="3"/>
  <c r="D355" i="3"/>
  <c r="C355" i="3"/>
  <c r="B355" i="3"/>
  <c r="E355" i="3" s="1"/>
  <c r="L355" i="3" s="1"/>
  <c r="N355" i="3" s="1"/>
  <c r="M354" i="3"/>
  <c r="K354" i="3"/>
  <c r="J354" i="3"/>
  <c r="E354" i="3"/>
  <c r="C354" i="3"/>
  <c r="D354" i="3" s="1"/>
  <c r="B354" i="3"/>
  <c r="M353" i="3"/>
  <c r="K353" i="3"/>
  <c r="J353" i="3"/>
  <c r="C353" i="3"/>
  <c r="B353" i="3"/>
  <c r="M352" i="3"/>
  <c r="K352" i="3"/>
  <c r="J352" i="3"/>
  <c r="C352" i="3"/>
  <c r="E352" i="3" s="1"/>
  <c r="B352" i="3"/>
  <c r="M351" i="3"/>
  <c r="K351" i="3"/>
  <c r="J351" i="3"/>
  <c r="D351" i="3"/>
  <c r="C351" i="3"/>
  <c r="B351" i="3"/>
  <c r="E351" i="3" s="1"/>
  <c r="L351" i="3" s="1"/>
  <c r="N351" i="3" s="1"/>
  <c r="M350" i="3"/>
  <c r="K350" i="3"/>
  <c r="J350" i="3"/>
  <c r="E350" i="3"/>
  <c r="C350" i="3"/>
  <c r="D350" i="3" s="1"/>
  <c r="B350" i="3"/>
  <c r="M349" i="3"/>
  <c r="K349" i="3"/>
  <c r="J349" i="3"/>
  <c r="C349" i="3"/>
  <c r="B349" i="3"/>
  <c r="M348" i="3"/>
  <c r="K348" i="3"/>
  <c r="J348" i="3"/>
  <c r="C348" i="3"/>
  <c r="E348" i="3" s="1"/>
  <c r="B348" i="3"/>
  <c r="M347" i="3"/>
  <c r="K347" i="3"/>
  <c r="J347" i="3"/>
  <c r="D347" i="3"/>
  <c r="C347" i="3"/>
  <c r="B347" i="3"/>
  <c r="E347" i="3" s="1"/>
  <c r="L347" i="3" s="1"/>
  <c r="N347" i="3" s="1"/>
  <c r="M346" i="3"/>
  <c r="K346" i="3"/>
  <c r="J346" i="3"/>
  <c r="E346" i="3"/>
  <c r="C346" i="3"/>
  <c r="D346" i="3" s="1"/>
  <c r="B346" i="3"/>
  <c r="M345" i="3"/>
  <c r="K345" i="3"/>
  <c r="J345" i="3"/>
  <c r="C345" i="3"/>
  <c r="B345" i="3"/>
  <c r="E345" i="3" s="1"/>
  <c r="L345" i="3" s="1"/>
  <c r="N345" i="3" s="1"/>
  <c r="M344" i="3"/>
  <c r="K344" i="3"/>
  <c r="L344" i="3" s="1"/>
  <c r="N344" i="3" s="1"/>
  <c r="J344" i="3"/>
  <c r="E344" i="3"/>
  <c r="C344" i="3"/>
  <c r="B344" i="3"/>
  <c r="D344" i="3" s="1"/>
  <c r="M343" i="3"/>
  <c r="K343" i="3"/>
  <c r="J343" i="3"/>
  <c r="C343" i="3"/>
  <c r="B343" i="3"/>
  <c r="E343" i="3" s="1"/>
  <c r="L343" i="3" s="1"/>
  <c r="N343" i="3" s="1"/>
  <c r="M342" i="3"/>
  <c r="K342" i="3"/>
  <c r="J342" i="3"/>
  <c r="E342" i="3"/>
  <c r="C342" i="3"/>
  <c r="D342" i="3" s="1"/>
  <c r="B342" i="3"/>
  <c r="M341" i="3"/>
  <c r="K341" i="3"/>
  <c r="J341" i="3"/>
  <c r="C341" i="3"/>
  <c r="B341" i="3"/>
  <c r="E341" i="3" s="1"/>
  <c r="L341" i="3" s="1"/>
  <c r="N341" i="3" s="1"/>
  <c r="M340" i="3"/>
  <c r="K340" i="3"/>
  <c r="L340" i="3" s="1"/>
  <c r="N340" i="3" s="1"/>
  <c r="J340" i="3"/>
  <c r="E340" i="3"/>
  <c r="C340" i="3"/>
  <c r="B340" i="3"/>
  <c r="D340" i="3" s="1"/>
  <c r="M339" i="3"/>
  <c r="K339" i="3"/>
  <c r="J339" i="3"/>
  <c r="C339" i="3"/>
  <c r="B339" i="3"/>
  <c r="E339" i="3" s="1"/>
  <c r="L339" i="3" s="1"/>
  <c r="N339" i="3" s="1"/>
  <c r="M338" i="3"/>
  <c r="K338" i="3"/>
  <c r="J338" i="3"/>
  <c r="E338" i="3"/>
  <c r="C338" i="3"/>
  <c r="D338" i="3" s="1"/>
  <c r="B338" i="3"/>
  <c r="M337" i="3"/>
  <c r="K337" i="3"/>
  <c r="J337" i="3"/>
  <c r="C337" i="3"/>
  <c r="B337" i="3"/>
  <c r="E337" i="3" s="1"/>
  <c r="L337" i="3" s="1"/>
  <c r="N337" i="3" s="1"/>
  <c r="M336" i="3"/>
  <c r="K336" i="3"/>
  <c r="L336" i="3" s="1"/>
  <c r="N336" i="3" s="1"/>
  <c r="J336" i="3"/>
  <c r="E336" i="3"/>
  <c r="C336" i="3"/>
  <c r="B336" i="3"/>
  <c r="D336" i="3" s="1"/>
  <c r="M335" i="3"/>
  <c r="K335" i="3"/>
  <c r="J335" i="3"/>
  <c r="C335" i="3"/>
  <c r="B335" i="3"/>
  <c r="E335" i="3" s="1"/>
  <c r="L335" i="3" s="1"/>
  <c r="N335" i="3" s="1"/>
  <c r="M334" i="3"/>
  <c r="K334" i="3"/>
  <c r="J334" i="3"/>
  <c r="E334" i="3"/>
  <c r="C334" i="3"/>
  <c r="D334" i="3" s="1"/>
  <c r="B334" i="3"/>
  <c r="M333" i="3"/>
  <c r="K333" i="3"/>
  <c r="J333" i="3"/>
  <c r="D333" i="3"/>
  <c r="C333" i="3"/>
  <c r="B333" i="3"/>
  <c r="E333" i="3" s="1"/>
  <c r="L333" i="3" s="1"/>
  <c r="N333" i="3" s="1"/>
  <c r="M332" i="3"/>
  <c r="K332" i="3"/>
  <c r="L332" i="3" s="1"/>
  <c r="N332" i="3" s="1"/>
  <c r="J332" i="3"/>
  <c r="E332" i="3"/>
  <c r="C332" i="3"/>
  <c r="B332" i="3"/>
  <c r="D332" i="3" s="1"/>
  <c r="M331" i="3"/>
  <c r="K331" i="3"/>
  <c r="J331" i="3"/>
  <c r="C331" i="3"/>
  <c r="B331" i="3"/>
  <c r="E331" i="3" s="1"/>
  <c r="L331" i="3" s="1"/>
  <c r="N331" i="3" s="1"/>
  <c r="M330" i="3"/>
  <c r="K330" i="3"/>
  <c r="J330" i="3"/>
  <c r="E330" i="3"/>
  <c r="C330" i="3"/>
  <c r="D330" i="3" s="1"/>
  <c r="B330" i="3"/>
  <c r="M329" i="3"/>
  <c r="K329" i="3"/>
  <c r="J329" i="3"/>
  <c r="D329" i="3"/>
  <c r="C329" i="3"/>
  <c r="B329" i="3"/>
  <c r="E329" i="3" s="1"/>
  <c r="L329" i="3" s="1"/>
  <c r="N329" i="3" s="1"/>
  <c r="M328" i="3"/>
  <c r="K328" i="3"/>
  <c r="L328" i="3" s="1"/>
  <c r="N328" i="3" s="1"/>
  <c r="J328" i="3"/>
  <c r="E328" i="3"/>
  <c r="C328" i="3"/>
  <c r="B328" i="3"/>
  <c r="D328" i="3" s="1"/>
  <c r="M327" i="3"/>
  <c r="K327" i="3"/>
  <c r="J327" i="3"/>
  <c r="C327" i="3"/>
  <c r="B327" i="3"/>
  <c r="E327" i="3" s="1"/>
  <c r="L327" i="3" s="1"/>
  <c r="N327" i="3" s="1"/>
  <c r="M326" i="3"/>
  <c r="K326" i="3"/>
  <c r="J326" i="3"/>
  <c r="E326" i="3"/>
  <c r="C326" i="3"/>
  <c r="D326" i="3" s="1"/>
  <c r="B326" i="3"/>
  <c r="M325" i="3"/>
  <c r="K325" i="3"/>
  <c r="J325" i="3"/>
  <c r="D325" i="3"/>
  <c r="C325" i="3"/>
  <c r="B325" i="3"/>
  <c r="E325" i="3" s="1"/>
  <c r="L325" i="3" s="1"/>
  <c r="N325" i="3" s="1"/>
  <c r="M324" i="3"/>
  <c r="K324" i="3"/>
  <c r="L324" i="3" s="1"/>
  <c r="N324" i="3" s="1"/>
  <c r="J324" i="3"/>
  <c r="E324" i="3"/>
  <c r="C324" i="3"/>
  <c r="B324" i="3"/>
  <c r="D324" i="3" s="1"/>
  <c r="M323" i="3"/>
  <c r="K323" i="3"/>
  <c r="J323" i="3"/>
  <c r="C323" i="3"/>
  <c r="B323" i="3"/>
  <c r="E323" i="3" s="1"/>
  <c r="L323" i="3" s="1"/>
  <c r="N323" i="3" s="1"/>
  <c r="M322" i="3"/>
  <c r="K322" i="3"/>
  <c r="J322" i="3"/>
  <c r="D322" i="3"/>
  <c r="C322" i="3"/>
  <c r="E322" i="3" s="1"/>
  <c r="L322" i="3" s="1"/>
  <c r="N322" i="3" s="1"/>
  <c r="B322" i="3"/>
  <c r="M321" i="3"/>
  <c r="K321" i="3"/>
  <c r="J321" i="3"/>
  <c r="E321" i="3"/>
  <c r="L321" i="3" s="1"/>
  <c r="N321" i="3" s="1"/>
  <c r="C321" i="3"/>
  <c r="B321" i="3"/>
  <c r="D321" i="3" s="1"/>
  <c r="M320" i="3"/>
  <c r="K320" i="3"/>
  <c r="J320" i="3"/>
  <c r="C320" i="3"/>
  <c r="B320" i="3"/>
  <c r="D320" i="3" s="1"/>
  <c r="M319" i="3"/>
  <c r="K319" i="3"/>
  <c r="L319" i="3" s="1"/>
  <c r="N319" i="3" s="1"/>
  <c r="J319" i="3"/>
  <c r="C319" i="3"/>
  <c r="B319" i="3"/>
  <c r="E319" i="3" s="1"/>
  <c r="M318" i="3"/>
  <c r="N318" i="3" s="1"/>
  <c r="J318" i="3"/>
  <c r="D318" i="3"/>
  <c r="C318" i="3"/>
  <c r="B318" i="3"/>
  <c r="E318" i="3" s="1"/>
  <c r="M317" i="3"/>
  <c r="K317" i="3"/>
  <c r="L317" i="3" s="1"/>
  <c r="N317" i="3" s="1"/>
  <c r="J317" i="3"/>
  <c r="E317" i="3"/>
  <c r="C317" i="3"/>
  <c r="B317" i="3"/>
  <c r="D317" i="3" s="1"/>
  <c r="M316" i="3"/>
  <c r="K316" i="3"/>
  <c r="J316" i="3"/>
  <c r="C316" i="3"/>
  <c r="B316" i="3"/>
  <c r="E316" i="3" s="1"/>
  <c r="L316" i="3" s="1"/>
  <c r="N316" i="3" s="1"/>
  <c r="M315" i="3"/>
  <c r="K315" i="3"/>
  <c r="J315" i="3"/>
  <c r="C315" i="3"/>
  <c r="D315" i="3" s="1"/>
  <c r="B315" i="3"/>
  <c r="M314" i="3"/>
  <c r="K314" i="3"/>
  <c r="J314" i="3"/>
  <c r="D314" i="3"/>
  <c r="C314" i="3"/>
  <c r="B314" i="3"/>
  <c r="E314" i="3" s="1"/>
  <c r="L314" i="3" s="1"/>
  <c r="N314" i="3" s="1"/>
  <c r="M313" i="3"/>
  <c r="K313" i="3"/>
  <c r="L313" i="3" s="1"/>
  <c r="N313" i="3" s="1"/>
  <c r="J313" i="3"/>
  <c r="E313" i="3"/>
  <c r="C313" i="3"/>
  <c r="B313" i="3"/>
  <c r="D313" i="3" s="1"/>
  <c r="M312" i="3"/>
  <c r="K312" i="3"/>
  <c r="J312" i="3"/>
  <c r="C312" i="3"/>
  <c r="B312" i="3"/>
  <c r="E312" i="3" s="1"/>
  <c r="L312" i="3" s="1"/>
  <c r="N312" i="3" s="1"/>
  <c r="M311" i="3"/>
  <c r="K311" i="3"/>
  <c r="J311" i="3"/>
  <c r="C311" i="3"/>
  <c r="D311" i="3" s="1"/>
  <c r="B311" i="3"/>
  <c r="M310" i="3"/>
  <c r="K310" i="3"/>
  <c r="J310" i="3"/>
  <c r="D310" i="3"/>
  <c r="C310" i="3"/>
  <c r="B310" i="3"/>
  <c r="E310" i="3" s="1"/>
  <c r="L310" i="3" s="1"/>
  <c r="N310" i="3" s="1"/>
  <c r="M309" i="3"/>
  <c r="K309" i="3"/>
  <c r="L309" i="3" s="1"/>
  <c r="N309" i="3" s="1"/>
  <c r="J309" i="3"/>
  <c r="E309" i="3"/>
  <c r="C309" i="3"/>
  <c r="B309" i="3"/>
  <c r="D309" i="3" s="1"/>
  <c r="M308" i="3"/>
  <c r="K308" i="3"/>
  <c r="J308" i="3"/>
  <c r="C308" i="3"/>
  <c r="B308" i="3"/>
  <c r="E308" i="3" s="1"/>
  <c r="L308" i="3" s="1"/>
  <c r="N308" i="3" s="1"/>
  <c r="M307" i="3"/>
  <c r="K307" i="3"/>
  <c r="J307" i="3"/>
  <c r="C307" i="3"/>
  <c r="D307" i="3" s="1"/>
  <c r="B307" i="3"/>
  <c r="M306" i="3"/>
  <c r="K306" i="3"/>
  <c r="J306" i="3"/>
  <c r="D306" i="3"/>
  <c r="C306" i="3"/>
  <c r="B306" i="3"/>
  <c r="E306" i="3" s="1"/>
  <c r="L306" i="3" s="1"/>
  <c r="N306" i="3" s="1"/>
  <c r="M305" i="3"/>
  <c r="K305" i="3"/>
  <c r="L305" i="3" s="1"/>
  <c r="N305" i="3" s="1"/>
  <c r="J305" i="3"/>
  <c r="E305" i="3"/>
  <c r="C305" i="3"/>
  <c r="D305" i="3" s="1"/>
  <c r="B305" i="3"/>
  <c r="M304" i="3"/>
  <c r="K304" i="3"/>
  <c r="J304" i="3"/>
  <c r="C304" i="3"/>
  <c r="B304" i="3"/>
  <c r="E304" i="3" s="1"/>
  <c r="L304" i="3" s="1"/>
  <c r="N304" i="3" s="1"/>
  <c r="M303" i="3"/>
  <c r="K303" i="3"/>
  <c r="J303" i="3"/>
  <c r="C303" i="3"/>
  <c r="E303" i="3" s="1"/>
  <c r="B303" i="3"/>
  <c r="D303" i="3" s="1"/>
  <c r="M302" i="3"/>
  <c r="K302" i="3"/>
  <c r="J302" i="3"/>
  <c r="D302" i="3"/>
  <c r="C302" i="3"/>
  <c r="B302" i="3"/>
  <c r="E302" i="3" s="1"/>
  <c r="L302" i="3" s="1"/>
  <c r="N302" i="3" s="1"/>
  <c r="M301" i="3"/>
  <c r="K301" i="3"/>
  <c r="L301" i="3" s="1"/>
  <c r="N301" i="3" s="1"/>
  <c r="J301" i="3"/>
  <c r="E301" i="3"/>
  <c r="C301" i="3"/>
  <c r="D301" i="3" s="1"/>
  <c r="B301" i="3"/>
  <c r="M300" i="3"/>
  <c r="K300" i="3"/>
  <c r="J300" i="3"/>
  <c r="C300" i="3"/>
  <c r="B300" i="3"/>
  <c r="E300" i="3" s="1"/>
  <c r="L300" i="3" s="1"/>
  <c r="N300" i="3" s="1"/>
  <c r="M299" i="3"/>
  <c r="K299" i="3"/>
  <c r="J299" i="3"/>
  <c r="C299" i="3"/>
  <c r="D299" i="3" s="1"/>
  <c r="B299" i="3"/>
  <c r="M298" i="3"/>
  <c r="K298" i="3"/>
  <c r="J298" i="3"/>
  <c r="D298" i="3"/>
  <c r="C298" i="3"/>
  <c r="B298" i="3"/>
  <c r="E298" i="3" s="1"/>
  <c r="L298" i="3" s="1"/>
  <c r="N298" i="3" s="1"/>
  <c r="M297" i="3"/>
  <c r="K297" i="3"/>
  <c r="L297" i="3" s="1"/>
  <c r="N297" i="3" s="1"/>
  <c r="J297" i="3"/>
  <c r="E297" i="3"/>
  <c r="C297" i="3"/>
  <c r="B297" i="3"/>
  <c r="D297" i="3" s="1"/>
  <c r="M296" i="3"/>
  <c r="K296" i="3"/>
  <c r="J296" i="3"/>
  <c r="C296" i="3"/>
  <c r="B296" i="3"/>
  <c r="E296" i="3" s="1"/>
  <c r="L296" i="3" s="1"/>
  <c r="N296" i="3" s="1"/>
  <c r="M295" i="3"/>
  <c r="K295" i="3"/>
  <c r="J295" i="3"/>
  <c r="C295" i="3"/>
  <c r="D295" i="3" s="1"/>
  <c r="B295" i="3"/>
  <c r="M294" i="3"/>
  <c r="K294" i="3"/>
  <c r="J294" i="3"/>
  <c r="D294" i="3"/>
  <c r="C294" i="3"/>
  <c r="B294" i="3"/>
  <c r="E294" i="3" s="1"/>
  <c r="L294" i="3" s="1"/>
  <c r="N294" i="3" s="1"/>
  <c r="M293" i="3"/>
  <c r="K293" i="3"/>
  <c r="L293" i="3" s="1"/>
  <c r="N293" i="3" s="1"/>
  <c r="J293" i="3"/>
  <c r="E293" i="3"/>
  <c r="C293" i="3"/>
  <c r="D293" i="3" s="1"/>
  <c r="B293" i="3"/>
  <c r="M292" i="3"/>
  <c r="K292" i="3"/>
  <c r="J292" i="3"/>
  <c r="C292" i="3"/>
  <c r="B292" i="3"/>
  <c r="E292" i="3" s="1"/>
  <c r="L292" i="3" s="1"/>
  <c r="N292" i="3" s="1"/>
  <c r="M291" i="3"/>
  <c r="K291" i="3"/>
  <c r="J291" i="3"/>
  <c r="C291" i="3"/>
  <c r="E291" i="3" s="1"/>
  <c r="B291" i="3"/>
  <c r="D291" i="3" s="1"/>
  <c r="M290" i="3"/>
  <c r="K290" i="3"/>
  <c r="J290" i="3"/>
  <c r="D290" i="3"/>
  <c r="C290" i="3"/>
  <c r="B290" i="3"/>
  <c r="E290" i="3" s="1"/>
  <c r="L290" i="3" s="1"/>
  <c r="N290" i="3" s="1"/>
  <c r="M289" i="3"/>
  <c r="K289" i="3"/>
  <c r="L289" i="3" s="1"/>
  <c r="N289" i="3" s="1"/>
  <c r="J289" i="3"/>
  <c r="E289" i="3"/>
  <c r="C289" i="3"/>
  <c r="B289" i="3"/>
  <c r="D289" i="3" s="1"/>
  <c r="M288" i="3"/>
  <c r="K288" i="3"/>
  <c r="J288" i="3"/>
  <c r="C288" i="3"/>
  <c r="B288" i="3"/>
  <c r="E288" i="3" s="1"/>
  <c r="L288" i="3" s="1"/>
  <c r="N288" i="3" s="1"/>
  <c r="M287" i="3"/>
  <c r="K287" i="3"/>
  <c r="J287" i="3"/>
  <c r="C287" i="3"/>
  <c r="D287" i="3" s="1"/>
  <c r="B287" i="3"/>
  <c r="M286" i="3"/>
  <c r="K286" i="3"/>
  <c r="J286" i="3"/>
  <c r="D286" i="3"/>
  <c r="C286" i="3"/>
  <c r="B286" i="3"/>
  <c r="E286" i="3" s="1"/>
  <c r="L286" i="3" s="1"/>
  <c r="N286" i="3" s="1"/>
  <c r="M285" i="3"/>
  <c r="K285" i="3"/>
  <c r="L285" i="3" s="1"/>
  <c r="N285" i="3" s="1"/>
  <c r="J285" i="3"/>
  <c r="C285" i="3"/>
  <c r="E285" i="3" s="1"/>
  <c r="B285" i="3"/>
  <c r="D285" i="3" s="1"/>
  <c r="M284" i="3"/>
  <c r="K284" i="3"/>
  <c r="J284" i="3"/>
  <c r="C284" i="3"/>
  <c r="B284" i="3"/>
  <c r="E284" i="3" s="1"/>
  <c r="L284" i="3" s="1"/>
  <c r="N284" i="3" s="1"/>
  <c r="M283" i="3"/>
  <c r="K283" i="3"/>
  <c r="J283" i="3"/>
  <c r="C283" i="3"/>
  <c r="D283" i="3" s="1"/>
  <c r="B283" i="3"/>
  <c r="M282" i="3"/>
  <c r="K282" i="3"/>
  <c r="J282" i="3"/>
  <c r="D282" i="3"/>
  <c r="C282" i="3"/>
  <c r="B282" i="3"/>
  <c r="E282" i="3" s="1"/>
  <c r="L282" i="3" s="1"/>
  <c r="N282" i="3" s="1"/>
  <c r="M281" i="3"/>
  <c r="K281" i="3"/>
  <c r="J281" i="3"/>
  <c r="C281" i="3"/>
  <c r="E281" i="3" s="1"/>
  <c r="B281" i="3"/>
  <c r="D281" i="3" s="1"/>
  <c r="M280" i="3"/>
  <c r="K280" i="3"/>
  <c r="J280" i="3"/>
  <c r="C280" i="3"/>
  <c r="B280" i="3"/>
  <c r="E280" i="3" s="1"/>
  <c r="L280" i="3" s="1"/>
  <c r="N280" i="3" s="1"/>
  <c r="M279" i="3"/>
  <c r="K279" i="3"/>
  <c r="J279" i="3"/>
  <c r="C279" i="3"/>
  <c r="D279" i="3" s="1"/>
  <c r="B279" i="3"/>
  <c r="M278" i="3"/>
  <c r="K278" i="3"/>
  <c r="J278" i="3"/>
  <c r="D278" i="3"/>
  <c r="C278" i="3"/>
  <c r="B278" i="3"/>
  <c r="E278" i="3" s="1"/>
  <c r="L278" i="3" s="1"/>
  <c r="N278" i="3" s="1"/>
  <c r="M277" i="3"/>
  <c r="K277" i="3"/>
  <c r="J277" i="3"/>
  <c r="C277" i="3"/>
  <c r="E277" i="3" s="1"/>
  <c r="B277" i="3"/>
  <c r="D277" i="3" s="1"/>
  <c r="M276" i="3"/>
  <c r="K276" i="3"/>
  <c r="J276" i="3"/>
  <c r="C276" i="3"/>
  <c r="B276" i="3"/>
  <c r="E276" i="3" s="1"/>
  <c r="L276" i="3" s="1"/>
  <c r="N276" i="3" s="1"/>
  <c r="M275" i="3"/>
  <c r="K275" i="3"/>
  <c r="J275" i="3"/>
  <c r="C275" i="3"/>
  <c r="D275" i="3" s="1"/>
  <c r="B275" i="3"/>
  <c r="M274" i="3"/>
  <c r="K274" i="3"/>
  <c r="J274" i="3"/>
  <c r="D274" i="3"/>
  <c r="C274" i="3"/>
  <c r="B274" i="3"/>
  <c r="E274" i="3" s="1"/>
  <c r="L274" i="3" s="1"/>
  <c r="N274" i="3" s="1"/>
  <c r="M273" i="3"/>
  <c r="K273" i="3"/>
  <c r="J273" i="3"/>
  <c r="C273" i="3"/>
  <c r="E273" i="3" s="1"/>
  <c r="B273" i="3"/>
  <c r="D273" i="3" s="1"/>
  <c r="M272" i="3"/>
  <c r="K272" i="3"/>
  <c r="J272" i="3"/>
  <c r="D272" i="3"/>
  <c r="C272" i="3"/>
  <c r="B272" i="3"/>
  <c r="E272" i="3" s="1"/>
  <c r="L272" i="3" s="1"/>
  <c r="N272" i="3" s="1"/>
  <c r="M271" i="3"/>
  <c r="K271" i="3"/>
  <c r="J271" i="3"/>
  <c r="C271" i="3"/>
  <c r="D271" i="3" s="1"/>
  <c r="B271" i="3"/>
  <c r="M270" i="3"/>
  <c r="K270" i="3"/>
  <c r="J270" i="3"/>
  <c r="D270" i="3"/>
  <c r="C270" i="3"/>
  <c r="B270" i="3"/>
  <c r="E270" i="3" s="1"/>
  <c r="L270" i="3" s="1"/>
  <c r="N270" i="3" s="1"/>
  <c r="M269" i="3"/>
  <c r="K269" i="3"/>
  <c r="J269" i="3"/>
  <c r="C269" i="3"/>
  <c r="E269" i="3" s="1"/>
  <c r="B269" i="3"/>
  <c r="D269" i="3" s="1"/>
  <c r="M268" i="3"/>
  <c r="K268" i="3"/>
  <c r="J268" i="3"/>
  <c r="D268" i="3"/>
  <c r="C268" i="3"/>
  <c r="B268" i="3"/>
  <c r="E268" i="3" s="1"/>
  <c r="L268" i="3" s="1"/>
  <c r="N268" i="3" s="1"/>
  <c r="M267" i="3"/>
  <c r="K267" i="3"/>
  <c r="J267" i="3"/>
  <c r="C267" i="3"/>
  <c r="D267" i="3" s="1"/>
  <c r="B267" i="3"/>
  <c r="M266" i="3"/>
  <c r="K266" i="3"/>
  <c r="J266" i="3"/>
  <c r="D266" i="3"/>
  <c r="C266" i="3"/>
  <c r="B266" i="3"/>
  <c r="E266" i="3" s="1"/>
  <c r="L266" i="3" s="1"/>
  <c r="N266" i="3" s="1"/>
  <c r="M265" i="3"/>
  <c r="K265" i="3"/>
  <c r="J265" i="3"/>
  <c r="C265" i="3"/>
  <c r="E265" i="3" s="1"/>
  <c r="B265" i="3"/>
  <c r="D265" i="3" s="1"/>
  <c r="M264" i="3"/>
  <c r="K264" i="3"/>
  <c r="J264" i="3"/>
  <c r="C264" i="3"/>
  <c r="B264" i="3"/>
  <c r="E264" i="3" s="1"/>
  <c r="L264" i="3" s="1"/>
  <c r="N264" i="3" s="1"/>
  <c r="M263" i="3"/>
  <c r="K263" i="3"/>
  <c r="J263" i="3"/>
  <c r="E263" i="3"/>
  <c r="C263" i="3"/>
  <c r="D263" i="3" s="1"/>
  <c r="B263" i="3"/>
  <c r="M262" i="3"/>
  <c r="K262" i="3"/>
  <c r="J262" i="3"/>
  <c r="C262" i="3"/>
  <c r="B262" i="3"/>
  <c r="E262" i="3" s="1"/>
  <c r="L262" i="3" s="1"/>
  <c r="N262" i="3" s="1"/>
  <c r="M261" i="3"/>
  <c r="K261" i="3"/>
  <c r="L261" i="3" s="1"/>
  <c r="N261" i="3" s="1"/>
  <c r="J261" i="3"/>
  <c r="E261" i="3"/>
  <c r="C261" i="3"/>
  <c r="B261" i="3"/>
  <c r="D261" i="3" s="1"/>
  <c r="M260" i="3"/>
  <c r="K260" i="3"/>
  <c r="L260" i="3" s="1"/>
  <c r="N260" i="3" s="1"/>
  <c r="J260" i="3"/>
  <c r="C260" i="3"/>
  <c r="B260" i="3"/>
  <c r="E260" i="3" s="1"/>
  <c r="M259" i="3"/>
  <c r="K259" i="3"/>
  <c r="L259" i="3" s="1"/>
  <c r="N259" i="3" s="1"/>
  <c r="J259" i="3"/>
  <c r="C259" i="3"/>
  <c r="E259" i="3" s="1"/>
  <c r="B259" i="3"/>
  <c r="M258" i="3"/>
  <c r="L258" i="3"/>
  <c r="N258" i="3" s="1"/>
  <c r="K258" i="3"/>
  <c r="J258" i="3"/>
  <c r="E258" i="3"/>
  <c r="D258" i="3"/>
  <c r="C258" i="3"/>
  <c r="B258" i="3"/>
  <c r="M257" i="3"/>
  <c r="K257" i="3"/>
  <c r="J257" i="3"/>
  <c r="C257" i="3"/>
  <c r="B257" i="3"/>
  <c r="D257" i="3" s="1"/>
  <c r="M256" i="3"/>
  <c r="K256" i="3"/>
  <c r="J256" i="3"/>
  <c r="C256" i="3"/>
  <c r="D256" i="3" s="1"/>
  <c r="B256" i="3"/>
  <c r="E256" i="3" s="1"/>
  <c r="M255" i="3"/>
  <c r="L255" i="3"/>
  <c r="N255" i="3" s="1"/>
  <c r="K255" i="3"/>
  <c r="J255" i="3"/>
  <c r="E255" i="3"/>
  <c r="D255" i="3"/>
  <c r="C255" i="3"/>
  <c r="B255" i="3"/>
  <c r="M254" i="3"/>
  <c r="K254" i="3"/>
  <c r="J254" i="3"/>
  <c r="E254" i="3"/>
  <c r="L254" i="3" s="1"/>
  <c r="N254" i="3" s="1"/>
  <c r="C254" i="3"/>
  <c r="B254" i="3"/>
  <c r="D254" i="3" s="1"/>
  <c r="M253" i="3"/>
  <c r="K253" i="3"/>
  <c r="L253" i="3" s="1"/>
  <c r="N253" i="3" s="1"/>
  <c r="J253" i="3"/>
  <c r="C253" i="3"/>
  <c r="B253" i="3"/>
  <c r="E253" i="3" s="1"/>
  <c r="M252" i="3"/>
  <c r="K252" i="3"/>
  <c r="J252" i="3"/>
  <c r="C252" i="3"/>
  <c r="D252" i="3" s="1"/>
  <c r="B252" i="3"/>
  <c r="E252" i="3" s="1"/>
  <c r="M251" i="3"/>
  <c r="L251" i="3"/>
  <c r="N251" i="3" s="1"/>
  <c r="K251" i="3"/>
  <c r="J251" i="3"/>
  <c r="E251" i="3"/>
  <c r="D251" i="3"/>
  <c r="C251" i="3"/>
  <c r="B251" i="3"/>
  <c r="M250" i="3"/>
  <c r="K250" i="3"/>
  <c r="J250" i="3"/>
  <c r="E250" i="3"/>
  <c r="L250" i="3" s="1"/>
  <c r="N250" i="3" s="1"/>
  <c r="C250" i="3"/>
  <c r="B250" i="3"/>
  <c r="D250" i="3" s="1"/>
  <c r="M249" i="3"/>
  <c r="K249" i="3"/>
  <c r="L249" i="3" s="1"/>
  <c r="N249" i="3" s="1"/>
  <c r="J249" i="3"/>
  <c r="C249" i="3"/>
  <c r="B249" i="3"/>
  <c r="E249" i="3" s="1"/>
  <c r="M248" i="3"/>
  <c r="K248" i="3"/>
  <c r="J248" i="3"/>
  <c r="C248" i="3"/>
  <c r="D248" i="3" s="1"/>
  <c r="B248" i="3"/>
  <c r="E248" i="3" s="1"/>
  <c r="M247" i="3"/>
  <c r="L247" i="3"/>
  <c r="N247" i="3" s="1"/>
  <c r="K247" i="3"/>
  <c r="J247" i="3"/>
  <c r="E247" i="3"/>
  <c r="D247" i="3"/>
  <c r="C247" i="3"/>
  <c r="B247" i="3"/>
  <c r="M246" i="3"/>
  <c r="K246" i="3"/>
  <c r="J246" i="3"/>
  <c r="E246" i="3"/>
  <c r="L246" i="3" s="1"/>
  <c r="N246" i="3" s="1"/>
  <c r="C246" i="3"/>
  <c r="B246" i="3"/>
  <c r="D246" i="3" s="1"/>
  <c r="M245" i="3"/>
  <c r="K245" i="3"/>
  <c r="L245" i="3" s="1"/>
  <c r="N245" i="3" s="1"/>
  <c r="J245" i="3"/>
  <c r="C245" i="3"/>
  <c r="B245" i="3"/>
  <c r="E245" i="3" s="1"/>
  <c r="M244" i="3"/>
  <c r="K244" i="3"/>
  <c r="J244" i="3"/>
  <c r="C244" i="3"/>
  <c r="D244" i="3" s="1"/>
  <c r="B244" i="3"/>
  <c r="E244" i="3" s="1"/>
  <c r="M243" i="3"/>
  <c r="L243" i="3"/>
  <c r="N243" i="3" s="1"/>
  <c r="K243" i="3"/>
  <c r="J243" i="3"/>
  <c r="E243" i="3"/>
  <c r="D243" i="3"/>
  <c r="C243" i="3"/>
  <c r="B243" i="3"/>
  <c r="M242" i="3"/>
  <c r="K242" i="3"/>
  <c r="J242" i="3"/>
  <c r="E242" i="3"/>
  <c r="L242" i="3" s="1"/>
  <c r="N242" i="3" s="1"/>
  <c r="C242" i="3"/>
  <c r="B242" i="3"/>
  <c r="D242" i="3" s="1"/>
  <c r="M241" i="3"/>
  <c r="K241" i="3"/>
  <c r="L241" i="3" s="1"/>
  <c r="N241" i="3" s="1"/>
  <c r="J241" i="3"/>
  <c r="C241" i="3"/>
  <c r="B241" i="3"/>
  <c r="E241" i="3" s="1"/>
  <c r="M240" i="3"/>
  <c r="K240" i="3"/>
  <c r="J240" i="3"/>
  <c r="C240" i="3"/>
  <c r="D240" i="3" s="1"/>
  <c r="B240" i="3"/>
  <c r="E240" i="3" s="1"/>
  <c r="M239" i="3"/>
  <c r="L239" i="3"/>
  <c r="N239" i="3" s="1"/>
  <c r="K239" i="3"/>
  <c r="J239" i="3"/>
  <c r="E239" i="3"/>
  <c r="D239" i="3"/>
  <c r="C239" i="3"/>
  <c r="B239" i="3"/>
  <c r="M238" i="3"/>
  <c r="K238" i="3"/>
  <c r="J238" i="3"/>
  <c r="E238" i="3"/>
  <c r="L238" i="3" s="1"/>
  <c r="N238" i="3" s="1"/>
  <c r="C238" i="3"/>
  <c r="B238" i="3"/>
  <c r="D238" i="3" s="1"/>
  <c r="M237" i="3"/>
  <c r="K237" i="3"/>
  <c r="L237" i="3" s="1"/>
  <c r="N237" i="3" s="1"/>
  <c r="J237" i="3"/>
  <c r="C237" i="3"/>
  <c r="B237" i="3"/>
  <c r="E237" i="3" s="1"/>
  <c r="M236" i="3"/>
  <c r="K236" i="3"/>
  <c r="J236" i="3"/>
  <c r="C236" i="3"/>
  <c r="D236" i="3" s="1"/>
  <c r="B236" i="3"/>
  <c r="E236" i="3" s="1"/>
  <c r="M235" i="3"/>
  <c r="L235" i="3"/>
  <c r="N235" i="3" s="1"/>
  <c r="K235" i="3"/>
  <c r="J235" i="3"/>
  <c r="E235" i="3"/>
  <c r="D235" i="3"/>
  <c r="C235" i="3"/>
  <c r="B235" i="3"/>
  <c r="M234" i="3"/>
  <c r="K234" i="3"/>
  <c r="J234" i="3"/>
  <c r="E234" i="3"/>
  <c r="L234" i="3" s="1"/>
  <c r="N234" i="3" s="1"/>
  <c r="C234" i="3"/>
  <c r="B234" i="3"/>
  <c r="D234" i="3" s="1"/>
  <c r="M233" i="3"/>
  <c r="K233" i="3"/>
  <c r="L233" i="3" s="1"/>
  <c r="N233" i="3" s="1"/>
  <c r="J233" i="3"/>
  <c r="C233" i="3"/>
  <c r="B233" i="3"/>
  <c r="E233" i="3" s="1"/>
  <c r="M232" i="3"/>
  <c r="K232" i="3"/>
  <c r="J232" i="3"/>
  <c r="C232" i="3"/>
  <c r="D232" i="3" s="1"/>
  <c r="B232" i="3"/>
  <c r="E232" i="3" s="1"/>
  <c r="M231" i="3"/>
  <c r="L231" i="3"/>
  <c r="N231" i="3" s="1"/>
  <c r="K231" i="3"/>
  <c r="J231" i="3"/>
  <c r="E231" i="3"/>
  <c r="D231" i="3"/>
  <c r="C231" i="3"/>
  <c r="B231" i="3"/>
  <c r="M230" i="3"/>
  <c r="K230" i="3"/>
  <c r="J230" i="3"/>
  <c r="C230" i="3"/>
  <c r="B230" i="3"/>
  <c r="D230" i="3" s="1"/>
  <c r="M229" i="3"/>
  <c r="K229" i="3"/>
  <c r="L229" i="3" s="1"/>
  <c r="N229" i="3" s="1"/>
  <c r="J229" i="3"/>
  <c r="C229" i="3"/>
  <c r="B229" i="3"/>
  <c r="E229" i="3" s="1"/>
  <c r="M228" i="3"/>
  <c r="K228" i="3"/>
  <c r="L228" i="3" s="1"/>
  <c r="N228" i="3" s="1"/>
  <c r="J228" i="3"/>
  <c r="C228" i="3"/>
  <c r="D228" i="3" s="1"/>
  <c r="B228" i="3"/>
  <c r="E228" i="3" s="1"/>
  <c r="M227" i="3"/>
  <c r="L227" i="3"/>
  <c r="N227" i="3" s="1"/>
  <c r="K227" i="3"/>
  <c r="J227" i="3"/>
  <c r="E227" i="3"/>
  <c r="D227" i="3"/>
  <c r="C227" i="3"/>
  <c r="B227" i="3"/>
  <c r="M226" i="3"/>
  <c r="K226" i="3"/>
  <c r="J226" i="3"/>
  <c r="C226" i="3"/>
  <c r="B226" i="3"/>
  <c r="D226" i="3" s="1"/>
  <c r="N225" i="3"/>
  <c r="M225" i="3"/>
  <c r="J225" i="3"/>
  <c r="E225" i="3"/>
  <c r="D225" i="3"/>
  <c r="C225" i="3"/>
  <c r="B225" i="3"/>
  <c r="M224" i="3"/>
  <c r="K224" i="3"/>
  <c r="J224" i="3"/>
  <c r="C224" i="3"/>
  <c r="B224" i="3"/>
  <c r="D224" i="3" s="1"/>
  <c r="M223" i="3"/>
  <c r="K223" i="3"/>
  <c r="L223" i="3" s="1"/>
  <c r="N223" i="3" s="1"/>
  <c r="J223" i="3"/>
  <c r="C223" i="3"/>
  <c r="B223" i="3"/>
  <c r="E223" i="3" s="1"/>
  <c r="M222" i="3"/>
  <c r="K222" i="3"/>
  <c r="J222" i="3"/>
  <c r="D222" i="3"/>
  <c r="C222" i="3"/>
  <c r="E222" i="3" s="1"/>
  <c r="L222" i="3" s="1"/>
  <c r="N222" i="3" s="1"/>
  <c r="B222" i="3"/>
  <c r="M221" i="3"/>
  <c r="K221" i="3"/>
  <c r="J221" i="3"/>
  <c r="E221" i="3"/>
  <c r="L221" i="3" s="1"/>
  <c r="N221" i="3" s="1"/>
  <c r="D221" i="3"/>
  <c r="C221" i="3"/>
  <c r="B221" i="3"/>
  <c r="M220" i="3"/>
  <c r="K220" i="3"/>
  <c r="J220" i="3"/>
  <c r="C220" i="3"/>
  <c r="B220" i="3"/>
  <c r="D220" i="3" s="1"/>
  <c r="M219" i="3"/>
  <c r="K219" i="3"/>
  <c r="J219" i="3"/>
  <c r="C219" i="3"/>
  <c r="B219" i="3"/>
  <c r="E219" i="3" s="1"/>
  <c r="M218" i="3"/>
  <c r="K218" i="3"/>
  <c r="J218" i="3"/>
  <c r="D218" i="3"/>
  <c r="C218" i="3"/>
  <c r="E218" i="3" s="1"/>
  <c r="L218" i="3" s="1"/>
  <c r="N218" i="3" s="1"/>
  <c r="B218" i="3"/>
  <c r="M217" i="3"/>
  <c r="K217" i="3"/>
  <c r="J217" i="3"/>
  <c r="E217" i="3"/>
  <c r="L217" i="3" s="1"/>
  <c r="N217" i="3" s="1"/>
  <c r="C217" i="3"/>
  <c r="B217" i="3"/>
  <c r="D217" i="3" s="1"/>
  <c r="M216" i="3"/>
  <c r="K216" i="3"/>
  <c r="J216" i="3"/>
  <c r="C216" i="3"/>
  <c r="B216" i="3"/>
  <c r="D216" i="3" s="1"/>
  <c r="M215" i="3"/>
  <c r="K215" i="3"/>
  <c r="L215" i="3" s="1"/>
  <c r="N215" i="3" s="1"/>
  <c r="J215" i="3"/>
  <c r="C215" i="3"/>
  <c r="D215" i="3" s="1"/>
  <c r="B215" i="3"/>
  <c r="E215" i="3" s="1"/>
  <c r="M214" i="3"/>
  <c r="K214" i="3"/>
  <c r="J214" i="3"/>
  <c r="D214" i="3"/>
  <c r="C214" i="3"/>
  <c r="E214" i="3" s="1"/>
  <c r="L214" i="3" s="1"/>
  <c r="N214" i="3" s="1"/>
  <c r="B214" i="3"/>
  <c r="M213" i="3"/>
  <c r="K213" i="3"/>
  <c r="J213" i="3"/>
  <c r="E213" i="3"/>
  <c r="L213" i="3" s="1"/>
  <c r="N213" i="3" s="1"/>
  <c r="C213" i="3"/>
  <c r="B213" i="3"/>
  <c r="D213" i="3" s="1"/>
  <c r="M212" i="3"/>
  <c r="K212" i="3"/>
  <c r="J212" i="3"/>
  <c r="C212" i="3"/>
  <c r="B212" i="3"/>
  <c r="D212" i="3" s="1"/>
  <c r="M211" i="3"/>
  <c r="K211" i="3"/>
  <c r="J211" i="3"/>
  <c r="C211" i="3"/>
  <c r="D211" i="3" s="1"/>
  <c r="B211" i="3"/>
  <c r="E211" i="3" s="1"/>
  <c r="M210" i="3"/>
  <c r="L210" i="3"/>
  <c r="N210" i="3" s="1"/>
  <c r="K210" i="3"/>
  <c r="J210" i="3"/>
  <c r="E210" i="3"/>
  <c r="D210" i="3"/>
  <c r="C210" i="3"/>
  <c r="B210" i="3"/>
  <c r="M209" i="3"/>
  <c r="K209" i="3"/>
  <c r="J209" i="3"/>
  <c r="E209" i="3"/>
  <c r="L209" i="3" s="1"/>
  <c r="N209" i="3" s="1"/>
  <c r="C209" i="3"/>
  <c r="B209" i="3"/>
  <c r="D209" i="3" s="1"/>
  <c r="M208" i="3"/>
  <c r="K208" i="3"/>
  <c r="J208" i="3"/>
  <c r="C208" i="3"/>
  <c r="B208" i="3"/>
  <c r="D208" i="3" s="1"/>
  <c r="M207" i="3"/>
  <c r="K207" i="3"/>
  <c r="J207" i="3"/>
  <c r="C207" i="3"/>
  <c r="D207" i="3" s="1"/>
  <c r="B207" i="3"/>
  <c r="E207" i="3" s="1"/>
  <c r="M206" i="3"/>
  <c r="L206" i="3"/>
  <c r="N206" i="3" s="1"/>
  <c r="K206" i="3"/>
  <c r="J206" i="3"/>
  <c r="E206" i="3"/>
  <c r="D206" i="3"/>
  <c r="C206" i="3"/>
  <c r="B206" i="3"/>
  <c r="M205" i="3"/>
  <c r="K205" i="3"/>
  <c r="J205" i="3"/>
  <c r="E205" i="3"/>
  <c r="L205" i="3" s="1"/>
  <c r="N205" i="3" s="1"/>
  <c r="C205" i="3"/>
  <c r="B205" i="3"/>
  <c r="D205" i="3" s="1"/>
  <c r="M204" i="3"/>
  <c r="K204" i="3"/>
  <c r="J204" i="3"/>
  <c r="C204" i="3"/>
  <c r="B204" i="3"/>
  <c r="D204" i="3" s="1"/>
  <c r="M203" i="3"/>
  <c r="K203" i="3"/>
  <c r="J203" i="3"/>
  <c r="C203" i="3"/>
  <c r="D203" i="3" s="1"/>
  <c r="B203" i="3"/>
  <c r="E203" i="3" s="1"/>
  <c r="M202" i="3"/>
  <c r="L202" i="3"/>
  <c r="N202" i="3" s="1"/>
  <c r="K202" i="3"/>
  <c r="J202" i="3"/>
  <c r="E202" i="3"/>
  <c r="D202" i="3"/>
  <c r="C202" i="3"/>
  <c r="B202" i="3"/>
  <c r="M201" i="3"/>
  <c r="K201" i="3"/>
  <c r="J201" i="3"/>
  <c r="E201" i="3"/>
  <c r="L201" i="3" s="1"/>
  <c r="N201" i="3" s="1"/>
  <c r="C201" i="3"/>
  <c r="B201" i="3"/>
  <c r="D201" i="3" s="1"/>
  <c r="M200" i="3"/>
  <c r="K200" i="3"/>
  <c r="J200" i="3"/>
  <c r="C200" i="3"/>
  <c r="B200" i="3"/>
  <c r="D200" i="3" s="1"/>
  <c r="M199" i="3"/>
  <c r="K199" i="3"/>
  <c r="J199" i="3"/>
  <c r="C199" i="3"/>
  <c r="D199" i="3" s="1"/>
  <c r="B199" i="3"/>
  <c r="E199" i="3" s="1"/>
  <c r="M198" i="3"/>
  <c r="L198" i="3"/>
  <c r="N198" i="3" s="1"/>
  <c r="K198" i="3"/>
  <c r="J198" i="3"/>
  <c r="E198" i="3"/>
  <c r="D198" i="3"/>
  <c r="C198" i="3"/>
  <c r="B198" i="3"/>
  <c r="M197" i="3"/>
  <c r="K197" i="3"/>
  <c r="J197" i="3"/>
  <c r="E197" i="3"/>
  <c r="L197" i="3" s="1"/>
  <c r="N197" i="3" s="1"/>
  <c r="C197" i="3"/>
  <c r="B197" i="3"/>
  <c r="D197" i="3" s="1"/>
  <c r="M196" i="3"/>
  <c r="K196" i="3"/>
  <c r="J196" i="3"/>
  <c r="C196" i="3"/>
  <c r="B196" i="3"/>
  <c r="D196" i="3" s="1"/>
  <c r="M195" i="3"/>
  <c r="K195" i="3"/>
  <c r="J195" i="3"/>
  <c r="C195" i="3"/>
  <c r="D195" i="3" s="1"/>
  <c r="B195" i="3"/>
  <c r="E195" i="3" s="1"/>
  <c r="M194" i="3"/>
  <c r="L194" i="3"/>
  <c r="N194" i="3" s="1"/>
  <c r="K194" i="3"/>
  <c r="J194" i="3"/>
  <c r="E194" i="3"/>
  <c r="D194" i="3"/>
  <c r="C194" i="3"/>
  <c r="B194" i="3"/>
  <c r="M193" i="3"/>
  <c r="K193" i="3"/>
  <c r="J193" i="3"/>
  <c r="E193" i="3"/>
  <c r="L193" i="3" s="1"/>
  <c r="N193" i="3" s="1"/>
  <c r="C193" i="3"/>
  <c r="B193" i="3"/>
  <c r="D193" i="3" s="1"/>
  <c r="M192" i="3"/>
  <c r="K192" i="3"/>
  <c r="J192" i="3"/>
  <c r="C192" i="3"/>
  <c r="B192" i="3"/>
  <c r="D192" i="3" s="1"/>
  <c r="M191" i="3"/>
  <c r="K191" i="3"/>
  <c r="J191" i="3"/>
  <c r="C191" i="3"/>
  <c r="D191" i="3" s="1"/>
  <c r="B191" i="3"/>
  <c r="E191" i="3" s="1"/>
  <c r="M190" i="3"/>
  <c r="L190" i="3"/>
  <c r="N190" i="3" s="1"/>
  <c r="K190" i="3"/>
  <c r="J190" i="3"/>
  <c r="E190" i="3"/>
  <c r="D190" i="3"/>
  <c r="C190" i="3"/>
  <c r="B190" i="3"/>
  <c r="M189" i="3"/>
  <c r="K189" i="3"/>
  <c r="J189" i="3"/>
  <c r="E189" i="3"/>
  <c r="L189" i="3" s="1"/>
  <c r="N189" i="3" s="1"/>
  <c r="C189" i="3"/>
  <c r="B189" i="3"/>
  <c r="D189" i="3" s="1"/>
  <c r="M188" i="3"/>
  <c r="K188" i="3"/>
  <c r="J188" i="3"/>
  <c r="C188" i="3"/>
  <c r="B188" i="3"/>
  <c r="D188" i="3" s="1"/>
  <c r="M187" i="3"/>
  <c r="K187" i="3"/>
  <c r="J187" i="3"/>
  <c r="C187" i="3"/>
  <c r="D187" i="3" s="1"/>
  <c r="B187" i="3"/>
  <c r="E187" i="3" s="1"/>
  <c r="M186" i="3"/>
  <c r="L186" i="3"/>
  <c r="N186" i="3" s="1"/>
  <c r="K186" i="3"/>
  <c r="J186" i="3"/>
  <c r="E186" i="3"/>
  <c r="D186" i="3"/>
  <c r="C186" i="3"/>
  <c r="B186" i="3"/>
  <c r="M185" i="3"/>
  <c r="K185" i="3"/>
  <c r="J185" i="3"/>
  <c r="E185" i="3"/>
  <c r="L185" i="3" s="1"/>
  <c r="N185" i="3" s="1"/>
  <c r="C185" i="3"/>
  <c r="B185" i="3"/>
  <c r="D185" i="3" s="1"/>
  <c r="M184" i="3"/>
  <c r="K184" i="3"/>
  <c r="J184" i="3"/>
  <c r="C184" i="3"/>
  <c r="B184" i="3"/>
  <c r="D184" i="3" s="1"/>
  <c r="M183" i="3"/>
  <c r="K183" i="3"/>
  <c r="J183" i="3"/>
  <c r="C183" i="3"/>
  <c r="D183" i="3" s="1"/>
  <c r="B183" i="3"/>
  <c r="E183" i="3" s="1"/>
  <c r="M182" i="3"/>
  <c r="L182" i="3"/>
  <c r="N182" i="3" s="1"/>
  <c r="K182" i="3"/>
  <c r="J182" i="3"/>
  <c r="E182" i="3"/>
  <c r="D182" i="3"/>
  <c r="C182" i="3"/>
  <c r="B182" i="3"/>
  <c r="M181" i="3"/>
  <c r="K181" i="3"/>
  <c r="J181" i="3"/>
  <c r="E181" i="3"/>
  <c r="L181" i="3" s="1"/>
  <c r="N181" i="3" s="1"/>
  <c r="C181" i="3"/>
  <c r="B181" i="3"/>
  <c r="D181" i="3" s="1"/>
  <c r="M180" i="3"/>
  <c r="K180" i="3"/>
  <c r="J180" i="3"/>
  <c r="C180" i="3"/>
  <c r="B180" i="3"/>
  <c r="D180" i="3" s="1"/>
  <c r="M179" i="3"/>
  <c r="K179" i="3"/>
  <c r="J179" i="3"/>
  <c r="C179" i="3"/>
  <c r="D179" i="3" s="1"/>
  <c r="B179" i="3"/>
  <c r="E179" i="3" s="1"/>
  <c r="M178" i="3"/>
  <c r="L178" i="3"/>
  <c r="N178" i="3" s="1"/>
  <c r="K178" i="3"/>
  <c r="J178" i="3"/>
  <c r="E178" i="3"/>
  <c r="D178" i="3"/>
  <c r="C178" i="3"/>
  <c r="B178" i="3"/>
  <c r="M177" i="3"/>
  <c r="K177" i="3"/>
  <c r="J177" i="3"/>
  <c r="E177" i="3"/>
  <c r="L177" i="3" s="1"/>
  <c r="N177" i="3" s="1"/>
  <c r="C177" i="3"/>
  <c r="B177" i="3"/>
  <c r="D177" i="3" s="1"/>
  <c r="N176" i="3"/>
  <c r="M176" i="3"/>
  <c r="K176" i="3"/>
  <c r="J176" i="3"/>
  <c r="E176" i="3"/>
  <c r="C176" i="3"/>
  <c r="B176" i="3"/>
  <c r="D176" i="3" s="1"/>
  <c r="M175" i="3"/>
  <c r="K175" i="3"/>
  <c r="J175" i="3"/>
  <c r="C175" i="3"/>
  <c r="B175" i="3"/>
  <c r="D175" i="3" s="1"/>
  <c r="K174" i="3"/>
  <c r="J174" i="3"/>
  <c r="E174" i="3"/>
  <c r="L174" i="3" s="1"/>
  <c r="C174" i="3"/>
  <c r="B174" i="3"/>
  <c r="D174" i="3" s="1"/>
  <c r="M173" i="3"/>
  <c r="K173" i="3"/>
  <c r="J173" i="3"/>
  <c r="C173" i="3"/>
  <c r="B173" i="3"/>
  <c r="D173" i="3" s="1"/>
  <c r="M172" i="3"/>
  <c r="K172" i="3"/>
  <c r="L172" i="3" s="1"/>
  <c r="N172" i="3" s="1"/>
  <c r="J172" i="3"/>
  <c r="C172" i="3"/>
  <c r="D172" i="3" s="1"/>
  <c r="B172" i="3"/>
  <c r="E172" i="3" s="1"/>
  <c r="M171" i="3"/>
  <c r="L171" i="3"/>
  <c r="N171" i="3" s="1"/>
  <c r="K171" i="3"/>
  <c r="J171" i="3"/>
  <c r="E171" i="3"/>
  <c r="D171" i="3"/>
  <c r="C171" i="3"/>
  <c r="B171" i="3"/>
  <c r="M170" i="3"/>
  <c r="K170" i="3"/>
  <c r="L170" i="3" s="1"/>
  <c r="N170" i="3" s="1"/>
  <c r="J170" i="3"/>
  <c r="E170" i="3"/>
  <c r="C170" i="3"/>
  <c r="B170" i="3"/>
  <c r="D170" i="3" s="1"/>
  <c r="N169" i="3"/>
  <c r="M169" i="3"/>
  <c r="J169" i="3"/>
  <c r="E169" i="3"/>
  <c r="D169" i="3"/>
  <c r="C169" i="3"/>
  <c r="B169" i="3"/>
  <c r="M168" i="3"/>
  <c r="K168" i="3"/>
  <c r="L168" i="3" s="1"/>
  <c r="N168" i="3" s="1"/>
  <c r="J168" i="3"/>
  <c r="E168" i="3"/>
  <c r="C168" i="3"/>
  <c r="B168" i="3"/>
  <c r="D168" i="3" s="1"/>
  <c r="M167" i="3"/>
  <c r="K167" i="3"/>
  <c r="J167" i="3"/>
  <c r="C167" i="3"/>
  <c r="B167" i="3"/>
  <c r="D167" i="3" s="1"/>
  <c r="M166" i="3"/>
  <c r="K166" i="3"/>
  <c r="L166" i="3" s="1"/>
  <c r="N166" i="3" s="1"/>
  <c r="J166" i="3"/>
  <c r="C166" i="3"/>
  <c r="E166" i="3" s="1"/>
  <c r="B166" i="3"/>
  <c r="M165" i="3"/>
  <c r="K165" i="3"/>
  <c r="J165" i="3"/>
  <c r="E165" i="3"/>
  <c r="L165" i="3" s="1"/>
  <c r="N165" i="3" s="1"/>
  <c r="D165" i="3"/>
  <c r="C165" i="3"/>
  <c r="B165" i="3"/>
  <c r="M164" i="3"/>
  <c r="K164" i="3"/>
  <c r="J164" i="3"/>
  <c r="E164" i="3"/>
  <c r="C164" i="3"/>
  <c r="B164" i="3"/>
  <c r="D164" i="3" s="1"/>
  <c r="M163" i="3"/>
  <c r="K163" i="3"/>
  <c r="J163" i="3"/>
  <c r="C163" i="3"/>
  <c r="B163" i="3"/>
  <c r="M162" i="3"/>
  <c r="K162" i="3"/>
  <c r="L162" i="3" s="1"/>
  <c r="N162" i="3" s="1"/>
  <c r="J162" i="3"/>
  <c r="C162" i="3"/>
  <c r="E162" i="3" s="1"/>
  <c r="B162" i="3"/>
  <c r="M161" i="3"/>
  <c r="K161" i="3"/>
  <c r="J161" i="3"/>
  <c r="E161" i="3"/>
  <c r="L161" i="3" s="1"/>
  <c r="N161" i="3" s="1"/>
  <c r="D161" i="3"/>
  <c r="C161" i="3"/>
  <c r="B161" i="3"/>
  <c r="M160" i="3"/>
  <c r="K160" i="3"/>
  <c r="J160" i="3"/>
  <c r="E160" i="3"/>
  <c r="C160" i="3"/>
  <c r="B160" i="3"/>
  <c r="D160" i="3" s="1"/>
  <c r="M159" i="3"/>
  <c r="K159" i="3"/>
  <c r="J159" i="3"/>
  <c r="C159" i="3"/>
  <c r="B159" i="3"/>
  <c r="M158" i="3"/>
  <c r="K158" i="3"/>
  <c r="L158" i="3" s="1"/>
  <c r="N158" i="3" s="1"/>
  <c r="J158" i="3"/>
  <c r="C158" i="3"/>
  <c r="E158" i="3" s="1"/>
  <c r="B158" i="3"/>
  <c r="M157" i="3"/>
  <c r="K157" i="3"/>
  <c r="J157" i="3"/>
  <c r="E157" i="3"/>
  <c r="L157" i="3" s="1"/>
  <c r="N157" i="3" s="1"/>
  <c r="D157" i="3"/>
  <c r="C157" i="3"/>
  <c r="B157" i="3"/>
  <c r="M156" i="3"/>
  <c r="K156" i="3"/>
  <c r="J156" i="3"/>
  <c r="E156" i="3"/>
  <c r="C156" i="3"/>
  <c r="B156" i="3"/>
  <c r="D156" i="3" s="1"/>
  <c r="M155" i="3"/>
  <c r="K155" i="3"/>
  <c r="L155" i="3" s="1"/>
  <c r="N155" i="3" s="1"/>
  <c r="J155" i="3"/>
  <c r="D155" i="3"/>
  <c r="C155" i="3"/>
  <c r="B155" i="3"/>
  <c r="E155" i="3" s="1"/>
  <c r="M154" i="3"/>
  <c r="K154" i="3"/>
  <c r="J154" i="3"/>
  <c r="C154" i="3"/>
  <c r="B154" i="3"/>
  <c r="D154" i="3" s="1"/>
  <c r="M153" i="3"/>
  <c r="K153" i="3"/>
  <c r="J153" i="3"/>
  <c r="C153" i="3"/>
  <c r="B153" i="3"/>
  <c r="E153" i="3" s="1"/>
  <c r="M152" i="3"/>
  <c r="K152" i="3"/>
  <c r="J152" i="3"/>
  <c r="D152" i="3"/>
  <c r="C152" i="3"/>
  <c r="E152" i="3" s="1"/>
  <c r="L152" i="3" s="1"/>
  <c r="N152" i="3" s="1"/>
  <c r="B152" i="3"/>
  <c r="M151" i="3"/>
  <c r="K151" i="3"/>
  <c r="J151" i="3"/>
  <c r="E151" i="3"/>
  <c r="L151" i="3" s="1"/>
  <c r="N151" i="3" s="1"/>
  <c r="D151" i="3"/>
  <c r="C151" i="3"/>
  <c r="B151" i="3"/>
  <c r="M150" i="3"/>
  <c r="K150" i="3"/>
  <c r="J150" i="3"/>
  <c r="C150" i="3"/>
  <c r="B150" i="3"/>
  <c r="D150" i="3" s="1"/>
  <c r="M149" i="3"/>
  <c r="K149" i="3"/>
  <c r="J149" i="3"/>
  <c r="C149" i="3"/>
  <c r="B149" i="3"/>
  <c r="E149" i="3" s="1"/>
  <c r="M148" i="3"/>
  <c r="K148" i="3"/>
  <c r="J148" i="3"/>
  <c r="C148" i="3"/>
  <c r="E148" i="3" s="1"/>
  <c r="L148" i="3" s="1"/>
  <c r="N148" i="3" s="1"/>
  <c r="B148" i="3"/>
  <c r="M147" i="3"/>
  <c r="L147" i="3"/>
  <c r="N147" i="3" s="1"/>
  <c r="K147" i="3"/>
  <c r="J147" i="3"/>
  <c r="E147" i="3"/>
  <c r="D147" i="3"/>
  <c r="C147" i="3"/>
  <c r="B147" i="3"/>
  <c r="M146" i="3"/>
  <c r="K146" i="3"/>
  <c r="L146" i="3" s="1"/>
  <c r="N146" i="3" s="1"/>
  <c r="J146" i="3"/>
  <c r="E146" i="3"/>
  <c r="C146" i="3"/>
  <c r="B146" i="3"/>
  <c r="D146" i="3" s="1"/>
  <c r="M145" i="3"/>
  <c r="K145" i="3"/>
  <c r="J145" i="3"/>
  <c r="C145" i="3"/>
  <c r="B145" i="3"/>
  <c r="E145" i="3" s="1"/>
  <c r="M144" i="3"/>
  <c r="K144" i="3"/>
  <c r="J144" i="3"/>
  <c r="C144" i="3"/>
  <c r="E144" i="3" s="1"/>
  <c r="L144" i="3" s="1"/>
  <c r="N144" i="3" s="1"/>
  <c r="B144" i="3"/>
  <c r="M143" i="3"/>
  <c r="L143" i="3"/>
  <c r="N143" i="3" s="1"/>
  <c r="K143" i="3"/>
  <c r="J143" i="3"/>
  <c r="E143" i="3"/>
  <c r="D143" i="3"/>
  <c r="C143" i="3"/>
  <c r="B143" i="3"/>
  <c r="M142" i="3"/>
  <c r="K142" i="3"/>
  <c r="J142" i="3"/>
  <c r="C142" i="3"/>
  <c r="B142" i="3"/>
  <c r="D142" i="3" s="1"/>
  <c r="M141" i="3"/>
  <c r="K141" i="3"/>
  <c r="L141" i="3" s="1"/>
  <c r="N141" i="3" s="1"/>
  <c r="J141" i="3"/>
  <c r="C141" i="3"/>
  <c r="B141" i="3"/>
  <c r="E141" i="3" s="1"/>
  <c r="M140" i="3"/>
  <c r="K140" i="3"/>
  <c r="J140" i="3"/>
  <c r="C140" i="3"/>
  <c r="E140" i="3" s="1"/>
  <c r="B140" i="3"/>
  <c r="M139" i="3"/>
  <c r="L139" i="3"/>
  <c r="N139" i="3" s="1"/>
  <c r="K139" i="3"/>
  <c r="J139" i="3"/>
  <c r="E139" i="3"/>
  <c r="D139" i="3"/>
  <c r="C139" i="3"/>
  <c r="B139" i="3"/>
  <c r="M138" i="3"/>
  <c r="K138" i="3"/>
  <c r="L138" i="3" s="1"/>
  <c r="N138" i="3" s="1"/>
  <c r="J138" i="3"/>
  <c r="E138" i="3"/>
  <c r="C138" i="3"/>
  <c r="B138" i="3"/>
  <c r="D138" i="3" s="1"/>
  <c r="M137" i="3"/>
  <c r="K137" i="3"/>
  <c r="L137" i="3" s="1"/>
  <c r="N137" i="3" s="1"/>
  <c r="J137" i="3"/>
  <c r="C137" i="3"/>
  <c r="B137" i="3"/>
  <c r="E137" i="3" s="1"/>
  <c r="M136" i="3"/>
  <c r="K136" i="3"/>
  <c r="J136" i="3"/>
  <c r="C136" i="3"/>
  <c r="E136" i="3" s="1"/>
  <c r="B136" i="3"/>
  <c r="M135" i="3"/>
  <c r="L135" i="3"/>
  <c r="N135" i="3" s="1"/>
  <c r="K135" i="3"/>
  <c r="J135" i="3"/>
  <c r="E135" i="3"/>
  <c r="D135" i="3"/>
  <c r="C135" i="3"/>
  <c r="B135" i="3"/>
  <c r="M134" i="3"/>
  <c r="K134" i="3"/>
  <c r="J134" i="3"/>
  <c r="C134" i="3"/>
  <c r="B134" i="3"/>
  <c r="D134" i="3" s="1"/>
  <c r="M133" i="3"/>
  <c r="K133" i="3"/>
  <c r="L133" i="3" s="1"/>
  <c r="N133" i="3" s="1"/>
  <c r="J133" i="3"/>
  <c r="C133" i="3"/>
  <c r="B133" i="3"/>
  <c r="E133" i="3" s="1"/>
  <c r="M132" i="3"/>
  <c r="K132" i="3"/>
  <c r="L132" i="3" s="1"/>
  <c r="N132" i="3" s="1"/>
  <c r="J132" i="3"/>
  <c r="C132" i="3"/>
  <c r="E132" i="3" s="1"/>
  <c r="B132" i="3"/>
  <c r="M131" i="3"/>
  <c r="K131" i="3"/>
  <c r="J131" i="3"/>
  <c r="D131" i="3"/>
  <c r="C131" i="3"/>
  <c r="B131" i="3"/>
  <c r="E131" i="3" s="1"/>
  <c r="L131" i="3" s="1"/>
  <c r="N131" i="3" s="1"/>
  <c r="M130" i="3"/>
  <c r="K130" i="3"/>
  <c r="L130" i="3" s="1"/>
  <c r="N130" i="3" s="1"/>
  <c r="J130" i="3"/>
  <c r="C130" i="3"/>
  <c r="E130" i="3" s="1"/>
  <c r="B130" i="3"/>
  <c r="D130" i="3" s="1"/>
  <c r="M129" i="3"/>
  <c r="K129" i="3"/>
  <c r="J129" i="3"/>
  <c r="C129" i="3"/>
  <c r="B129" i="3"/>
  <c r="E129" i="3" s="1"/>
  <c r="L129" i="3" s="1"/>
  <c r="N129" i="3" s="1"/>
  <c r="M128" i="3"/>
  <c r="K128" i="3"/>
  <c r="J128" i="3"/>
  <c r="C128" i="3"/>
  <c r="E128" i="3" s="1"/>
  <c r="B128" i="3"/>
  <c r="M127" i="3"/>
  <c r="K127" i="3"/>
  <c r="J127" i="3"/>
  <c r="D127" i="3"/>
  <c r="C127" i="3"/>
  <c r="B127" i="3"/>
  <c r="E127" i="3" s="1"/>
  <c r="L127" i="3" s="1"/>
  <c r="N127" i="3" s="1"/>
  <c r="M126" i="3"/>
  <c r="K126" i="3"/>
  <c r="J126" i="3"/>
  <c r="C126" i="3"/>
  <c r="B126" i="3"/>
  <c r="D126" i="3" s="1"/>
  <c r="M125" i="3"/>
  <c r="K125" i="3"/>
  <c r="J125" i="3"/>
  <c r="D125" i="3"/>
  <c r="C125" i="3"/>
  <c r="B125" i="3"/>
  <c r="E125" i="3" s="1"/>
  <c r="L125" i="3" s="1"/>
  <c r="N125" i="3" s="1"/>
  <c r="M124" i="3"/>
  <c r="K124" i="3"/>
  <c r="L124" i="3" s="1"/>
  <c r="N124" i="3" s="1"/>
  <c r="J124" i="3"/>
  <c r="C124" i="3"/>
  <c r="E124" i="3" s="1"/>
  <c r="B124" i="3"/>
  <c r="M123" i="3"/>
  <c r="K123" i="3"/>
  <c r="J123" i="3"/>
  <c r="C123" i="3"/>
  <c r="B123" i="3"/>
  <c r="E123" i="3" s="1"/>
  <c r="L123" i="3" s="1"/>
  <c r="N123" i="3" s="1"/>
  <c r="M122" i="3"/>
  <c r="K122" i="3"/>
  <c r="J122" i="3"/>
  <c r="C122" i="3"/>
  <c r="B122" i="3"/>
  <c r="D122" i="3" s="1"/>
  <c r="M121" i="3"/>
  <c r="K121" i="3"/>
  <c r="J121" i="3"/>
  <c r="D121" i="3"/>
  <c r="C121" i="3"/>
  <c r="B121" i="3"/>
  <c r="E121" i="3" s="1"/>
  <c r="L121" i="3" s="1"/>
  <c r="N121" i="3" s="1"/>
  <c r="M120" i="3"/>
  <c r="K120" i="3"/>
  <c r="L120" i="3" s="1"/>
  <c r="N120" i="3" s="1"/>
  <c r="J120" i="3"/>
  <c r="E120" i="3"/>
  <c r="C120" i="3"/>
  <c r="D120" i="3" s="1"/>
  <c r="B120" i="3"/>
  <c r="M119" i="3"/>
  <c r="K119" i="3"/>
  <c r="J119" i="3"/>
  <c r="C119" i="3"/>
  <c r="B119" i="3"/>
  <c r="E119" i="3" s="1"/>
  <c r="L119" i="3" s="1"/>
  <c r="N119" i="3" s="1"/>
  <c r="M118" i="3"/>
  <c r="K118" i="3"/>
  <c r="J118" i="3"/>
  <c r="C118" i="3"/>
  <c r="B118" i="3"/>
  <c r="D118" i="3" s="1"/>
  <c r="M117" i="3"/>
  <c r="K117" i="3"/>
  <c r="J117" i="3"/>
  <c r="D117" i="3"/>
  <c r="C117" i="3"/>
  <c r="B117" i="3"/>
  <c r="E117" i="3" s="1"/>
  <c r="L117" i="3" s="1"/>
  <c r="N117" i="3" s="1"/>
  <c r="M116" i="3"/>
  <c r="K116" i="3"/>
  <c r="J116" i="3"/>
  <c r="E116" i="3"/>
  <c r="L116" i="3" s="1"/>
  <c r="N116" i="3" s="1"/>
  <c r="D116" i="3"/>
  <c r="C116" i="3"/>
  <c r="B116" i="3"/>
  <c r="M115" i="3"/>
  <c r="K115" i="3"/>
  <c r="J115" i="3"/>
  <c r="C115" i="3"/>
  <c r="B115" i="3"/>
  <c r="E115" i="3" s="1"/>
  <c r="L115" i="3" s="1"/>
  <c r="N115" i="3" s="1"/>
  <c r="M114" i="3"/>
  <c r="K114" i="3"/>
  <c r="J114" i="3"/>
  <c r="C114" i="3"/>
  <c r="B114" i="3"/>
  <c r="D114" i="3" s="1"/>
  <c r="M113" i="3"/>
  <c r="K113" i="3"/>
  <c r="J113" i="3"/>
  <c r="D113" i="3"/>
  <c r="C113" i="3"/>
  <c r="B113" i="3"/>
  <c r="E113" i="3" s="1"/>
  <c r="L113" i="3" s="1"/>
  <c r="N113" i="3" s="1"/>
  <c r="M112" i="3"/>
  <c r="K112" i="3"/>
  <c r="J112" i="3"/>
  <c r="E112" i="3"/>
  <c r="L112" i="3" s="1"/>
  <c r="N112" i="3" s="1"/>
  <c r="D112" i="3"/>
  <c r="C112" i="3"/>
  <c r="B112" i="3"/>
  <c r="M111" i="3"/>
  <c r="K111" i="3"/>
  <c r="J111" i="3"/>
  <c r="C111" i="3"/>
  <c r="B111" i="3"/>
  <c r="E111" i="3" s="1"/>
  <c r="L111" i="3" s="1"/>
  <c r="N111" i="3" s="1"/>
  <c r="M110" i="3"/>
  <c r="K110" i="3"/>
  <c r="J110" i="3"/>
  <c r="C110" i="3"/>
  <c r="B110" i="3"/>
  <c r="D110" i="3" s="1"/>
  <c r="M109" i="3"/>
  <c r="K109" i="3"/>
  <c r="J109" i="3"/>
  <c r="D109" i="3"/>
  <c r="C109" i="3"/>
  <c r="B109" i="3"/>
  <c r="E109" i="3" s="1"/>
  <c r="L109" i="3" s="1"/>
  <c r="N109" i="3" s="1"/>
  <c r="M108" i="3"/>
  <c r="K108" i="3"/>
  <c r="J108" i="3"/>
  <c r="E108" i="3"/>
  <c r="L108" i="3" s="1"/>
  <c r="N108" i="3" s="1"/>
  <c r="D108" i="3"/>
  <c r="C108" i="3"/>
  <c r="B108" i="3"/>
  <c r="M107" i="3"/>
  <c r="K107" i="3"/>
  <c r="J107" i="3"/>
  <c r="C107" i="3"/>
  <c r="B107" i="3"/>
  <c r="E107" i="3" s="1"/>
  <c r="L107" i="3" s="1"/>
  <c r="N107" i="3" s="1"/>
  <c r="M106" i="3"/>
  <c r="K106" i="3"/>
  <c r="J106" i="3"/>
  <c r="C106" i="3"/>
  <c r="B106" i="3"/>
  <c r="D106" i="3" s="1"/>
  <c r="M105" i="3"/>
  <c r="K105" i="3"/>
  <c r="J105" i="3"/>
  <c r="D105" i="3"/>
  <c r="C105" i="3"/>
  <c r="B105" i="3"/>
  <c r="E105" i="3" s="1"/>
  <c r="L105" i="3" s="1"/>
  <c r="N105" i="3" s="1"/>
  <c r="M104" i="3"/>
  <c r="K104" i="3"/>
  <c r="J104" i="3"/>
  <c r="E104" i="3"/>
  <c r="L104" i="3" s="1"/>
  <c r="N104" i="3" s="1"/>
  <c r="C104" i="3"/>
  <c r="D104" i="3" s="1"/>
  <c r="B104" i="3"/>
  <c r="M103" i="3"/>
  <c r="K103" i="3"/>
  <c r="J103" i="3"/>
  <c r="C103" i="3"/>
  <c r="B103" i="3"/>
  <c r="E103" i="3" s="1"/>
  <c r="L103" i="3" s="1"/>
  <c r="N103" i="3" s="1"/>
  <c r="M102" i="3"/>
  <c r="K102" i="3"/>
  <c r="J102" i="3"/>
  <c r="C102" i="3"/>
  <c r="B102" i="3"/>
  <c r="D102" i="3" s="1"/>
  <c r="M101" i="3"/>
  <c r="K101" i="3"/>
  <c r="J101" i="3"/>
  <c r="D101" i="3"/>
  <c r="C101" i="3"/>
  <c r="B101" i="3"/>
  <c r="E101" i="3" s="1"/>
  <c r="L101" i="3" s="1"/>
  <c r="N101" i="3" s="1"/>
  <c r="M100" i="3"/>
  <c r="K100" i="3"/>
  <c r="J100" i="3"/>
  <c r="E100" i="3"/>
  <c r="L100" i="3" s="1"/>
  <c r="N100" i="3" s="1"/>
  <c r="C100" i="3"/>
  <c r="D100" i="3" s="1"/>
  <c r="B100" i="3"/>
  <c r="M99" i="3"/>
  <c r="K99" i="3"/>
  <c r="J99" i="3"/>
  <c r="C99" i="3"/>
  <c r="B99" i="3"/>
  <c r="E99" i="3" s="1"/>
  <c r="L99" i="3" s="1"/>
  <c r="N99" i="3" s="1"/>
  <c r="M98" i="3"/>
  <c r="K98" i="3"/>
  <c r="J98" i="3"/>
  <c r="C98" i="3"/>
  <c r="B98" i="3"/>
  <c r="D98" i="3" s="1"/>
  <c r="M97" i="3"/>
  <c r="K97" i="3"/>
  <c r="J97" i="3"/>
  <c r="D97" i="3"/>
  <c r="C97" i="3"/>
  <c r="B97" i="3"/>
  <c r="E97" i="3" s="1"/>
  <c r="L97" i="3" s="1"/>
  <c r="N97" i="3" s="1"/>
  <c r="M96" i="3"/>
  <c r="K96" i="3"/>
  <c r="J96" i="3"/>
  <c r="E96" i="3"/>
  <c r="L96" i="3" s="1"/>
  <c r="N96" i="3" s="1"/>
  <c r="D96" i="3"/>
  <c r="C96" i="3"/>
  <c r="B96" i="3"/>
  <c r="M95" i="3"/>
  <c r="K95" i="3"/>
  <c r="J95" i="3"/>
  <c r="C95" i="3"/>
  <c r="B95" i="3"/>
  <c r="E95" i="3" s="1"/>
  <c r="L95" i="3" s="1"/>
  <c r="N95" i="3" s="1"/>
  <c r="M94" i="3"/>
  <c r="K94" i="3"/>
  <c r="J94" i="3"/>
  <c r="C94" i="3"/>
  <c r="B94" i="3"/>
  <c r="D94" i="3" s="1"/>
  <c r="M93" i="3"/>
  <c r="K93" i="3"/>
  <c r="J93" i="3"/>
  <c r="D93" i="3"/>
  <c r="C93" i="3"/>
  <c r="B93" i="3"/>
  <c r="E93" i="3" s="1"/>
  <c r="L93" i="3" s="1"/>
  <c r="N93" i="3" s="1"/>
  <c r="M92" i="3"/>
  <c r="K92" i="3"/>
  <c r="J92" i="3"/>
  <c r="E92" i="3"/>
  <c r="L92" i="3" s="1"/>
  <c r="N92" i="3" s="1"/>
  <c r="D92" i="3"/>
  <c r="C92" i="3"/>
  <c r="B92" i="3"/>
  <c r="M91" i="3"/>
  <c r="K91" i="3"/>
  <c r="J91" i="3"/>
  <c r="C91" i="3"/>
  <c r="B91" i="3"/>
  <c r="E91" i="3" s="1"/>
  <c r="L91" i="3" s="1"/>
  <c r="N91" i="3" s="1"/>
  <c r="M90" i="3"/>
  <c r="K90" i="3"/>
  <c r="J90" i="3"/>
  <c r="C90" i="3"/>
  <c r="B90" i="3"/>
  <c r="D90" i="3" s="1"/>
  <c r="M89" i="3"/>
  <c r="K89" i="3"/>
  <c r="J89" i="3"/>
  <c r="D89" i="3"/>
  <c r="C89" i="3"/>
  <c r="B89" i="3"/>
  <c r="E89" i="3" s="1"/>
  <c r="L89" i="3" s="1"/>
  <c r="N89" i="3" s="1"/>
  <c r="M88" i="3"/>
  <c r="K88" i="3"/>
  <c r="J88" i="3"/>
  <c r="E88" i="3"/>
  <c r="L88" i="3" s="1"/>
  <c r="N88" i="3" s="1"/>
  <c r="D88" i="3"/>
  <c r="C88" i="3"/>
  <c r="B88" i="3"/>
  <c r="M87" i="3"/>
  <c r="K87" i="3"/>
  <c r="J87" i="3"/>
  <c r="C87" i="3"/>
  <c r="B87" i="3"/>
  <c r="E87" i="3" s="1"/>
  <c r="L87" i="3" s="1"/>
  <c r="N87" i="3" s="1"/>
  <c r="M86" i="3"/>
  <c r="K86" i="3"/>
  <c r="J86" i="3"/>
  <c r="C86" i="3"/>
  <c r="B86" i="3"/>
  <c r="D86" i="3" s="1"/>
  <c r="M85" i="3"/>
  <c r="K85" i="3"/>
  <c r="J85" i="3"/>
  <c r="D85" i="3"/>
  <c r="C85" i="3"/>
  <c r="B85" i="3"/>
  <c r="E85" i="3" s="1"/>
  <c r="L85" i="3" s="1"/>
  <c r="N85" i="3" s="1"/>
  <c r="M84" i="3"/>
  <c r="K84" i="3"/>
  <c r="J84" i="3"/>
  <c r="C84" i="3"/>
  <c r="E84" i="3" s="1"/>
  <c r="L84" i="3" s="1"/>
  <c r="N84" i="3" s="1"/>
  <c r="B84" i="3"/>
  <c r="M83" i="3"/>
  <c r="K83" i="3"/>
  <c r="J83" i="3"/>
  <c r="C83" i="3"/>
  <c r="B83" i="3"/>
  <c r="E83" i="3" s="1"/>
  <c r="L83" i="3" s="1"/>
  <c r="N83" i="3" s="1"/>
  <c r="M82" i="3"/>
  <c r="K82" i="3"/>
  <c r="J82" i="3"/>
  <c r="C82" i="3"/>
  <c r="E82" i="3" s="1"/>
  <c r="B82" i="3"/>
  <c r="D82" i="3" s="1"/>
  <c r="M81" i="3"/>
  <c r="K81" i="3"/>
  <c r="J81" i="3"/>
  <c r="D81" i="3"/>
  <c r="C81" i="3"/>
  <c r="B81" i="3"/>
  <c r="E81" i="3" s="1"/>
  <c r="L81" i="3" s="1"/>
  <c r="N81" i="3" s="1"/>
  <c r="M80" i="3"/>
  <c r="K80" i="3"/>
  <c r="J80" i="3"/>
  <c r="C80" i="3"/>
  <c r="E80" i="3" s="1"/>
  <c r="B80" i="3"/>
  <c r="M79" i="3"/>
  <c r="K79" i="3"/>
  <c r="J79" i="3"/>
  <c r="C79" i="3"/>
  <c r="B79" i="3"/>
  <c r="E79" i="3" s="1"/>
  <c r="L79" i="3" s="1"/>
  <c r="N79" i="3" s="1"/>
  <c r="M78" i="3"/>
  <c r="K78" i="3"/>
  <c r="L78" i="3" s="1"/>
  <c r="N78" i="3" s="1"/>
  <c r="J78" i="3"/>
  <c r="C78" i="3"/>
  <c r="E78" i="3" s="1"/>
  <c r="B78" i="3"/>
  <c r="D78" i="3" s="1"/>
  <c r="M77" i="3"/>
  <c r="K77" i="3"/>
  <c r="J77" i="3"/>
  <c r="C77" i="3"/>
  <c r="B77" i="3"/>
  <c r="E77" i="3" s="1"/>
  <c r="L77" i="3" s="1"/>
  <c r="N77" i="3" s="1"/>
  <c r="M76" i="3"/>
  <c r="K76" i="3"/>
  <c r="J76" i="3"/>
  <c r="C76" i="3"/>
  <c r="E76" i="3" s="1"/>
  <c r="B76" i="3"/>
  <c r="M75" i="3"/>
  <c r="K75" i="3"/>
  <c r="J75" i="3"/>
  <c r="D75" i="3"/>
  <c r="C75" i="3"/>
  <c r="B75" i="3"/>
  <c r="E75" i="3" s="1"/>
  <c r="L75" i="3" s="1"/>
  <c r="N75" i="3" s="1"/>
  <c r="M74" i="3"/>
  <c r="K74" i="3"/>
  <c r="L74" i="3" s="1"/>
  <c r="N74" i="3" s="1"/>
  <c r="J74" i="3"/>
  <c r="C74" i="3"/>
  <c r="E74" i="3" s="1"/>
  <c r="B74" i="3"/>
  <c r="D74" i="3" s="1"/>
  <c r="M73" i="3"/>
  <c r="K73" i="3"/>
  <c r="J73" i="3"/>
  <c r="C73" i="3"/>
  <c r="B73" i="3"/>
  <c r="E73" i="3" s="1"/>
  <c r="L73" i="3" s="1"/>
  <c r="N73" i="3" s="1"/>
  <c r="M72" i="3"/>
  <c r="K72" i="3"/>
  <c r="J72" i="3"/>
  <c r="C72" i="3"/>
  <c r="E72" i="3" s="1"/>
  <c r="B72" i="3"/>
  <c r="M71" i="3"/>
  <c r="L71" i="3"/>
  <c r="N71" i="3" s="1"/>
  <c r="K71" i="3"/>
  <c r="J71" i="3"/>
  <c r="E71" i="3"/>
  <c r="D71" i="3"/>
  <c r="C71" i="3"/>
  <c r="B71" i="3"/>
  <c r="M70" i="3"/>
  <c r="K70" i="3"/>
  <c r="L70" i="3" s="1"/>
  <c r="N70" i="3" s="1"/>
  <c r="J70" i="3"/>
  <c r="C70" i="3"/>
  <c r="E70" i="3" s="1"/>
  <c r="B70" i="3"/>
  <c r="D70" i="3" s="1"/>
  <c r="M69" i="3"/>
  <c r="K69" i="3"/>
  <c r="J69" i="3"/>
  <c r="C69" i="3"/>
  <c r="B69" i="3"/>
  <c r="E69" i="3" s="1"/>
  <c r="M68" i="3"/>
  <c r="K68" i="3"/>
  <c r="J68" i="3"/>
  <c r="C68" i="3"/>
  <c r="E68" i="3" s="1"/>
  <c r="B68" i="3"/>
  <c r="M67" i="3"/>
  <c r="L67" i="3"/>
  <c r="N67" i="3" s="1"/>
  <c r="K67" i="3"/>
  <c r="J67" i="3"/>
  <c r="E67" i="3"/>
  <c r="D67" i="3"/>
  <c r="C67" i="3"/>
  <c r="B67" i="3"/>
  <c r="M66" i="3"/>
  <c r="K66" i="3"/>
  <c r="L66" i="3" s="1"/>
  <c r="N66" i="3" s="1"/>
  <c r="J66" i="3"/>
  <c r="E66" i="3"/>
  <c r="C66" i="3"/>
  <c r="B66" i="3"/>
  <c r="D66" i="3" s="1"/>
  <c r="M65" i="3"/>
  <c r="K65" i="3"/>
  <c r="J65" i="3"/>
  <c r="C65" i="3"/>
  <c r="B65" i="3"/>
  <c r="M64" i="3"/>
  <c r="K64" i="3"/>
  <c r="L64" i="3" s="1"/>
  <c r="N64" i="3" s="1"/>
  <c r="J64" i="3"/>
  <c r="D64" i="3"/>
  <c r="C64" i="3"/>
  <c r="E64" i="3" s="1"/>
  <c r="B64" i="3"/>
  <c r="M63" i="3"/>
  <c r="K63" i="3"/>
  <c r="J63" i="3"/>
  <c r="E63" i="3"/>
  <c r="L63" i="3" s="1"/>
  <c r="N63" i="3" s="1"/>
  <c r="D63" i="3"/>
  <c r="C63" i="3"/>
  <c r="B63" i="3"/>
  <c r="M62" i="3"/>
  <c r="K62" i="3"/>
  <c r="J62" i="3"/>
  <c r="E62" i="3"/>
  <c r="C62" i="3"/>
  <c r="B62" i="3"/>
  <c r="M61" i="3"/>
  <c r="K61" i="3"/>
  <c r="J61" i="3"/>
  <c r="D61" i="3"/>
  <c r="C61" i="3"/>
  <c r="B61" i="3"/>
  <c r="M60" i="3"/>
  <c r="K60" i="3"/>
  <c r="J60" i="3"/>
  <c r="C60" i="3"/>
  <c r="E60" i="3" s="1"/>
  <c r="B60" i="3"/>
  <c r="M59" i="3"/>
  <c r="K59" i="3"/>
  <c r="J59" i="3"/>
  <c r="D59" i="3"/>
  <c r="C59" i="3"/>
  <c r="E59" i="3" s="1"/>
  <c r="L59" i="3" s="1"/>
  <c r="N59" i="3" s="1"/>
  <c r="B59" i="3"/>
  <c r="M58" i="3"/>
  <c r="K58" i="3"/>
  <c r="J58" i="3"/>
  <c r="E58" i="3"/>
  <c r="L58" i="3" s="1"/>
  <c r="N58" i="3" s="1"/>
  <c r="C58" i="3"/>
  <c r="B58" i="3"/>
  <c r="D58" i="3" s="1"/>
  <c r="M57" i="3"/>
  <c r="K57" i="3"/>
  <c r="L57" i="3" s="1"/>
  <c r="N57" i="3" s="1"/>
  <c r="J57" i="3"/>
  <c r="C57" i="3"/>
  <c r="B57" i="3"/>
  <c r="E57" i="3" s="1"/>
  <c r="M56" i="3"/>
  <c r="K56" i="3"/>
  <c r="J56" i="3"/>
  <c r="C56" i="3"/>
  <c r="B56" i="3"/>
  <c r="E56" i="3" s="1"/>
  <c r="M55" i="3"/>
  <c r="K55" i="3"/>
  <c r="J55" i="3"/>
  <c r="D55" i="3"/>
  <c r="C55" i="3"/>
  <c r="E55" i="3" s="1"/>
  <c r="L55" i="3" s="1"/>
  <c r="N55" i="3" s="1"/>
  <c r="B55" i="3"/>
  <c r="M54" i="3"/>
  <c r="K54" i="3"/>
  <c r="J54" i="3"/>
  <c r="E54" i="3"/>
  <c r="L54" i="3" s="1"/>
  <c r="N54" i="3" s="1"/>
  <c r="C54" i="3"/>
  <c r="B54" i="3"/>
  <c r="D54" i="3" s="1"/>
  <c r="M53" i="3"/>
  <c r="K53" i="3"/>
  <c r="J53" i="3"/>
  <c r="C53" i="3"/>
  <c r="B53" i="3"/>
  <c r="E53" i="3" s="1"/>
  <c r="M52" i="3"/>
  <c r="K52" i="3"/>
  <c r="L52" i="3" s="1"/>
  <c r="N52" i="3" s="1"/>
  <c r="J52" i="3"/>
  <c r="C52" i="3"/>
  <c r="D52" i="3" s="1"/>
  <c r="B52" i="3"/>
  <c r="E52" i="3" s="1"/>
  <c r="M51" i="3"/>
  <c r="K51" i="3"/>
  <c r="J51" i="3"/>
  <c r="C51" i="3"/>
  <c r="E51" i="3" s="1"/>
  <c r="L51" i="3" s="1"/>
  <c r="N51" i="3" s="1"/>
  <c r="B51" i="3"/>
  <c r="M50" i="3"/>
  <c r="L50" i="3"/>
  <c r="N50" i="3" s="1"/>
  <c r="K50" i="3"/>
  <c r="J50" i="3"/>
  <c r="E50" i="3"/>
  <c r="D50" i="3"/>
  <c r="C50" i="3"/>
  <c r="B50" i="3"/>
  <c r="M49" i="3"/>
  <c r="K49" i="3"/>
  <c r="L49" i="3" s="1"/>
  <c r="N49" i="3" s="1"/>
  <c r="J49" i="3"/>
  <c r="E49" i="3"/>
  <c r="C49" i="3"/>
  <c r="B49" i="3"/>
  <c r="D49" i="3" s="1"/>
  <c r="M48" i="3"/>
  <c r="K48" i="3"/>
  <c r="J48" i="3"/>
  <c r="C48" i="3"/>
  <c r="B48" i="3"/>
  <c r="E48" i="3" s="1"/>
  <c r="M47" i="3"/>
  <c r="K47" i="3"/>
  <c r="L47" i="3" s="1"/>
  <c r="N47" i="3" s="1"/>
  <c r="J47" i="3"/>
  <c r="C47" i="3"/>
  <c r="E47" i="3" s="1"/>
  <c r="B47" i="3"/>
  <c r="M46" i="3"/>
  <c r="K46" i="3"/>
  <c r="J46" i="3"/>
  <c r="D46" i="3"/>
  <c r="C46" i="3"/>
  <c r="B46" i="3"/>
  <c r="E46" i="3" s="1"/>
  <c r="L46" i="3" s="1"/>
  <c r="N46" i="3" s="1"/>
  <c r="M45" i="3"/>
  <c r="K45" i="3"/>
  <c r="L45" i="3" s="1"/>
  <c r="N45" i="3" s="1"/>
  <c r="J45" i="3"/>
  <c r="E45" i="3"/>
  <c r="C45" i="3"/>
  <c r="B45" i="3"/>
  <c r="D45" i="3" s="1"/>
  <c r="M44" i="3"/>
  <c r="K44" i="3"/>
  <c r="J44" i="3"/>
  <c r="C44" i="3"/>
  <c r="B44" i="3"/>
  <c r="E44" i="3" s="1"/>
  <c r="L44" i="3" s="1"/>
  <c r="N44" i="3" s="1"/>
  <c r="M43" i="3"/>
  <c r="K43" i="3"/>
  <c r="J43" i="3"/>
  <c r="C43" i="3"/>
  <c r="E43" i="3" s="1"/>
  <c r="B43" i="3"/>
  <c r="D43" i="3" s="1"/>
  <c r="M42" i="3"/>
  <c r="K42" i="3"/>
  <c r="J42" i="3"/>
  <c r="D42" i="3"/>
  <c r="C42" i="3"/>
  <c r="B42" i="3"/>
  <c r="E42" i="3" s="1"/>
  <c r="L42" i="3" s="1"/>
  <c r="N42" i="3" s="1"/>
  <c r="AB41" i="3"/>
  <c r="Z41" i="3"/>
  <c r="M41" i="3"/>
  <c r="K41" i="3"/>
  <c r="L41" i="3" s="1"/>
  <c r="N41" i="3" s="1"/>
  <c r="J41" i="3"/>
  <c r="C41" i="3"/>
  <c r="B41" i="3"/>
  <c r="E41" i="3" s="1"/>
  <c r="AB40" i="3"/>
  <c r="Z40" i="3"/>
  <c r="M40" i="3"/>
  <c r="K40" i="3"/>
  <c r="L40" i="3" s="1"/>
  <c r="N40" i="3" s="1"/>
  <c r="J40" i="3"/>
  <c r="E40" i="3"/>
  <c r="C40" i="3"/>
  <c r="B40" i="3"/>
  <c r="D40" i="3" s="1"/>
  <c r="AB39" i="3"/>
  <c r="Z39" i="3"/>
  <c r="M39" i="3"/>
  <c r="K39" i="3"/>
  <c r="J39" i="3"/>
  <c r="C39" i="3"/>
  <c r="E39" i="3" s="1"/>
  <c r="B39" i="3"/>
  <c r="D39" i="3" s="1"/>
  <c r="AB38" i="3"/>
  <c r="Z38" i="3"/>
  <c r="Y38" i="3"/>
  <c r="M38" i="3"/>
  <c r="K38" i="3"/>
  <c r="L38" i="3" s="1"/>
  <c r="N38" i="3" s="1"/>
  <c r="J38" i="3"/>
  <c r="E38" i="3"/>
  <c r="C38" i="3"/>
  <c r="D38" i="3" s="1"/>
  <c r="B38" i="3"/>
  <c r="AB37" i="3"/>
  <c r="Z37" i="3"/>
  <c r="M37" i="3"/>
  <c r="K37" i="3"/>
  <c r="J37" i="3"/>
  <c r="C37" i="3"/>
  <c r="E37" i="3" s="1"/>
  <c r="B37" i="3"/>
  <c r="D37" i="3" s="1"/>
  <c r="AB36" i="3"/>
  <c r="Z36" i="3"/>
  <c r="Y36" i="3"/>
  <c r="M36" i="3"/>
  <c r="K36" i="3"/>
  <c r="L36" i="3" s="1"/>
  <c r="N36" i="3" s="1"/>
  <c r="J36" i="3"/>
  <c r="E36" i="3"/>
  <c r="C36" i="3"/>
  <c r="D36" i="3" s="1"/>
  <c r="B36" i="3"/>
  <c r="AB35" i="3"/>
  <c r="Z35" i="3"/>
  <c r="M35" i="3"/>
  <c r="K35" i="3"/>
  <c r="J35" i="3"/>
  <c r="C35" i="3"/>
  <c r="E35" i="3" s="1"/>
  <c r="B35" i="3"/>
  <c r="D35" i="3" s="1"/>
  <c r="AB34" i="3"/>
  <c r="Z34" i="3"/>
  <c r="Y34" i="3"/>
  <c r="M34" i="3"/>
  <c r="K34" i="3"/>
  <c r="L34" i="3" s="1"/>
  <c r="N34" i="3" s="1"/>
  <c r="J34" i="3"/>
  <c r="E34" i="3"/>
  <c r="C34" i="3"/>
  <c r="D34" i="3" s="1"/>
  <c r="B34" i="3"/>
  <c r="AB33" i="3"/>
  <c r="Z33" i="3"/>
  <c r="M33" i="3"/>
  <c r="K33" i="3"/>
  <c r="J33" i="3"/>
  <c r="C33" i="3"/>
  <c r="E33" i="3" s="1"/>
  <c r="B33" i="3"/>
  <c r="D33" i="3" s="1"/>
  <c r="AB32" i="3"/>
  <c r="Z32" i="3"/>
  <c r="Y32" i="3"/>
  <c r="M32" i="3"/>
  <c r="K32" i="3"/>
  <c r="L32" i="3" s="1"/>
  <c r="N32" i="3" s="1"/>
  <c r="J32" i="3"/>
  <c r="E32" i="3"/>
  <c r="C32" i="3"/>
  <c r="D32" i="3" s="1"/>
  <c r="B32" i="3"/>
  <c r="AB31" i="3"/>
  <c r="Z31" i="3"/>
  <c r="Y31" i="3"/>
  <c r="M31" i="3"/>
  <c r="K31" i="3"/>
  <c r="J31" i="3"/>
  <c r="C31" i="3"/>
  <c r="E31" i="3" s="1"/>
  <c r="B31" i="3"/>
  <c r="D31" i="3" s="1"/>
  <c r="AB30" i="3"/>
  <c r="Z30" i="3"/>
  <c r="M30" i="3"/>
  <c r="K30" i="3"/>
  <c r="L30" i="3" s="1"/>
  <c r="N30" i="3" s="1"/>
  <c r="J30" i="3"/>
  <c r="E30" i="3"/>
  <c r="C30" i="3"/>
  <c r="D30" i="3" s="1"/>
  <c r="B30" i="3"/>
  <c r="AB29" i="3"/>
  <c r="Z29" i="3"/>
  <c r="M29" i="3"/>
  <c r="K29" i="3"/>
  <c r="J29" i="3"/>
  <c r="C29" i="3"/>
  <c r="E29" i="3" s="1"/>
  <c r="B29" i="3"/>
  <c r="D29" i="3" s="1"/>
  <c r="AB28" i="3"/>
  <c r="Z28" i="3"/>
  <c r="M28" i="3"/>
  <c r="K28" i="3"/>
  <c r="L28" i="3" s="1"/>
  <c r="N28" i="3" s="1"/>
  <c r="J28" i="3"/>
  <c r="E28" i="3"/>
  <c r="C28" i="3"/>
  <c r="D28" i="3" s="1"/>
  <c r="B28" i="3"/>
  <c r="AB27" i="3"/>
  <c r="Z27" i="3"/>
  <c r="M27" i="3"/>
  <c r="K27" i="3"/>
  <c r="L27" i="3" s="1"/>
  <c r="N27" i="3" s="1"/>
  <c r="J27" i="3"/>
  <c r="C27" i="3"/>
  <c r="E27" i="3" s="1"/>
  <c r="B27" i="3"/>
  <c r="D27" i="3" s="1"/>
  <c r="AB26" i="3"/>
  <c r="Z26" i="3"/>
  <c r="M26" i="3"/>
  <c r="K26" i="3"/>
  <c r="L26" i="3" s="1"/>
  <c r="N26" i="3" s="1"/>
  <c r="J26" i="3"/>
  <c r="E26" i="3"/>
  <c r="C26" i="3"/>
  <c r="D26" i="3" s="1"/>
  <c r="B26" i="3"/>
  <c r="AB25" i="3"/>
  <c r="Z25" i="3"/>
  <c r="M25" i="3"/>
  <c r="K25" i="3"/>
  <c r="L25" i="3" s="1"/>
  <c r="N25" i="3" s="1"/>
  <c r="J25" i="3"/>
  <c r="C25" i="3"/>
  <c r="E25" i="3" s="1"/>
  <c r="B25" i="3"/>
  <c r="D25" i="3" s="1"/>
  <c r="AB24" i="3"/>
  <c r="Z24" i="3"/>
  <c r="M24" i="3"/>
  <c r="K24" i="3"/>
  <c r="L24" i="3" s="1"/>
  <c r="N24" i="3" s="1"/>
  <c r="J24" i="3"/>
  <c r="E24" i="3"/>
  <c r="C24" i="3"/>
  <c r="D24" i="3" s="1"/>
  <c r="B24" i="3"/>
  <c r="AB23" i="3"/>
  <c r="Z23" i="3"/>
  <c r="M23" i="3"/>
  <c r="K23" i="3"/>
  <c r="J23" i="3"/>
  <c r="C23" i="3"/>
  <c r="E23" i="3" s="1"/>
  <c r="Y3" i="3" s="1"/>
  <c r="B23" i="3"/>
  <c r="D23" i="3" s="1"/>
  <c r="AB22" i="3"/>
  <c r="Z22" i="3"/>
  <c r="M22" i="3"/>
  <c r="K22" i="3"/>
  <c r="L22" i="3" s="1"/>
  <c r="N22" i="3" s="1"/>
  <c r="J22" i="3"/>
  <c r="E22" i="3"/>
  <c r="C22" i="3"/>
  <c r="D22" i="3" s="1"/>
  <c r="B22" i="3"/>
  <c r="AB21" i="3"/>
  <c r="Z21" i="3"/>
  <c r="M21" i="3"/>
  <c r="K21" i="3"/>
  <c r="J21" i="3"/>
  <c r="C21" i="3"/>
  <c r="E21" i="3" s="1"/>
  <c r="B21" i="3"/>
  <c r="D21" i="3" s="1"/>
  <c r="AB20" i="3"/>
  <c r="Z20" i="3"/>
  <c r="M20" i="3"/>
  <c r="K20" i="3"/>
  <c r="L20" i="3" s="1"/>
  <c r="N20" i="3" s="1"/>
  <c r="J20" i="3"/>
  <c r="E20" i="3"/>
  <c r="C20" i="3"/>
  <c r="D20" i="3" s="1"/>
  <c r="B20" i="3"/>
  <c r="AB19" i="3"/>
  <c r="Z19" i="3"/>
  <c r="Y19" i="3"/>
  <c r="M19" i="3"/>
  <c r="K19" i="3"/>
  <c r="J19" i="3"/>
  <c r="C19" i="3"/>
  <c r="E19" i="3" s="1"/>
  <c r="B19" i="3"/>
  <c r="D19" i="3" s="1"/>
  <c r="AI18" i="3"/>
  <c r="AI22" i="3" s="1"/>
  <c r="AI26" i="3" s="1"/>
  <c r="AH18" i="3"/>
  <c r="AH22" i="3" s="1"/>
  <c r="AH26" i="3" s="1"/>
  <c r="AG18" i="3"/>
  <c r="AG22" i="3" s="1"/>
  <c r="AG26" i="3" s="1"/>
  <c r="AF18" i="3"/>
  <c r="AF22" i="3" s="1"/>
  <c r="AF26" i="3" s="1"/>
  <c r="AB18" i="3"/>
  <c r="Z18" i="3"/>
  <c r="M18" i="3"/>
  <c r="K18" i="3"/>
  <c r="L18" i="3" s="1"/>
  <c r="N18" i="3" s="1"/>
  <c r="J18" i="3"/>
  <c r="E18" i="3"/>
  <c r="C18" i="3"/>
  <c r="D18" i="3" s="1"/>
  <c r="B18" i="3"/>
  <c r="AI17" i="3"/>
  <c r="AI21" i="3" s="1"/>
  <c r="AI25" i="3" s="1"/>
  <c r="AH17" i="3"/>
  <c r="AH21" i="3" s="1"/>
  <c r="AH25" i="3" s="1"/>
  <c r="AG17" i="3"/>
  <c r="AG21" i="3" s="1"/>
  <c r="AG25" i="3" s="1"/>
  <c r="AF17" i="3"/>
  <c r="AF21" i="3" s="1"/>
  <c r="AF25" i="3" s="1"/>
  <c r="AB17" i="3"/>
  <c r="Z17" i="3"/>
  <c r="M17" i="3"/>
  <c r="K17" i="3"/>
  <c r="L17" i="3" s="1"/>
  <c r="N17" i="3" s="1"/>
  <c r="J17" i="3"/>
  <c r="C17" i="3"/>
  <c r="E17" i="3" s="1"/>
  <c r="B17" i="3"/>
  <c r="D17" i="3" s="1"/>
  <c r="AI16" i="3"/>
  <c r="AI20" i="3" s="1"/>
  <c r="AI24" i="3" s="1"/>
  <c r="AH16" i="3"/>
  <c r="AH20" i="3" s="1"/>
  <c r="AH24" i="3" s="1"/>
  <c r="AG16" i="3"/>
  <c r="AG20" i="3" s="1"/>
  <c r="AG24" i="3" s="1"/>
  <c r="AF16" i="3"/>
  <c r="AF20" i="3" s="1"/>
  <c r="AF24" i="3" s="1"/>
  <c r="AB16" i="3"/>
  <c r="Z16" i="3"/>
  <c r="M16" i="3"/>
  <c r="K16" i="3"/>
  <c r="L16" i="3" s="1"/>
  <c r="N16" i="3" s="1"/>
  <c r="J16" i="3"/>
  <c r="E16" i="3"/>
  <c r="C16" i="3"/>
  <c r="D16" i="3" s="1"/>
  <c r="B16" i="3"/>
  <c r="AB15" i="3"/>
  <c r="Z15" i="3"/>
  <c r="Y15" i="3"/>
  <c r="M15" i="3"/>
  <c r="K15" i="3"/>
  <c r="L15" i="3" s="1"/>
  <c r="N15" i="3" s="1"/>
  <c r="J15" i="3"/>
  <c r="C15" i="3"/>
  <c r="E15" i="3" s="1"/>
  <c r="B15" i="3"/>
  <c r="D15" i="3" s="1"/>
  <c r="AB14" i="3"/>
  <c r="Z14" i="3"/>
  <c r="M14" i="3"/>
  <c r="K14" i="3"/>
  <c r="L14" i="3" s="1"/>
  <c r="N14" i="3" s="1"/>
  <c r="J14" i="3"/>
  <c r="E14" i="3"/>
  <c r="C14" i="3"/>
  <c r="D14" i="3" s="1"/>
  <c r="B14" i="3"/>
  <c r="AB13" i="3"/>
  <c r="Z13" i="3"/>
  <c r="M13" i="3"/>
  <c r="K13" i="3"/>
  <c r="L13" i="3" s="1"/>
  <c r="N13" i="3" s="1"/>
  <c r="J13" i="3"/>
  <c r="E13" i="3"/>
  <c r="C13" i="3"/>
  <c r="D13" i="3" s="1"/>
  <c r="B13" i="3"/>
  <c r="AB12" i="3"/>
  <c r="Z12" i="3"/>
  <c r="M12" i="3"/>
  <c r="K12" i="3"/>
  <c r="L12" i="3" s="1"/>
  <c r="N12" i="3" s="1"/>
  <c r="J12" i="3"/>
  <c r="E12" i="3"/>
  <c r="C12" i="3"/>
  <c r="D12" i="3" s="1"/>
  <c r="B12" i="3"/>
  <c r="M11" i="3"/>
  <c r="AB11" i="3" s="1"/>
  <c r="AI5" i="3" s="1"/>
  <c r="K11" i="3"/>
  <c r="Z11" i="3" s="1"/>
  <c r="AG5" i="3" s="1"/>
  <c r="J11" i="3"/>
  <c r="E11" i="3"/>
  <c r="C11" i="3"/>
  <c r="B11" i="3"/>
  <c r="D11" i="3" s="1"/>
  <c r="M10" i="3"/>
  <c r="AB10" i="3" s="1"/>
  <c r="K10" i="3"/>
  <c r="Z10" i="3" s="1"/>
  <c r="J10" i="3"/>
  <c r="E10" i="3"/>
  <c r="C10" i="3"/>
  <c r="B10" i="3"/>
  <c r="D10" i="3" s="1"/>
  <c r="M9" i="3"/>
  <c r="AB9" i="3" s="1"/>
  <c r="K9" i="3"/>
  <c r="Z9" i="3" s="1"/>
  <c r="J9" i="3"/>
  <c r="C9" i="3"/>
  <c r="E9" i="3" s="1"/>
  <c r="Y9" i="3" s="1"/>
  <c r="B9" i="3"/>
  <c r="D9" i="3" s="1"/>
  <c r="M8" i="3"/>
  <c r="AB8" i="3" s="1"/>
  <c r="K8" i="3"/>
  <c r="Z8" i="3" s="1"/>
  <c r="J8" i="3"/>
  <c r="E8" i="3"/>
  <c r="C8" i="3"/>
  <c r="B8" i="3"/>
  <c r="D8" i="3" s="1"/>
  <c r="M7" i="3"/>
  <c r="AB7" i="3" s="1"/>
  <c r="K7" i="3"/>
  <c r="Z7" i="3" s="1"/>
  <c r="J7" i="3"/>
  <c r="C7" i="3"/>
  <c r="E7" i="3" s="1"/>
  <c r="Y7" i="3" s="1"/>
  <c r="B7" i="3"/>
  <c r="D7" i="3" s="1"/>
  <c r="AB6" i="3"/>
  <c r="Z6" i="3"/>
  <c r="M6" i="3"/>
  <c r="K6" i="3"/>
  <c r="J6" i="3"/>
  <c r="C6" i="3"/>
  <c r="B6" i="3"/>
  <c r="E6" i="3" s="1"/>
  <c r="M5" i="3"/>
  <c r="AB5" i="3" s="1"/>
  <c r="K5" i="3"/>
  <c r="Z5" i="3" s="1"/>
  <c r="AG6" i="3" s="1"/>
  <c r="J5" i="3"/>
  <c r="C5" i="3"/>
  <c r="E5" i="3" s="1"/>
  <c r="B5" i="3"/>
  <c r="D5" i="3" s="1"/>
  <c r="AB4" i="3"/>
  <c r="AI2" i="3" s="1"/>
  <c r="Z4" i="3"/>
  <c r="AG2" i="3" s="1"/>
  <c r="M4" i="3"/>
  <c r="K4" i="3"/>
  <c r="J4" i="3"/>
  <c r="C4" i="3"/>
  <c r="B4" i="3"/>
  <c r="E4" i="3" s="1"/>
  <c r="M3" i="3"/>
  <c r="AB3" i="3" s="1"/>
  <c r="AI4" i="3" s="1"/>
  <c r="K3" i="3"/>
  <c r="Z3" i="3" s="1"/>
  <c r="AG4" i="3" s="1"/>
  <c r="J3" i="3"/>
  <c r="E3" i="3"/>
  <c r="C3" i="3"/>
  <c r="D3" i="3" s="1"/>
  <c r="B3" i="3"/>
  <c r="AB2" i="3"/>
  <c r="Z2" i="3"/>
  <c r="M2" i="3"/>
  <c r="K2" i="3"/>
  <c r="J2" i="3"/>
  <c r="C2" i="3"/>
  <c r="B2" i="3"/>
  <c r="E2" i="3" s="1"/>
  <c r="I401" i="2"/>
  <c r="C401" i="2"/>
  <c r="B401" i="2"/>
  <c r="D401" i="2" s="1"/>
  <c r="I400" i="2"/>
  <c r="C400" i="2"/>
  <c r="B400" i="2"/>
  <c r="I399" i="2"/>
  <c r="C399" i="2"/>
  <c r="B399" i="2"/>
  <c r="D399" i="2" s="1"/>
  <c r="I398" i="2"/>
  <c r="C398" i="2"/>
  <c r="B398" i="2"/>
  <c r="I397" i="2"/>
  <c r="C397" i="2"/>
  <c r="B397" i="2"/>
  <c r="D397" i="2" s="1"/>
  <c r="I396" i="2"/>
  <c r="C396" i="2"/>
  <c r="B396" i="2"/>
  <c r="I395" i="2"/>
  <c r="C395" i="2"/>
  <c r="B395" i="2"/>
  <c r="D395" i="2" s="1"/>
  <c r="I394" i="2"/>
  <c r="C394" i="2"/>
  <c r="B394" i="2"/>
  <c r="I393" i="2"/>
  <c r="C393" i="2"/>
  <c r="B393" i="2"/>
  <c r="I392" i="2"/>
  <c r="C392" i="2"/>
  <c r="B392" i="2"/>
  <c r="I391" i="2"/>
  <c r="C391" i="2"/>
  <c r="B391" i="2"/>
  <c r="D391" i="2" s="1"/>
  <c r="I390" i="2"/>
  <c r="C390" i="2"/>
  <c r="B390" i="2"/>
  <c r="I389" i="2"/>
  <c r="C389" i="2"/>
  <c r="B389" i="2"/>
  <c r="D389" i="2" s="1"/>
  <c r="I388" i="2"/>
  <c r="C388" i="2"/>
  <c r="B388" i="2"/>
  <c r="I387" i="2"/>
  <c r="C387" i="2"/>
  <c r="B387" i="2"/>
  <c r="D387" i="2" s="1"/>
  <c r="I386" i="2"/>
  <c r="C386" i="2"/>
  <c r="B386" i="2"/>
  <c r="I385" i="2"/>
  <c r="C385" i="2"/>
  <c r="B385" i="2"/>
  <c r="D385" i="2" s="1"/>
  <c r="I384" i="2"/>
  <c r="C384" i="2"/>
  <c r="B384" i="2"/>
  <c r="D384" i="2" s="1"/>
  <c r="I383" i="2"/>
  <c r="C383" i="2"/>
  <c r="B383" i="2"/>
  <c r="D383" i="2" s="1"/>
  <c r="I382" i="2"/>
  <c r="C382" i="2"/>
  <c r="B382" i="2"/>
  <c r="I381" i="2"/>
  <c r="C381" i="2"/>
  <c r="B381" i="2"/>
  <c r="I380" i="2"/>
  <c r="C380" i="2"/>
  <c r="B380" i="2"/>
  <c r="D380" i="2" s="1"/>
  <c r="I379" i="2"/>
  <c r="C379" i="2"/>
  <c r="B379" i="2"/>
  <c r="D379" i="2" s="1"/>
  <c r="I378" i="2"/>
  <c r="C378" i="2"/>
  <c r="B378" i="2"/>
  <c r="I377" i="2"/>
  <c r="C377" i="2"/>
  <c r="B377" i="2"/>
  <c r="D377" i="2" s="1"/>
  <c r="I376" i="2"/>
  <c r="C376" i="2"/>
  <c r="B376" i="2"/>
  <c r="D376" i="2" s="1"/>
  <c r="I375" i="2"/>
  <c r="C375" i="2"/>
  <c r="B375" i="2"/>
  <c r="D375" i="2" s="1"/>
  <c r="I374" i="2"/>
  <c r="C374" i="2"/>
  <c r="B374" i="2"/>
  <c r="I373" i="2"/>
  <c r="C373" i="2"/>
  <c r="B373" i="2"/>
  <c r="I372" i="2"/>
  <c r="C372" i="2"/>
  <c r="B372" i="2"/>
  <c r="I371" i="2"/>
  <c r="C371" i="2"/>
  <c r="B371" i="2"/>
  <c r="D371" i="2" s="1"/>
  <c r="I370" i="2"/>
  <c r="C370" i="2"/>
  <c r="B370" i="2"/>
  <c r="I369" i="2"/>
  <c r="C369" i="2"/>
  <c r="B369" i="2"/>
  <c r="I368" i="2"/>
  <c r="C368" i="2"/>
  <c r="B368" i="2"/>
  <c r="I367" i="2"/>
  <c r="C367" i="2"/>
  <c r="B367" i="2"/>
  <c r="D367" i="2" s="1"/>
  <c r="I366" i="2"/>
  <c r="C366" i="2"/>
  <c r="B366" i="2"/>
  <c r="I365" i="2"/>
  <c r="C365" i="2"/>
  <c r="B365" i="2"/>
  <c r="I364" i="2"/>
  <c r="C364" i="2"/>
  <c r="B364" i="2"/>
  <c r="I363" i="2"/>
  <c r="C363" i="2"/>
  <c r="B363" i="2"/>
  <c r="D363" i="2" s="1"/>
  <c r="I362" i="2"/>
  <c r="C362" i="2"/>
  <c r="B362" i="2"/>
  <c r="I361" i="2"/>
  <c r="C361" i="2"/>
  <c r="B361" i="2"/>
  <c r="I360" i="2"/>
  <c r="C360" i="2"/>
  <c r="B360" i="2"/>
  <c r="D360" i="2" s="1"/>
  <c r="I359" i="2"/>
  <c r="C359" i="2"/>
  <c r="B359" i="2"/>
  <c r="D359" i="2" s="1"/>
  <c r="I358" i="2"/>
  <c r="C358" i="2"/>
  <c r="B358" i="2"/>
  <c r="I357" i="2"/>
  <c r="C357" i="2"/>
  <c r="B357" i="2"/>
  <c r="I356" i="2"/>
  <c r="C356" i="2"/>
  <c r="B356" i="2"/>
  <c r="I355" i="2"/>
  <c r="C355" i="2"/>
  <c r="B355" i="2"/>
  <c r="D355" i="2" s="1"/>
  <c r="I354" i="2"/>
  <c r="C354" i="2"/>
  <c r="B354" i="2"/>
  <c r="I353" i="2"/>
  <c r="C353" i="2"/>
  <c r="B353" i="2"/>
  <c r="I352" i="2"/>
  <c r="C352" i="2"/>
  <c r="B352" i="2"/>
  <c r="D352" i="2" s="1"/>
  <c r="I351" i="2"/>
  <c r="C351" i="2"/>
  <c r="B351" i="2"/>
  <c r="D351" i="2" s="1"/>
  <c r="I350" i="2"/>
  <c r="C350" i="2"/>
  <c r="B350" i="2"/>
  <c r="I349" i="2"/>
  <c r="C349" i="2"/>
  <c r="D349" i="2" s="1"/>
  <c r="B349" i="2"/>
  <c r="I348" i="2"/>
  <c r="C348" i="2"/>
  <c r="B348" i="2"/>
  <c r="I347" i="2"/>
  <c r="C347" i="2"/>
  <c r="B347" i="2"/>
  <c r="D347" i="2" s="1"/>
  <c r="I346" i="2"/>
  <c r="C346" i="2"/>
  <c r="B346" i="2"/>
  <c r="I345" i="2"/>
  <c r="C345" i="2"/>
  <c r="B345" i="2"/>
  <c r="I344" i="2"/>
  <c r="C344" i="2"/>
  <c r="B344" i="2"/>
  <c r="D344" i="2" s="1"/>
  <c r="I343" i="2"/>
  <c r="C343" i="2"/>
  <c r="B343" i="2"/>
  <c r="D343" i="2" s="1"/>
  <c r="I342" i="2"/>
  <c r="C342" i="2"/>
  <c r="B342" i="2"/>
  <c r="I341" i="2"/>
  <c r="C341" i="2"/>
  <c r="D341" i="2" s="1"/>
  <c r="B341" i="2"/>
  <c r="I340" i="2"/>
  <c r="C340" i="2"/>
  <c r="B340" i="2"/>
  <c r="I339" i="2"/>
  <c r="C339" i="2"/>
  <c r="B339" i="2"/>
  <c r="D339" i="2" s="1"/>
  <c r="I338" i="2"/>
  <c r="C338" i="2"/>
  <c r="B338" i="2"/>
  <c r="I337" i="2"/>
  <c r="C337" i="2"/>
  <c r="B337" i="2"/>
  <c r="D337" i="2" s="1"/>
  <c r="I336" i="2"/>
  <c r="C336" i="2"/>
  <c r="B336" i="2"/>
  <c r="D336" i="2" s="1"/>
  <c r="I335" i="2"/>
  <c r="C335" i="2"/>
  <c r="B335" i="2"/>
  <c r="D335" i="2" s="1"/>
  <c r="I334" i="2"/>
  <c r="C334" i="2"/>
  <c r="B334" i="2"/>
  <c r="I333" i="2"/>
  <c r="C333" i="2"/>
  <c r="D333" i="2" s="1"/>
  <c r="B333" i="2"/>
  <c r="I332" i="2"/>
  <c r="C332" i="2"/>
  <c r="B332" i="2"/>
  <c r="I331" i="2"/>
  <c r="C331" i="2"/>
  <c r="B331" i="2"/>
  <c r="D331" i="2" s="1"/>
  <c r="I330" i="2"/>
  <c r="C330" i="2"/>
  <c r="B330" i="2"/>
  <c r="I329" i="2"/>
  <c r="C329" i="2"/>
  <c r="B329" i="2"/>
  <c r="I328" i="2"/>
  <c r="C328" i="2"/>
  <c r="B328" i="2"/>
  <c r="D328" i="2" s="1"/>
  <c r="I327" i="2"/>
  <c r="C327" i="2"/>
  <c r="B327" i="2"/>
  <c r="D327" i="2" s="1"/>
  <c r="I326" i="2"/>
  <c r="C326" i="2"/>
  <c r="B326" i="2"/>
  <c r="I325" i="2"/>
  <c r="C325" i="2"/>
  <c r="D325" i="2" s="1"/>
  <c r="B325" i="2"/>
  <c r="I324" i="2"/>
  <c r="C324" i="2"/>
  <c r="B324" i="2"/>
  <c r="I323" i="2"/>
  <c r="C323" i="2"/>
  <c r="B323" i="2"/>
  <c r="D323" i="2" s="1"/>
  <c r="I322" i="2"/>
  <c r="C322" i="2"/>
  <c r="B322" i="2"/>
  <c r="I321" i="2"/>
  <c r="C321" i="2"/>
  <c r="B321" i="2"/>
  <c r="I320" i="2"/>
  <c r="C320" i="2"/>
  <c r="B320" i="2"/>
  <c r="D320" i="2" s="1"/>
  <c r="I319" i="2"/>
  <c r="C319" i="2"/>
  <c r="B319" i="2"/>
  <c r="D319" i="2" s="1"/>
  <c r="I318" i="2"/>
  <c r="C318" i="2"/>
  <c r="B318" i="2"/>
  <c r="I317" i="2"/>
  <c r="C317" i="2"/>
  <c r="D317" i="2" s="1"/>
  <c r="B317" i="2"/>
  <c r="I316" i="2"/>
  <c r="C316" i="2"/>
  <c r="B316" i="2"/>
  <c r="I315" i="2"/>
  <c r="C315" i="2"/>
  <c r="B315" i="2"/>
  <c r="D315" i="2" s="1"/>
  <c r="I314" i="2"/>
  <c r="C314" i="2"/>
  <c r="B314" i="2"/>
  <c r="I313" i="2"/>
  <c r="C313" i="2"/>
  <c r="B313" i="2"/>
  <c r="I312" i="2"/>
  <c r="C312" i="2"/>
  <c r="B312" i="2"/>
  <c r="D312" i="2" s="1"/>
  <c r="I311" i="2"/>
  <c r="C311" i="2"/>
  <c r="B311" i="2"/>
  <c r="D311" i="2" s="1"/>
  <c r="I310" i="2"/>
  <c r="C310" i="2"/>
  <c r="B310" i="2"/>
  <c r="I309" i="2"/>
  <c r="C309" i="2"/>
  <c r="D309" i="2" s="1"/>
  <c r="B309" i="2"/>
  <c r="I308" i="2"/>
  <c r="C308" i="2"/>
  <c r="B308" i="2"/>
  <c r="I307" i="2"/>
  <c r="C307" i="2"/>
  <c r="B307" i="2"/>
  <c r="D307" i="2" s="1"/>
  <c r="I306" i="2"/>
  <c r="C306" i="2"/>
  <c r="B306" i="2"/>
  <c r="I305" i="2"/>
  <c r="C305" i="2"/>
  <c r="B305" i="2"/>
  <c r="I304" i="2"/>
  <c r="C304" i="2"/>
  <c r="B304" i="2"/>
  <c r="D304" i="2" s="1"/>
  <c r="I303" i="2"/>
  <c r="C303" i="2"/>
  <c r="B303" i="2"/>
  <c r="D303" i="2" s="1"/>
  <c r="I302" i="2"/>
  <c r="C302" i="2"/>
  <c r="B302" i="2"/>
  <c r="I301" i="2"/>
  <c r="C301" i="2"/>
  <c r="D301" i="2" s="1"/>
  <c r="B301" i="2"/>
  <c r="I300" i="2"/>
  <c r="C300" i="2"/>
  <c r="B300" i="2"/>
  <c r="I299" i="2"/>
  <c r="C299" i="2"/>
  <c r="B299" i="2"/>
  <c r="D299" i="2" s="1"/>
  <c r="I298" i="2"/>
  <c r="C298" i="2"/>
  <c r="B298" i="2"/>
  <c r="I297" i="2"/>
  <c r="C297" i="2"/>
  <c r="B297" i="2"/>
  <c r="I296" i="2"/>
  <c r="C296" i="2"/>
  <c r="B296" i="2"/>
  <c r="D296" i="2" s="1"/>
  <c r="I295" i="2"/>
  <c r="C295" i="2"/>
  <c r="B295" i="2"/>
  <c r="D295" i="2" s="1"/>
  <c r="I294" i="2"/>
  <c r="C294" i="2"/>
  <c r="B294" i="2"/>
  <c r="I293" i="2"/>
  <c r="C293" i="2"/>
  <c r="D293" i="2" s="1"/>
  <c r="B293" i="2"/>
  <c r="I292" i="2"/>
  <c r="C292" i="2"/>
  <c r="B292" i="2"/>
  <c r="I291" i="2"/>
  <c r="C291" i="2"/>
  <c r="B291" i="2"/>
  <c r="I290" i="2"/>
  <c r="C290" i="2"/>
  <c r="B290" i="2"/>
  <c r="I289" i="2"/>
  <c r="C289" i="2"/>
  <c r="B289" i="2"/>
  <c r="I288" i="2"/>
  <c r="C288" i="2"/>
  <c r="B288" i="2"/>
  <c r="D288" i="2" s="1"/>
  <c r="I287" i="2"/>
  <c r="C287" i="2"/>
  <c r="B287" i="2"/>
  <c r="D287" i="2" s="1"/>
  <c r="I286" i="2"/>
  <c r="C286" i="2"/>
  <c r="B286" i="2"/>
  <c r="I285" i="2"/>
  <c r="C285" i="2"/>
  <c r="D285" i="2" s="1"/>
  <c r="B285" i="2"/>
  <c r="I284" i="2"/>
  <c r="C284" i="2"/>
  <c r="B284" i="2"/>
  <c r="I283" i="2"/>
  <c r="C283" i="2"/>
  <c r="B283" i="2"/>
  <c r="I282" i="2"/>
  <c r="C282" i="2"/>
  <c r="B282" i="2"/>
  <c r="I281" i="2"/>
  <c r="C281" i="2"/>
  <c r="B281" i="2"/>
  <c r="I280" i="2"/>
  <c r="C280" i="2"/>
  <c r="B280" i="2"/>
  <c r="D280" i="2" s="1"/>
  <c r="I279" i="2"/>
  <c r="C279" i="2"/>
  <c r="B279" i="2"/>
  <c r="D279" i="2" s="1"/>
  <c r="I278" i="2"/>
  <c r="C278" i="2"/>
  <c r="B278" i="2"/>
  <c r="I277" i="2"/>
  <c r="C277" i="2"/>
  <c r="D277" i="2" s="1"/>
  <c r="B277" i="2"/>
  <c r="I276" i="2"/>
  <c r="C276" i="2"/>
  <c r="B276" i="2"/>
  <c r="I275" i="2"/>
  <c r="C275" i="2"/>
  <c r="B275" i="2"/>
  <c r="I274" i="2"/>
  <c r="C274" i="2"/>
  <c r="B274" i="2"/>
  <c r="I273" i="2"/>
  <c r="C273" i="2"/>
  <c r="B273" i="2"/>
  <c r="I272" i="2"/>
  <c r="C272" i="2"/>
  <c r="B272" i="2"/>
  <c r="D272" i="2" s="1"/>
  <c r="I271" i="2"/>
  <c r="C271" i="2"/>
  <c r="B271" i="2"/>
  <c r="D271" i="2" s="1"/>
  <c r="I270" i="2"/>
  <c r="C270" i="2"/>
  <c r="B270" i="2"/>
  <c r="I269" i="2"/>
  <c r="C269" i="2"/>
  <c r="D269" i="2" s="1"/>
  <c r="B269" i="2"/>
  <c r="I268" i="2"/>
  <c r="C268" i="2"/>
  <c r="B268" i="2"/>
  <c r="I267" i="2"/>
  <c r="C267" i="2"/>
  <c r="B267" i="2"/>
  <c r="I266" i="2"/>
  <c r="C266" i="2"/>
  <c r="B266" i="2"/>
  <c r="I265" i="2"/>
  <c r="C265" i="2"/>
  <c r="B265" i="2"/>
  <c r="I264" i="2"/>
  <c r="C264" i="2"/>
  <c r="B264" i="2"/>
  <c r="D264" i="2" s="1"/>
  <c r="I263" i="2"/>
  <c r="C263" i="2"/>
  <c r="B263" i="2"/>
  <c r="D263" i="2" s="1"/>
  <c r="I262" i="2"/>
  <c r="C262" i="2"/>
  <c r="B262" i="2"/>
  <c r="I261" i="2"/>
  <c r="C261" i="2"/>
  <c r="D261" i="2" s="1"/>
  <c r="B261" i="2"/>
  <c r="I260" i="2"/>
  <c r="C260" i="2"/>
  <c r="B260" i="2"/>
  <c r="I259" i="2"/>
  <c r="C259" i="2"/>
  <c r="B259" i="2"/>
  <c r="I258" i="2"/>
  <c r="C258" i="2"/>
  <c r="B258" i="2"/>
  <c r="I257" i="2"/>
  <c r="C257" i="2"/>
  <c r="B257" i="2"/>
  <c r="I256" i="2"/>
  <c r="C256" i="2"/>
  <c r="B256" i="2"/>
  <c r="I255" i="2"/>
  <c r="C255" i="2"/>
  <c r="B255" i="2"/>
  <c r="D255" i="2" s="1"/>
  <c r="I254" i="2"/>
  <c r="C254" i="2"/>
  <c r="B254" i="2"/>
  <c r="I253" i="2"/>
  <c r="C253" i="2"/>
  <c r="D253" i="2" s="1"/>
  <c r="B253" i="2"/>
  <c r="I252" i="2"/>
  <c r="C252" i="2"/>
  <c r="B252" i="2"/>
  <c r="I251" i="2"/>
  <c r="C251" i="2"/>
  <c r="B251" i="2"/>
  <c r="I250" i="2"/>
  <c r="C250" i="2"/>
  <c r="B250" i="2"/>
  <c r="I249" i="2"/>
  <c r="C249" i="2"/>
  <c r="B249" i="2"/>
  <c r="I248" i="2"/>
  <c r="C248" i="2"/>
  <c r="B248" i="2"/>
  <c r="I247" i="2"/>
  <c r="C247" i="2"/>
  <c r="B247" i="2"/>
  <c r="D247" i="2" s="1"/>
  <c r="I246" i="2"/>
  <c r="C246" i="2"/>
  <c r="B246" i="2"/>
  <c r="I245" i="2"/>
  <c r="C245" i="2"/>
  <c r="D245" i="2" s="1"/>
  <c r="B245" i="2"/>
  <c r="I244" i="2"/>
  <c r="C244" i="2"/>
  <c r="B244" i="2"/>
  <c r="I243" i="2"/>
  <c r="C243" i="2"/>
  <c r="B243" i="2"/>
  <c r="I242" i="2"/>
  <c r="C242" i="2"/>
  <c r="B242" i="2"/>
  <c r="I241" i="2"/>
  <c r="C241" i="2"/>
  <c r="B241" i="2"/>
  <c r="I240" i="2"/>
  <c r="C240" i="2"/>
  <c r="B240" i="2"/>
  <c r="I239" i="2"/>
  <c r="C239" i="2"/>
  <c r="B239" i="2"/>
  <c r="D239" i="2" s="1"/>
  <c r="I238" i="2"/>
  <c r="C238" i="2"/>
  <c r="B238" i="2"/>
  <c r="I237" i="2"/>
  <c r="C237" i="2"/>
  <c r="D237" i="2" s="1"/>
  <c r="B237" i="2"/>
  <c r="I236" i="2"/>
  <c r="C236" i="2"/>
  <c r="B236" i="2"/>
  <c r="I235" i="2"/>
  <c r="C235" i="2"/>
  <c r="B235" i="2"/>
  <c r="I234" i="2"/>
  <c r="C234" i="2"/>
  <c r="B234" i="2"/>
  <c r="I233" i="2"/>
  <c r="C233" i="2"/>
  <c r="B233" i="2"/>
  <c r="I232" i="2"/>
  <c r="C232" i="2"/>
  <c r="B232" i="2"/>
  <c r="I231" i="2"/>
  <c r="C231" i="2"/>
  <c r="B231" i="2"/>
  <c r="D231" i="2" s="1"/>
  <c r="I230" i="2"/>
  <c r="C230" i="2"/>
  <c r="B230" i="2"/>
  <c r="I229" i="2"/>
  <c r="C229" i="2"/>
  <c r="D229" i="2" s="1"/>
  <c r="B229" i="2"/>
  <c r="I228" i="2"/>
  <c r="C228" i="2"/>
  <c r="B228" i="2"/>
  <c r="I227" i="2"/>
  <c r="C227" i="2"/>
  <c r="B227" i="2"/>
  <c r="I226" i="2"/>
  <c r="C226" i="2"/>
  <c r="B226" i="2"/>
  <c r="I225" i="2"/>
  <c r="C225" i="2"/>
  <c r="B225" i="2"/>
  <c r="I224" i="2"/>
  <c r="C224" i="2"/>
  <c r="B224" i="2"/>
  <c r="I223" i="2"/>
  <c r="C223" i="2"/>
  <c r="B223" i="2"/>
  <c r="D223" i="2" s="1"/>
  <c r="I222" i="2"/>
  <c r="C222" i="2"/>
  <c r="B222" i="2"/>
  <c r="I221" i="2"/>
  <c r="C221" i="2"/>
  <c r="D221" i="2" s="1"/>
  <c r="B221" i="2"/>
  <c r="I220" i="2"/>
  <c r="C220" i="2"/>
  <c r="B220" i="2"/>
  <c r="I219" i="2"/>
  <c r="C219" i="2"/>
  <c r="B219" i="2"/>
  <c r="I218" i="2"/>
  <c r="C218" i="2"/>
  <c r="B218" i="2"/>
  <c r="I217" i="2"/>
  <c r="C217" i="2"/>
  <c r="B217" i="2"/>
  <c r="I216" i="2"/>
  <c r="C216" i="2"/>
  <c r="B216" i="2"/>
  <c r="I215" i="2"/>
  <c r="C215" i="2"/>
  <c r="B215" i="2"/>
  <c r="D215" i="2" s="1"/>
  <c r="I214" i="2"/>
  <c r="C214" i="2"/>
  <c r="B214" i="2"/>
  <c r="I213" i="2"/>
  <c r="C213" i="2"/>
  <c r="D213" i="2" s="1"/>
  <c r="B213" i="2"/>
  <c r="I212" i="2"/>
  <c r="C212" i="2"/>
  <c r="B212" i="2"/>
  <c r="I211" i="2"/>
  <c r="C211" i="2"/>
  <c r="B211" i="2"/>
  <c r="I210" i="2"/>
  <c r="C210" i="2"/>
  <c r="B210" i="2"/>
  <c r="I209" i="2"/>
  <c r="C209" i="2"/>
  <c r="B209" i="2"/>
  <c r="I208" i="2"/>
  <c r="C208" i="2"/>
  <c r="B208" i="2"/>
  <c r="I207" i="2"/>
  <c r="C207" i="2"/>
  <c r="B207" i="2"/>
  <c r="D207" i="2" s="1"/>
  <c r="I206" i="2"/>
  <c r="C206" i="2"/>
  <c r="B206" i="2"/>
  <c r="I205" i="2"/>
  <c r="C205" i="2"/>
  <c r="D205" i="2" s="1"/>
  <c r="B205" i="2"/>
  <c r="I204" i="2"/>
  <c r="C204" i="2"/>
  <c r="B204" i="2"/>
  <c r="I203" i="2"/>
  <c r="C203" i="2"/>
  <c r="B203" i="2"/>
  <c r="I202" i="2"/>
  <c r="C202" i="2"/>
  <c r="B202" i="2"/>
  <c r="I201" i="2"/>
  <c r="C201" i="2"/>
  <c r="B201" i="2"/>
  <c r="I200" i="2"/>
  <c r="C200" i="2"/>
  <c r="B200" i="2"/>
  <c r="I199" i="2"/>
  <c r="C199" i="2"/>
  <c r="B199" i="2"/>
  <c r="D199" i="2" s="1"/>
  <c r="I198" i="2"/>
  <c r="C198" i="2"/>
  <c r="B198" i="2"/>
  <c r="I197" i="2"/>
  <c r="C197" i="2"/>
  <c r="D197" i="2" s="1"/>
  <c r="B197" i="2"/>
  <c r="I196" i="2"/>
  <c r="C196" i="2"/>
  <c r="B196" i="2"/>
  <c r="I195" i="2"/>
  <c r="C195" i="2"/>
  <c r="B195" i="2"/>
  <c r="I194" i="2"/>
  <c r="C194" i="2"/>
  <c r="B194" i="2"/>
  <c r="I193" i="2"/>
  <c r="C193" i="2"/>
  <c r="B193" i="2"/>
  <c r="I192" i="2"/>
  <c r="C192" i="2"/>
  <c r="B192" i="2"/>
  <c r="I191" i="2"/>
  <c r="C191" i="2"/>
  <c r="B191" i="2"/>
  <c r="D191" i="2" s="1"/>
  <c r="I190" i="2"/>
  <c r="C190" i="2"/>
  <c r="B190" i="2"/>
  <c r="I189" i="2"/>
  <c r="C189" i="2"/>
  <c r="D189" i="2" s="1"/>
  <c r="B189" i="2"/>
  <c r="I188" i="2"/>
  <c r="C188" i="2"/>
  <c r="B188" i="2"/>
  <c r="I187" i="2"/>
  <c r="C187" i="2"/>
  <c r="B187" i="2"/>
  <c r="I186" i="2"/>
  <c r="C186" i="2"/>
  <c r="B186" i="2"/>
  <c r="I185" i="2"/>
  <c r="C185" i="2"/>
  <c r="B185" i="2"/>
  <c r="I184" i="2"/>
  <c r="C184" i="2"/>
  <c r="B184" i="2"/>
  <c r="I183" i="2"/>
  <c r="C183" i="2"/>
  <c r="B183" i="2"/>
  <c r="D183" i="2" s="1"/>
  <c r="I182" i="2"/>
  <c r="C182" i="2"/>
  <c r="B182" i="2"/>
  <c r="I181" i="2"/>
  <c r="C181" i="2"/>
  <c r="D181" i="2" s="1"/>
  <c r="B181" i="2"/>
  <c r="I180" i="2"/>
  <c r="C180" i="2"/>
  <c r="B180" i="2"/>
  <c r="I179" i="2"/>
  <c r="C179" i="2"/>
  <c r="B179" i="2"/>
  <c r="I178" i="2"/>
  <c r="C178" i="2"/>
  <c r="B178" i="2"/>
  <c r="I177" i="2"/>
  <c r="C177" i="2"/>
  <c r="B177" i="2"/>
  <c r="I176" i="2"/>
  <c r="C176" i="2"/>
  <c r="B176" i="2"/>
  <c r="I175" i="2"/>
  <c r="C175" i="2"/>
  <c r="B175" i="2"/>
  <c r="D175" i="2" s="1"/>
  <c r="I174" i="2"/>
  <c r="C174" i="2"/>
  <c r="B174" i="2"/>
  <c r="I173" i="2"/>
  <c r="C173" i="2"/>
  <c r="D173" i="2" s="1"/>
  <c r="B173" i="2"/>
  <c r="I172" i="2"/>
  <c r="C172" i="2"/>
  <c r="B172" i="2"/>
  <c r="I171" i="2"/>
  <c r="C171" i="2"/>
  <c r="B171" i="2"/>
  <c r="I170" i="2"/>
  <c r="C170" i="2"/>
  <c r="B170" i="2"/>
  <c r="I169" i="2"/>
  <c r="C169" i="2"/>
  <c r="B169" i="2"/>
  <c r="I168" i="2"/>
  <c r="C168" i="2"/>
  <c r="B168" i="2"/>
  <c r="I167" i="2"/>
  <c r="C167" i="2"/>
  <c r="B167" i="2"/>
  <c r="I166" i="2"/>
  <c r="C166" i="2"/>
  <c r="B166" i="2"/>
  <c r="I165" i="2"/>
  <c r="D165" i="2"/>
  <c r="C165" i="2"/>
  <c r="B165" i="2"/>
  <c r="I164" i="2"/>
  <c r="D164" i="2"/>
  <c r="C164" i="2"/>
  <c r="B164" i="2"/>
  <c r="I163" i="2"/>
  <c r="C163" i="2"/>
  <c r="B163" i="2"/>
  <c r="I162" i="2"/>
  <c r="C162" i="2"/>
  <c r="B162" i="2"/>
  <c r="D162" i="2" s="1"/>
  <c r="I161" i="2"/>
  <c r="C161" i="2"/>
  <c r="B161" i="2"/>
  <c r="D161" i="2" s="1"/>
  <c r="I160" i="2"/>
  <c r="C160" i="2"/>
  <c r="D160" i="2" s="1"/>
  <c r="B160" i="2"/>
  <c r="I159" i="2"/>
  <c r="C159" i="2"/>
  <c r="B159" i="2"/>
  <c r="I158" i="2"/>
  <c r="C158" i="2"/>
  <c r="B158" i="2"/>
  <c r="I157" i="2"/>
  <c r="C157" i="2"/>
  <c r="B157" i="2"/>
  <c r="D157" i="2" s="1"/>
  <c r="I156" i="2"/>
  <c r="C156" i="2"/>
  <c r="B156" i="2"/>
  <c r="I155" i="2"/>
  <c r="C155" i="2"/>
  <c r="B155" i="2"/>
  <c r="I154" i="2"/>
  <c r="C154" i="2"/>
  <c r="B154" i="2"/>
  <c r="I153" i="2"/>
  <c r="C153" i="2"/>
  <c r="B153" i="2"/>
  <c r="I152" i="2"/>
  <c r="C152" i="2"/>
  <c r="B152" i="2"/>
  <c r="I151" i="2"/>
  <c r="C151" i="2"/>
  <c r="B151" i="2"/>
  <c r="I150" i="2"/>
  <c r="C150" i="2"/>
  <c r="B150" i="2"/>
  <c r="D150" i="2" s="1"/>
  <c r="I149" i="2"/>
  <c r="C149" i="2"/>
  <c r="B149" i="2"/>
  <c r="D149" i="2" s="1"/>
  <c r="I148" i="2"/>
  <c r="C148" i="2"/>
  <c r="B148" i="2"/>
  <c r="I147" i="2"/>
  <c r="C147" i="2"/>
  <c r="B147" i="2"/>
  <c r="I146" i="2"/>
  <c r="C146" i="2"/>
  <c r="B146" i="2"/>
  <c r="D146" i="2" s="1"/>
  <c r="I145" i="2"/>
  <c r="C145" i="2"/>
  <c r="B145" i="2"/>
  <c r="D145" i="2" s="1"/>
  <c r="I144" i="2"/>
  <c r="C144" i="2"/>
  <c r="B144" i="2"/>
  <c r="I143" i="2"/>
  <c r="C143" i="2"/>
  <c r="B143" i="2"/>
  <c r="I142" i="2"/>
  <c r="C142" i="2"/>
  <c r="B142" i="2"/>
  <c r="I141" i="2"/>
  <c r="C141" i="2"/>
  <c r="B141" i="2"/>
  <c r="I140" i="2"/>
  <c r="C140" i="2"/>
  <c r="B140" i="2"/>
  <c r="I139" i="2"/>
  <c r="C139" i="2"/>
  <c r="B139" i="2"/>
  <c r="I138" i="2"/>
  <c r="C138" i="2"/>
  <c r="B138" i="2"/>
  <c r="I137" i="2"/>
  <c r="C137" i="2"/>
  <c r="B137" i="2"/>
  <c r="D137" i="2" s="1"/>
  <c r="I136" i="2"/>
  <c r="C136" i="2"/>
  <c r="B136" i="2"/>
  <c r="I135" i="2"/>
  <c r="C135" i="2"/>
  <c r="B135" i="2"/>
  <c r="I134" i="2"/>
  <c r="C134" i="2"/>
  <c r="B134" i="2"/>
  <c r="I133" i="2"/>
  <c r="C133" i="2"/>
  <c r="B133" i="2"/>
  <c r="D133" i="2" s="1"/>
  <c r="I132" i="2"/>
  <c r="C132" i="2"/>
  <c r="B132" i="2"/>
  <c r="D132" i="2" s="1"/>
  <c r="I131" i="2"/>
  <c r="C131" i="2"/>
  <c r="B131" i="2"/>
  <c r="I130" i="2"/>
  <c r="C130" i="2"/>
  <c r="B130" i="2"/>
  <c r="D130" i="2" s="1"/>
  <c r="I129" i="2"/>
  <c r="C129" i="2"/>
  <c r="B129" i="2"/>
  <c r="I128" i="2"/>
  <c r="C128" i="2"/>
  <c r="D128" i="2" s="1"/>
  <c r="B128" i="2"/>
  <c r="I127" i="2"/>
  <c r="C127" i="2"/>
  <c r="B127" i="2"/>
  <c r="D127" i="2" s="1"/>
  <c r="I126" i="2"/>
  <c r="C126" i="2"/>
  <c r="B126" i="2"/>
  <c r="I125" i="2"/>
  <c r="C125" i="2"/>
  <c r="B125" i="2"/>
  <c r="I124" i="2"/>
  <c r="C124" i="2"/>
  <c r="B124" i="2"/>
  <c r="I123" i="2"/>
  <c r="C123" i="2"/>
  <c r="B123" i="2"/>
  <c r="I122" i="2"/>
  <c r="C122" i="2"/>
  <c r="B122" i="2"/>
  <c r="I121" i="2"/>
  <c r="C121" i="2"/>
  <c r="D121" i="2" s="1"/>
  <c r="B121" i="2"/>
  <c r="I120" i="2"/>
  <c r="C120" i="2"/>
  <c r="B120" i="2"/>
  <c r="I119" i="2"/>
  <c r="C119" i="2"/>
  <c r="B119" i="2"/>
  <c r="I118" i="2"/>
  <c r="C118" i="2"/>
  <c r="B118" i="2"/>
  <c r="D118" i="2" s="1"/>
  <c r="I117" i="2"/>
  <c r="C117" i="2"/>
  <c r="B117" i="2"/>
  <c r="I116" i="2"/>
  <c r="C116" i="2"/>
  <c r="B116" i="2"/>
  <c r="I115" i="2"/>
  <c r="C115" i="2"/>
  <c r="B115" i="2"/>
  <c r="I114" i="2"/>
  <c r="C114" i="2"/>
  <c r="B114" i="2"/>
  <c r="D114" i="2" s="1"/>
  <c r="I113" i="2"/>
  <c r="D113" i="2"/>
  <c r="C113" i="2"/>
  <c r="B113" i="2"/>
  <c r="I112" i="2"/>
  <c r="C112" i="2"/>
  <c r="D112" i="2" s="1"/>
  <c r="B112" i="2"/>
  <c r="I111" i="2"/>
  <c r="C111" i="2"/>
  <c r="B111" i="2"/>
  <c r="I110" i="2"/>
  <c r="C110" i="2"/>
  <c r="B110" i="2"/>
  <c r="I109" i="2"/>
  <c r="C109" i="2"/>
  <c r="B109" i="2"/>
  <c r="I108" i="2"/>
  <c r="C108" i="2"/>
  <c r="D108" i="2" s="1"/>
  <c r="B108" i="2"/>
  <c r="I107" i="2"/>
  <c r="C107" i="2"/>
  <c r="B107" i="2"/>
  <c r="I106" i="2"/>
  <c r="C106" i="2"/>
  <c r="B106" i="2"/>
  <c r="I105" i="2"/>
  <c r="C105" i="2"/>
  <c r="B105" i="2"/>
  <c r="D105" i="2" s="1"/>
  <c r="I104" i="2"/>
  <c r="C104" i="2"/>
  <c r="B104" i="2"/>
  <c r="I103" i="2"/>
  <c r="C103" i="2"/>
  <c r="B103" i="2"/>
  <c r="I102" i="2"/>
  <c r="C102" i="2"/>
  <c r="B102" i="2"/>
  <c r="D102" i="2" s="1"/>
  <c r="I101" i="2"/>
  <c r="C101" i="2"/>
  <c r="B101" i="2"/>
  <c r="D101" i="2" s="1"/>
  <c r="I100" i="2"/>
  <c r="C100" i="2"/>
  <c r="B100" i="2"/>
  <c r="D100" i="2" s="1"/>
  <c r="I99" i="2"/>
  <c r="C99" i="2"/>
  <c r="B99" i="2"/>
  <c r="I98" i="2"/>
  <c r="C98" i="2"/>
  <c r="B98" i="2"/>
  <c r="I97" i="2"/>
  <c r="C97" i="2"/>
  <c r="B97" i="2"/>
  <c r="I96" i="2"/>
  <c r="C96" i="2"/>
  <c r="B96" i="2"/>
  <c r="I95" i="2"/>
  <c r="C95" i="2"/>
  <c r="B95" i="2"/>
  <c r="D95" i="2" s="1"/>
  <c r="I94" i="2"/>
  <c r="C94" i="2"/>
  <c r="B94" i="2"/>
  <c r="I93" i="2"/>
  <c r="C93" i="2"/>
  <c r="B93" i="2"/>
  <c r="I92" i="2"/>
  <c r="C92" i="2"/>
  <c r="B92" i="2"/>
  <c r="D92" i="2" s="1"/>
  <c r="I91" i="2"/>
  <c r="C91" i="2"/>
  <c r="B91" i="2"/>
  <c r="I90" i="2"/>
  <c r="C90" i="2"/>
  <c r="B90" i="2"/>
  <c r="I89" i="2"/>
  <c r="C89" i="2"/>
  <c r="D89" i="2" s="1"/>
  <c r="B89" i="2"/>
  <c r="I88" i="2"/>
  <c r="C88" i="2"/>
  <c r="B88" i="2"/>
  <c r="I87" i="2"/>
  <c r="C87" i="2"/>
  <c r="B87" i="2"/>
  <c r="I86" i="2"/>
  <c r="C86" i="2"/>
  <c r="B86" i="2"/>
  <c r="I85" i="2"/>
  <c r="C85" i="2"/>
  <c r="B85" i="2"/>
  <c r="I84" i="2"/>
  <c r="C84" i="2"/>
  <c r="B84" i="2"/>
  <c r="D84" i="2" s="1"/>
  <c r="I83" i="2"/>
  <c r="C83" i="2"/>
  <c r="B83" i="2"/>
  <c r="I82" i="2"/>
  <c r="C82" i="2"/>
  <c r="B82" i="2"/>
  <c r="I81" i="2"/>
  <c r="D81" i="2"/>
  <c r="C81" i="2"/>
  <c r="B81" i="2"/>
  <c r="I80" i="2"/>
  <c r="C80" i="2"/>
  <c r="B80" i="2"/>
  <c r="I79" i="2"/>
  <c r="C79" i="2"/>
  <c r="B79" i="2"/>
  <c r="D79" i="2" s="1"/>
  <c r="I78" i="2"/>
  <c r="C78" i="2"/>
  <c r="B78" i="2"/>
  <c r="D78" i="2" s="1"/>
  <c r="I77" i="2"/>
  <c r="C77" i="2"/>
  <c r="D77" i="2" s="1"/>
  <c r="B77" i="2"/>
  <c r="I76" i="2"/>
  <c r="C76" i="2"/>
  <c r="B76" i="2"/>
  <c r="I75" i="2"/>
  <c r="C75" i="2"/>
  <c r="B75" i="2"/>
  <c r="I74" i="2"/>
  <c r="C74" i="2"/>
  <c r="B74" i="2"/>
  <c r="D74" i="2" s="1"/>
  <c r="I73" i="2"/>
  <c r="C73" i="2"/>
  <c r="D73" i="2" s="1"/>
  <c r="B73" i="2"/>
  <c r="I72" i="2"/>
  <c r="C72" i="2"/>
  <c r="D72" i="2" s="1"/>
  <c r="B72" i="2"/>
  <c r="I71" i="2"/>
  <c r="C71" i="2"/>
  <c r="B71" i="2"/>
  <c r="I70" i="2"/>
  <c r="C70" i="2"/>
  <c r="B70" i="2"/>
  <c r="I69" i="2"/>
  <c r="C69" i="2"/>
  <c r="B69" i="2"/>
  <c r="I68" i="2"/>
  <c r="C68" i="2"/>
  <c r="B68" i="2"/>
  <c r="I67" i="2"/>
  <c r="C67" i="2"/>
  <c r="B67" i="2"/>
  <c r="D67" i="2" s="1"/>
  <c r="I66" i="2"/>
  <c r="C66" i="2"/>
  <c r="B66" i="2"/>
  <c r="D66" i="2" s="1"/>
  <c r="I65" i="2"/>
  <c r="C65" i="2"/>
  <c r="B65" i="2"/>
  <c r="I64" i="2"/>
  <c r="C64" i="2"/>
  <c r="B64" i="2"/>
  <c r="I63" i="2"/>
  <c r="C63" i="2"/>
  <c r="B63" i="2"/>
  <c r="D63" i="2" s="1"/>
  <c r="I62" i="2"/>
  <c r="C62" i="2"/>
  <c r="B62" i="2"/>
  <c r="D62" i="2" s="1"/>
  <c r="I61" i="2"/>
  <c r="C61" i="2"/>
  <c r="B61" i="2"/>
  <c r="I60" i="2"/>
  <c r="C60" i="2"/>
  <c r="B60" i="2"/>
  <c r="I59" i="2"/>
  <c r="C59" i="2"/>
  <c r="B59" i="2"/>
  <c r="I58" i="2"/>
  <c r="C58" i="2"/>
  <c r="B58" i="2"/>
  <c r="D58" i="2" s="1"/>
  <c r="I57" i="2"/>
  <c r="C57" i="2"/>
  <c r="B57" i="2"/>
  <c r="I56" i="2"/>
  <c r="C56" i="2"/>
  <c r="B56" i="2"/>
  <c r="I55" i="2"/>
  <c r="D55" i="2"/>
  <c r="C55" i="2"/>
  <c r="B55" i="2"/>
  <c r="I54" i="2"/>
  <c r="D54" i="2"/>
  <c r="C54" i="2"/>
  <c r="B54" i="2"/>
  <c r="I53" i="2"/>
  <c r="C53" i="2"/>
  <c r="B53" i="2"/>
  <c r="I52" i="2"/>
  <c r="C52" i="2"/>
  <c r="B52" i="2"/>
  <c r="D52" i="2" s="1"/>
  <c r="I51" i="2"/>
  <c r="C51" i="2"/>
  <c r="B51" i="2"/>
  <c r="D51" i="2" s="1"/>
  <c r="I50" i="2"/>
  <c r="C50" i="2"/>
  <c r="B50" i="2"/>
  <c r="I49" i="2"/>
  <c r="C49" i="2"/>
  <c r="B49" i="2"/>
  <c r="I48" i="2"/>
  <c r="C48" i="2"/>
  <c r="B48" i="2"/>
  <c r="D48" i="2" s="1"/>
  <c r="I47" i="2"/>
  <c r="C47" i="2"/>
  <c r="B47" i="2"/>
  <c r="D47" i="2" s="1"/>
  <c r="I46" i="2"/>
  <c r="C46" i="2"/>
  <c r="B46" i="2"/>
  <c r="D46" i="2" s="1"/>
  <c r="I45" i="2"/>
  <c r="C45" i="2"/>
  <c r="B45" i="2"/>
  <c r="I44" i="2"/>
  <c r="C44" i="2"/>
  <c r="B44" i="2"/>
  <c r="I43" i="2"/>
  <c r="C43" i="2"/>
  <c r="B43" i="2"/>
  <c r="I42" i="2"/>
  <c r="C42" i="2"/>
  <c r="B42" i="2"/>
  <c r="D42" i="2" s="1"/>
  <c r="AD41" i="2"/>
  <c r="AA41" i="2"/>
  <c r="AB41" i="2" s="1"/>
  <c r="Y41" i="2"/>
  <c r="Z41" i="2" s="1"/>
  <c r="I41" i="2"/>
  <c r="C41" i="2"/>
  <c r="B41" i="2"/>
  <c r="AD40" i="2"/>
  <c r="AA40" i="2"/>
  <c r="AB40" i="2" s="1"/>
  <c r="Y40" i="2"/>
  <c r="Z40" i="2" s="1"/>
  <c r="I40" i="2"/>
  <c r="C40" i="2"/>
  <c r="B40" i="2"/>
  <c r="D40" i="2" s="1"/>
  <c r="AD39" i="2"/>
  <c r="AA39" i="2"/>
  <c r="AB39" i="2" s="1"/>
  <c r="Y39" i="2"/>
  <c r="Z39" i="2" s="1"/>
  <c r="I39" i="2"/>
  <c r="C39" i="2"/>
  <c r="B39" i="2"/>
  <c r="D39" i="2" s="1"/>
  <c r="AD38" i="2"/>
  <c r="AA38" i="2"/>
  <c r="AB38" i="2" s="1"/>
  <c r="Y38" i="2"/>
  <c r="Z38" i="2" s="1"/>
  <c r="I38" i="2"/>
  <c r="C38" i="2"/>
  <c r="B38" i="2"/>
  <c r="AD37" i="2"/>
  <c r="AA37" i="2"/>
  <c r="AB37" i="2" s="1"/>
  <c r="Y37" i="2"/>
  <c r="Z37" i="2" s="1"/>
  <c r="I37" i="2"/>
  <c r="C37" i="2"/>
  <c r="B37" i="2"/>
  <c r="AD36" i="2"/>
  <c r="AA36" i="2"/>
  <c r="AB36" i="2" s="1"/>
  <c r="Y36" i="2"/>
  <c r="Z36" i="2" s="1"/>
  <c r="I36" i="2"/>
  <c r="C36" i="2"/>
  <c r="B36" i="2"/>
  <c r="AD35" i="2"/>
  <c r="AA35" i="2"/>
  <c r="AB35" i="2" s="1"/>
  <c r="Y35" i="2"/>
  <c r="Z35" i="2" s="1"/>
  <c r="I35" i="2"/>
  <c r="C35" i="2"/>
  <c r="B35" i="2"/>
  <c r="AD34" i="2"/>
  <c r="AA34" i="2"/>
  <c r="AB34" i="2" s="1"/>
  <c r="Y34" i="2"/>
  <c r="Z34" i="2" s="1"/>
  <c r="I34" i="2"/>
  <c r="C34" i="2"/>
  <c r="B34" i="2"/>
  <c r="AD33" i="2"/>
  <c r="AA33" i="2"/>
  <c r="AB33" i="2" s="1"/>
  <c r="Y33" i="2"/>
  <c r="Z33" i="2" s="1"/>
  <c r="I33" i="2"/>
  <c r="C33" i="2"/>
  <c r="B33" i="2"/>
  <c r="AD32" i="2"/>
  <c r="AA32" i="2"/>
  <c r="AB32" i="2" s="1"/>
  <c r="Y32" i="2"/>
  <c r="Z32" i="2" s="1"/>
  <c r="I32" i="2"/>
  <c r="C32" i="2"/>
  <c r="B32" i="2"/>
  <c r="AD31" i="2"/>
  <c r="AA31" i="2"/>
  <c r="AB31" i="2" s="1"/>
  <c r="Y31" i="2"/>
  <c r="Z31" i="2" s="1"/>
  <c r="I31" i="2"/>
  <c r="C31" i="2"/>
  <c r="B31" i="2"/>
  <c r="AD30" i="2"/>
  <c r="AA30" i="2"/>
  <c r="AB30" i="2" s="1"/>
  <c r="Y30" i="2"/>
  <c r="Z30" i="2" s="1"/>
  <c r="I30" i="2"/>
  <c r="C30" i="2"/>
  <c r="B30" i="2"/>
  <c r="AD29" i="2"/>
  <c r="AA29" i="2"/>
  <c r="AB29" i="2" s="1"/>
  <c r="Y29" i="2"/>
  <c r="Z29" i="2" s="1"/>
  <c r="I29" i="2"/>
  <c r="C29" i="2"/>
  <c r="B29" i="2"/>
  <c r="AD28" i="2"/>
  <c r="AA28" i="2"/>
  <c r="AB28" i="2" s="1"/>
  <c r="Y28" i="2"/>
  <c r="Z28" i="2" s="1"/>
  <c r="I28" i="2"/>
  <c r="C28" i="2"/>
  <c r="B28" i="2"/>
  <c r="AD27" i="2"/>
  <c r="AA27" i="2"/>
  <c r="AB27" i="2" s="1"/>
  <c r="Y27" i="2"/>
  <c r="Z27" i="2" s="1"/>
  <c r="I27" i="2"/>
  <c r="C27" i="2"/>
  <c r="B27" i="2"/>
  <c r="AD26" i="2"/>
  <c r="AA26" i="2"/>
  <c r="AB26" i="2" s="1"/>
  <c r="Y26" i="2"/>
  <c r="Z26" i="2" s="1"/>
  <c r="I26" i="2"/>
  <c r="C26" i="2"/>
  <c r="B26" i="2"/>
  <c r="D26" i="2" s="1"/>
  <c r="AD25" i="2"/>
  <c r="AB25" i="2"/>
  <c r="AA25" i="2"/>
  <c r="Y25" i="2"/>
  <c r="Z25" i="2" s="1"/>
  <c r="I25" i="2"/>
  <c r="C25" i="2"/>
  <c r="B25" i="2"/>
  <c r="AD24" i="2"/>
  <c r="AA24" i="2"/>
  <c r="AB24" i="2" s="1"/>
  <c r="Z24" i="2"/>
  <c r="Y24" i="2"/>
  <c r="I24" i="2"/>
  <c r="C24" i="2"/>
  <c r="D24" i="2" s="1"/>
  <c r="B24" i="2"/>
  <c r="AD23" i="2"/>
  <c r="AA23" i="2"/>
  <c r="AB23" i="2" s="1"/>
  <c r="Y23" i="2"/>
  <c r="Z23" i="2" s="1"/>
  <c r="I23" i="2"/>
  <c r="C23" i="2"/>
  <c r="B23" i="2"/>
  <c r="AD22" i="2"/>
  <c r="AA22" i="2"/>
  <c r="AB22" i="2" s="1"/>
  <c r="Y22" i="2"/>
  <c r="Z22" i="2" s="1"/>
  <c r="I22" i="2"/>
  <c r="C22" i="2"/>
  <c r="D22" i="2" s="1"/>
  <c r="B22" i="2"/>
  <c r="AD21" i="2"/>
  <c r="AA21" i="2"/>
  <c r="AB21" i="2" s="1"/>
  <c r="Y21" i="2"/>
  <c r="Z21" i="2" s="1"/>
  <c r="I21" i="2"/>
  <c r="C21" i="2"/>
  <c r="B21" i="2"/>
  <c r="AD20" i="2"/>
  <c r="AA20" i="2"/>
  <c r="AB20" i="2" s="1"/>
  <c r="Y20" i="2"/>
  <c r="Z20" i="2" s="1"/>
  <c r="I20" i="2"/>
  <c r="C20" i="2"/>
  <c r="D20" i="2" s="1"/>
  <c r="B20" i="2"/>
  <c r="AD19" i="2"/>
  <c r="AA19" i="2"/>
  <c r="AB19" i="2" s="1"/>
  <c r="Y19" i="2"/>
  <c r="Z19" i="2" s="1"/>
  <c r="I19" i="2"/>
  <c r="C19" i="2"/>
  <c r="B19" i="2"/>
  <c r="AD18" i="2"/>
  <c r="AA18" i="2"/>
  <c r="AB18" i="2" s="1"/>
  <c r="Y18" i="2"/>
  <c r="Z18" i="2" s="1"/>
  <c r="I18" i="2"/>
  <c r="C18" i="2"/>
  <c r="B18" i="2"/>
  <c r="AD17" i="2"/>
  <c r="AA17" i="2"/>
  <c r="AB17" i="2" s="1"/>
  <c r="Y17" i="2"/>
  <c r="Z17" i="2" s="1"/>
  <c r="I17" i="2"/>
  <c r="C17" i="2"/>
  <c r="B17" i="2"/>
  <c r="AD16" i="2"/>
  <c r="AA16" i="2"/>
  <c r="AB16" i="2" s="1"/>
  <c r="Y16" i="2"/>
  <c r="Z16" i="2" s="1"/>
  <c r="I16" i="2"/>
  <c r="C16" i="2"/>
  <c r="B16" i="2"/>
  <c r="AD15" i="2"/>
  <c r="AA15" i="2"/>
  <c r="AB15" i="2" s="1"/>
  <c r="Y15" i="2"/>
  <c r="Z15" i="2" s="1"/>
  <c r="I15" i="2"/>
  <c r="C15" i="2"/>
  <c r="B15" i="2"/>
  <c r="AD14" i="2"/>
  <c r="AA14" i="2"/>
  <c r="AB14" i="2" s="1"/>
  <c r="Y14" i="2"/>
  <c r="Z14" i="2" s="1"/>
  <c r="I14" i="2"/>
  <c r="C14" i="2"/>
  <c r="B14" i="2"/>
  <c r="AD13" i="2"/>
  <c r="AA13" i="2"/>
  <c r="AB13" i="2" s="1"/>
  <c r="Y13" i="2"/>
  <c r="Z13" i="2" s="1"/>
  <c r="I13" i="2"/>
  <c r="C13" i="2"/>
  <c r="B13" i="2"/>
  <c r="AD12" i="2"/>
  <c r="AA12" i="2"/>
  <c r="AB12" i="2" s="1"/>
  <c r="Y12" i="2"/>
  <c r="Z12" i="2" s="1"/>
  <c r="M12" i="2"/>
  <c r="L12" i="2"/>
  <c r="I12" i="2"/>
  <c r="C12" i="2"/>
  <c r="B12" i="2"/>
  <c r="AD11" i="2"/>
  <c r="AA11" i="2"/>
  <c r="AB11" i="2" s="1"/>
  <c r="Y11" i="2"/>
  <c r="Z11" i="2" s="1"/>
  <c r="M11" i="2"/>
  <c r="L11" i="2"/>
  <c r="I11" i="2"/>
  <c r="C11" i="2"/>
  <c r="B11" i="2"/>
  <c r="AD10" i="2"/>
  <c r="AA10" i="2"/>
  <c r="AB10" i="2" s="1"/>
  <c r="Y10" i="2"/>
  <c r="Z10" i="2" s="1"/>
  <c r="M10" i="2"/>
  <c r="I10" i="2"/>
  <c r="C10" i="2"/>
  <c r="B10" i="2"/>
  <c r="AD9" i="2"/>
  <c r="AA9" i="2"/>
  <c r="AB9" i="2" s="1"/>
  <c r="Y9" i="2"/>
  <c r="Z9" i="2" s="1"/>
  <c r="I9" i="2"/>
  <c r="C9" i="2"/>
  <c r="B9" i="2"/>
  <c r="D9" i="2" s="1"/>
  <c r="AD8" i="2"/>
  <c r="AA8" i="2"/>
  <c r="AB8" i="2" s="1"/>
  <c r="Y8" i="2"/>
  <c r="Z8" i="2" s="1"/>
  <c r="I8" i="2"/>
  <c r="C8" i="2"/>
  <c r="B8" i="2"/>
  <c r="D8" i="2" s="1"/>
  <c r="AD7" i="2"/>
  <c r="AA7" i="2"/>
  <c r="AB7" i="2" s="1"/>
  <c r="Y7" i="2"/>
  <c r="Z7" i="2" s="1"/>
  <c r="I7" i="2"/>
  <c r="C7" i="2"/>
  <c r="B7" i="2"/>
  <c r="D7" i="2" s="1"/>
  <c r="AD6" i="2"/>
  <c r="AB6" i="2"/>
  <c r="AA6" i="2"/>
  <c r="Y6" i="2"/>
  <c r="Z6" i="2" s="1"/>
  <c r="I6" i="2"/>
  <c r="C6" i="2"/>
  <c r="B6" i="2"/>
  <c r="AD5" i="2"/>
  <c r="AA5" i="2"/>
  <c r="AB5" i="2" s="1"/>
  <c r="Y5" i="2"/>
  <c r="Z5" i="2" s="1"/>
  <c r="I5" i="2"/>
  <c r="C5" i="2"/>
  <c r="B5" i="2"/>
  <c r="D5" i="2" s="1"/>
  <c r="AD4" i="2"/>
  <c r="AA4" i="2"/>
  <c r="AB4" i="2" s="1"/>
  <c r="Y4" i="2"/>
  <c r="Z4" i="2" s="1"/>
  <c r="I4" i="2"/>
  <c r="C4" i="2"/>
  <c r="B4" i="2"/>
  <c r="AD3" i="2"/>
  <c r="AA3" i="2"/>
  <c r="AB3" i="2" s="1"/>
  <c r="Y3" i="2"/>
  <c r="Z3" i="2" s="1"/>
  <c r="I3" i="2"/>
  <c r="C3" i="2"/>
  <c r="B3" i="2"/>
  <c r="D3" i="2" s="1"/>
  <c r="AD2" i="2"/>
  <c r="AA2" i="2"/>
  <c r="AB2" i="2" s="1"/>
  <c r="Y2" i="2"/>
  <c r="Z2" i="2" s="1"/>
  <c r="O2" i="2"/>
  <c r="I2" i="2"/>
  <c r="M2" i="2" s="1"/>
  <c r="C2" i="2"/>
  <c r="B2" i="2"/>
  <c r="D12" i="2" l="1"/>
  <c r="D14" i="2"/>
  <c r="D16" i="2"/>
  <c r="D18" i="2"/>
  <c r="D28" i="2"/>
  <c r="D31" i="2"/>
  <c r="D33" i="2"/>
  <c r="D34" i="2"/>
  <c r="D37" i="2"/>
  <c r="D38" i="2"/>
  <c r="D43" i="2"/>
  <c r="D59" i="2"/>
  <c r="D68" i="2"/>
  <c r="D76" i="2"/>
  <c r="D85" i="2"/>
  <c r="D93" i="2"/>
  <c r="D97" i="2"/>
  <c r="D111" i="2"/>
  <c r="D116" i="2"/>
  <c r="W31" i="2"/>
  <c r="X31" i="2" s="1"/>
  <c r="D124" i="2"/>
  <c r="D134" i="2"/>
  <c r="D159" i="2"/>
  <c r="D169" i="2"/>
  <c r="W19" i="2" s="1"/>
  <c r="X19" i="2" s="1"/>
  <c r="D177" i="2"/>
  <c r="D185" i="2"/>
  <c r="D193" i="2"/>
  <c r="D201" i="2"/>
  <c r="D209" i="2"/>
  <c r="D217" i="2"/>
  <c r="D225" i="2"/>
  <c r="D233" i="2"/>
  <c r="D241" i="2"/>
  <c r="D249" i="2"/>
  <c r="D257" i="2"/>
  <c r="D265" i="2"/>
  <c r="W15" i="2" s="1"/>
  <c r="X15" i="2" s="1"/>
  <c r="D273" i="2"/>
  <c r="D281" i="2"/>
  <c r="D289" i="2"/>
  <c r="D297" i="2"/>
  <c r="D305" i="2"/>
  <c r="D313" i="2"/>
  <c r="D321" i="2"/>
  <c r="D329" i="2"/>
  <c r="W39" i="2" s="1"/>
  <c r="X39" i="2" s="1"/>
  <c r="D345" i="2"/>
  <c r="D353" i="2"/>
  <c r="D361" i="2"/>
  <c r="D369" i="2"/>
  <c r="L10" i="2"/>
  <c r="D357" i="2"/>
  <c r="W37" i="2" s="1"/>
  <c r="X37" i="2" s="1"/>
  <c r="D365" i="2"/>
  <c r="D368" i="2"/>
  <c r="D373" i="2"/>
  <c r="D381" i="2"/>
  <c r="D388" i="2"/>
  <c r="D392" i="2"/>
  <c r="D393" i="2"/>
  <c r="D396" i="2"/>
  <c r="D4" i="2"/>
  <c r="L2" i="2" s="1"/>
  <c r="D15" i="2"/>
  <c r="D17" i="2"/>
  <c r="D19" i="2"/>
  <c r="D21" i="2"/>
  <c r="D30" i="2"/>
  <c r="D32" i="2"/>
  <c r="D35" i="2"/>
  <c r="D36" i="2"/>
  <c r="D96" i="2"/>
  <c r="D141" i="2"/>
  <c r="D172" i="2"/>
  <c r="D180" i="2"/>
  <c r="D188" i="2"/>
  <c r="D196" i="2"/>
  <c r="D204" i="2"/>
  <c r="D212" i="2"/>
  <c r="D220" i="2"/>
  <c r="D228" i="2"/>
  <c r="D236" i="2"/>
  <c r="D244" i="2"/>
  <c r="D252" i="2"/>
  <c r="D260" i="2"/>
  <c r="D268" i="2"/>
  <c r="D276" i="2"/>
  <c r="D284" i="2"/>
  <c r="D292" i="2"/>
  <c r="D300" i="2"/>
  <c r="D308" i="2"/>
  <c r="D316" i="2"/>
  <c r="D324" i="2"/>
  <c r="D332" i="2"/>
  <c r="D340" i="2"/>
  <c r="D348" i="2"/>
  <c r="D356" i="2"/>
  <c r="D364" i="2"/>
  <c r="D372" i="2"/>
  <c r="D44" i="2"/>
  <c r="D50" i="2"/>
  <c r="D56" i="2"/>
  <c r="D60" i="2"/>
  <c r="D65" i="2"/>
  <c r="D69" i="2"/>
  <c r="D82" i="2"/>
  <c r="D86" i="2"/>
  <c r="D98" i="2"/>
  <c r="D109" i="2"/>
  <c r="D117" i="2"/>
  <c r="W27" i="2" s="1"/>
  <c r="X27" i="2" s="1"/>
  <c r="D125" i="2"/>
  <c r="D129" i="2"/>
  <c r="D140" i="2"/>
  <c r="D143" i="2"/>
  <c r="D144" i="2"/>
  <c r="D148" i="2"/>
  <c r="D153" i="2"/>
  <c r="D156" i="2"/>
  <c r="D166" i="2"/>
  <c r="D10" i="2"/>
  <c r="D11" i="2"/>
  <c r="D23" i="2"/>
  <c r="D25" i="2"/>
  <c r="D41" i="2"/>
  <c r="D45" i="2"/>
  <c r="L6" i="2" s="1"/>
  <c r="D53" i="2"/>
  <c r="D61" i="2"/>
  <c r="D70" i="2"/>
  <c r="D80" i="2"/>
  <c r="D87" i="2"/>
  <c r="D88" i="2"/>
  <c r="W8" i="2" s="1"/>
  <c r="X8" i="2" s="1"/>
  <c r="D94" i="2"/>
  <c r="D106" i="2"/>
  <c r="D119" i="2"/>
  <c r="D120" i="2"/>
  <c r="D126" i="2"/>
  <c r="D138" i="2"/>
  <c r="D151" i="2"/>
  <c r="D152" i="2"/>
  <c r="D158" i="2"/>
  <c r="D170" i="2"/>
  <c r="D176" i="2"/>
  <c r="D186" i="2"/>
  <c r="D192" i="2"/>
  <c r="D202" i="2"/>
  <c r="D208" i="2"/>
  <c r="D218" i="2"/>
  <c r="D224" i="2"/>
  <c r="D234" i="2"/>
  <c r="D240" i="2"/>
  <c r="D250" i="2"/>
  <c r="D256" i="2"/>
  <c r="W23" i="2"/>
  <c r="X23" i="2" s="1"/>
  <c r="M6" i="2"/>
  <c r="D6" i="2"/>
  <c r="D13" i="2"/>
  <c r="D27" i="2"/>
  <c r="W7" i="2" s="1"/>
  <c r="X7" i="2" s="1"/>
  <c r="D29" i="2"/>
  <c r="D49" i="2"/>
  <c r="D57" i="2"/>
  <c r="D64" i="2"/>
  <c r="W4" i="2" s="1"/>
  <c r="X4" i="2" s="1"/>
  <c r="D90" i="2"/>
  <c r="D103" i="2"/>
  <c r="D104" i="2"/>
  <c r="D110" i="2"/>
  <c r="D122" i="2"/>
  <c r="D135" i="2"/>
  <c r="D136" i="2"/>
  <c r="D142" i="2"/>
  <c r="D154" i="2"/>
  <c r="D167" i="2"/>
  <c r="D168" i="2"/>
  <c r="D178" i="2"/>
  <c r="D184" i="2"/>
  <c r="D194" i="2"/>
  <c r="D200" i="2"/>
  <c r="D210" i="2"/>
  <c r="D216" i="2"/>
  <c r="D226" i="2"/>
  <c r="D232" i="2"/>
  <c r="D242" i="2"/>
  <c r="D248" i="2"/>
  <c r="D258" i="2"/>
  <c r="D266" i="2"/>
  <c r="D274" i="2"/>
  <c r="D282" i="2"/>
  <c r="D290" i="2"/>
  <c r="D298" i="2"/>
  <c r="D306" i="2"/>
  <c r="D314" i="2"/>
  <c r="D322" i="2"/>
  <c r="D330" i="2"/>
  <c r="D338" i="2"/>
  <c r="D346" i="2"/>
  <c r="D354" i="2"/>
  <c r="D362" i="2"/>
  <c r="D370" i="2"/>
  <c r="D378" i="2"/>
  <c r="D386" i="2"/>
  <c r="D394" i="2"/>
  <c r="D400" i="2"/>
  <c r="D174" i="2"/>
  <c r="D182" i="2"/>
  <c r="D190" i="2"/>
  <c r="D198" i="2"/>
  <c r="D206" i="2"/>
  <c r="D214" i="2"/>
  <c r="D222" i="2"/>
  <c r="D230" i="2"/>
  <c r="D238" i="2"/>
  <c r="D246" i="2"/>
  <c r="D254" i="2"/>
  <c r="D262" i="2"/>
  <c r="D270" i="2"/>
  <c r="D278" i="2"/>
  <c r="D286" i="2"/>
  <c r="D294" i="2"/>
  <c r="D302" i="2"/>
  <c r="D310" i="2"/>
  <c r="D318" i="2"/>
  <c r="D326" i="2"/>
  <c r="D334" i="2"/>
  <c r="D342" i="2"/>
  <c r="D350" i="2"/>
  <c r="D358" i="2"/>
  <c r="D366" i="2"/>
  <c r="D374" i="2"/>
  <c r="D382" i="2"/>
  <c r="D390" i="2"/>
  <c r="D398" i="2"/>
  <c r="J45" i="4"/>
  <c r="H45" i="4"/>
  <c r="H51" i="4"/>
  <c r="J51" i="4"/>
  <c r="H55" i="4"/>
  <c r="J55" i="4"/>
  <c r="J57" i="4"/>
  <c r="H57" i="4"/>
  <c r="H60" i="4"/>
  <c r="J60" i="4"/>
  <c r="H67" i="4"/>
  <c r="J67" i="4"/>
  <c r="H82" i="4"/>
  <c r="J82" i="4"/>
  <c r="P16" i="4"/>
  <c r="P39" i="4"/>
  <c r="H44" i="4"/>
  <c r="J44" i="4"/>
  <c r="H49" i="4"/>
  <c r="J49" i="4"/>
  <c r="J53" i="4"/>
  <c r="H53" i="4"/>
  <c r="H63" i="4"/>
  <c r="J63" i="4"/>
  <c r="H70" i="4"/>
  <c r="J70" i="4"/>
  <c r="H74" i="4"/>
  <c r="J74" i="4"/>
  <c r="P17" i="4"/>
  <c r="P40" i="4"/>
  <c r="H52" i="4"/>
  <c r="J52" i="4"/>
  <c r="AC5" i="4"/>
  <c r="H56" i="4"/>
  <c r="J56" i="4"/>
  <c r="H61" i="4"/>
  <c r="J61" i="4"/>
  <c r="H66" i="4"/>
  <c r="J66" i="4"/>
  <c r="J68" i="4"/>
  <c r="H68" i="4"/>
  <c r="J72" i="4"/>
  <c r="H72" i="4"/>
  <c r="J76" i="4"/>
  <c r="H76" i="4"/>
  <c r="J77" i="4"/>
  <c r="H77" i="4"/>
  <c r="P18" i="4"/>
  <c r="P37" i="4"/>
  <c r="H43" i="4"/>
  <c r="J43" i="4"/>
  <c r="H47" i="4"/>
  <c r="J47" i="4"/>
  <c r="H50" i="4"/>
  <c r="J50" i="4"/>
  <c r="H59" i="4"/>
  <c r="J59" i="4"/>
  <c r="H62" i="4"/>
  <c r="J62" i="4"/>
  <c r="J64" i="4"/>
  <c r="H64" i="4"/>
  <c r="H71" i="4"/>
  <c r="J71" i="4"/>
  <c r="H75" i="4"/>
  <c r="J75" i="4"/>
  <c r="N2" i="4"/>
  <c r="G3" i="4"/>
  <c r="N4" i="4"/>
  <c r="G5" i="4"/>
  <c r="N6" i="4"/>
  <c r="AC7" i="4"/>
  <c r="AC8" i="4"/>
  <c r="AC9" i="4"/>
  <c r="AC10" i="4"/>
  <c r="AC11" i="4"/>
  <c r="N20" i="4"/>
  <c r="N21" i="4"/>
  <c r="N22" i="4"/>
  <c r="N23" i="4"/>
  <c r="N24" i="4"/>
  <c r="N25" i="4"/>
  <c r="N26" i="4"/>
  <c r="N27" i="4"/>
  <c r="N28" i="4"/>
  <c r="N29" i="4"/>
  <c r="O31" i="4"/>
  <c r="P31" i="4" s="1"/>
  <c r="O32" i="4"/>
  <c r="P32" i="4" s="1"/>
  <c r="O33" i="4"/>
  <c r="P33" i="4" s="1"/>
  <c r="O34" i="4"/>
  <c r="P34" i="4" s="1"/>
  <c r="O35" i="4"/>
  <c r="P35" i="4" s="1"/>
  <c r="N80" i="4"/>
  <c r="Q80" i="4"/>
  <c r="M80" i="4"/>
  <c r="N82" i="4"/>
  <c r="Q82" i="4"/>
  <c r="M82" i="4"/>
  <c r="O82" i="4"/>
  <c r="H142" i="4"/>
  <c r="J142" i="4"/>
  <c r="H146" i="4"/>
  <c r="J146" i="4"/>
  <c r="H151" i="4"/>
  <c r="J151" i="4"/>
  <c r="H157" i="4"/>
  <c r="J157" i="4"/>
  <c r="J2" i="4"/>
  <c r="O2" i="4"/>
  <c r="M3" i="4"/>
  <c r="P3" i="4" s="1"/>
  <c r="J4" i="4"/>
  <c r="O4" i="4"/>
  <c r="M5" i="4"/>
  <c r="P5" i="4" s="1"/>
  <c r="J6" i="4"/>
  <c r="O6" i="4"/>
  <c r="H7" i="4"/>
  <c r="AD8" i="4" s="1"/>
  <c r="AF8" i="4" s="1"/>
  <c r="M7" i="4"/>
  <c r="P7" i="4" s="1"/>
  <c r="Q7" i="4"/>
  <c r="H8" i="4"/>
  <c r="M8" i="4"/>
  <c r="P8" i="4" s="1"/>
  <c r="Q8" i="4"/>
  <c r="H9" i="4"/>
  <c r="AD10" i="4" s="1"/>
  <c r="AF10" i="4" s="1"/>
  <c r="M9" i="4"/>
  <c r="P9" i="4" s="1"/>
  <c r="Q9" i="4"/>
  <c r="H10" i="4"/>
  <c r="M10" i="4"/>
  <c r="P10" i="4" s="1"/>
  <c r="Q10" i="4"/>
  <c r="H11" i="4"/>
  <c r="AD2" i="4" s="1"/>
  <c r="M11" i="4"/>
  <c r="P11" i="4" s="1"/>
  <c r="Q11" i="4"/>
  <c r="H12" i="4"/>
  <c r="M12" i="4"/>
  <c r="P12" i="4" s="1"/>
  <c r="Q12" i="4"/>
  <c r="H13" i="4"/>
  <c r="AD4" i="4" s="1"/>
  <c r="M13" i="4"/>
  <c r="P13" i="4" s="1"/>
  <c r="Q13" i="4"/>
  <c r="Q14" i="4"/>
  <c r="J20" i="4"/>
  <c r="O20" i="4"/>
  <c r="J21" i="4"/>
  <c r="O21" i="4"/>
  <c r="J22" i="4"/>
  <c r="O22" i="4"/>
  <c r="J23" i="4"/>
  <c r="O23" i="4"/>
  <c r="J24" i="4"/>
  <c r="O24" i="4"/>
  <c r="J25" i="4"/>
  <c r="O25" i="4"/>
  <c r="J26" i="4"/>
  <c r="O26" i="4"/>
  <c r="J27" i="4"/>
  <c r="O27" i="4"/>
  <c r="J28" i="4"/>
  <c r="O28" i="4"/>
  <c r="J29" i="4"/>
  <c r="O29" i="4"/>
  <c r="H41" i="4"/>
  <c r="M41" i="4"/>
  <c r="Q41" i="4"/>
  <c r="H42" i="4"/>
  <c r="AD5" i="4" s="1"/>
  <c r="M42" i="4"/>
  <c r="Q42" i="4"/>
  <c r="H46" i="4"/>
  <c r="M46" i="4"/>
  <c r="Q46" i="4"/>
  <c r="H48" i="4"/>
  <c r="M48" i="4"/>
  <c r="Q48" i="4"/>
  <c r="H54" i="4"/>
  <c r="AD7" i="4" s="1"/>
  <c r="M54" i="4"/>
  <c r="Q54" i="4"/>
  <c r="O56" i="4"/>
  <c r="H58" i="4"/>
  <c r="M58" i="4"/>
  <c r="Q58" i="4"/>
  <c r="O63" i="4"/>
  <c r="H65" i="4"/>
  <c r="M65" i="4"/>
  <c r="Q65" i="4"/>
  <c r="O67" i="4"/>
  <c r="H69" i="4"/>
  <c r="M69" i="4"/>
  <c r="Q69" i="4"/>
  <c r="H73" i="4"/>
  <c r="M73" i="4"/>
  <c r="Q73" i="4"/>
  <c r="H78" i="4"/>
  <c r="H79" i="4"/>
  <c r="O80" i="4"/>
  <c r="H81" i="4"/>
  <c r="H106" i="4"/>
  <c r="J106" i="4"/>
  <c r="H110" i="4"/>
  <c r="J110" i="4"/>
  <c r="H114" i="4"/>
  <c r="J114" i="4"/>
  <c r="H147" i="4"/>
  <c r="J147" i="4"/>
  <c r="H154" i="4"/>
  <c r="J154" i="4"/>
  <c r="AC2" i="4"/>
  <c r="AQ3" i="4" s="1"/>
  <c r="AC4" i="4"/>
  <c r="AQ2" i="4" s="1"/>
  <c r="N41" i="4"/>
  <c r="N42" i="4"/>
  <c r="M43" i="4"/>
  <c r="P43" i="4" s="1"/>
  <c r="Q43" i="4"/>
  <c r="N46" i="4"/>
  <c r="M47" i="4"/>
  <c r="P47" i="4" s="1"/>
  <c r="Q47" i="4"/>
  <c r="N48" i="4"/>
  <c r="M49" i="4"/>
  <c r="P49" i="4" s="1"/>
  <c r="Q49" i="4"/>
  <c r="M51" i="4"/>
  <c r="P51" i="4" s="1"/>
  <c r="Q51" i="4"/>
  <c r="N54" i="4"/>
  <c r="M55" i="4"/>
  <c r="P55" i="4" s="1"/>
  <c r="Q55" i="4"/>
  <c r="N58" i="4"/>
  <c r="M59" i="4"/>
  <c r="P59" i="4" s="1"/>
  <c r="Q59" i="4"/>
  <c r="M60" i="4"/>
  <c r="P60" i="4" s="1"/>
  <c r="Q60" i="4"/>
  <c r="M62" i="4"/>
  <c r="P62" i="4" s="1"/>
  <c r="Q62" i="4"/>
  <c r="N65" i="4"/>
  <c r="M66" i="4"/>
  <c r="P66" i="4" s="1"/>
  <c r="Q66" i="4"/>
  <c r="N69" i="4"/>
  <c r="M70" i="4"/>
  <c r="P70" i="4" s="1"/>
  <c r="Q70" i="4"/>
  <c r="N73" i="4"/>
  <c r="M74" i="4"/>
  <c r="P74" i="4" s="1"/>
  <c r="Q74" i="4"/>
  <c r="J83" i="4"/>
  <c r="H98" i="4"/>
  <c r="J98" i="4"/>
  <c r="H119" i="4"/>
  <c r="J119" i="4"/>
  <c r="H123" i="4"/>
  <c r="J123" i="4"/>
  <c r="H150" i="4"/>
  <c r="J150" i="4"/>
  <c r="H156" i="4"/>
  <c r="J156" i="4"/>
  <c r="H160" i="4"/>
  <c r="J160" i="4"/>
  <c r="M2" i="4"/>
  <c r="P2" i="4" s="1"/>
  <c r="M4" i="4"/>
  <c r="P4" i="4" s="1"/>
  <c r="M6" i="4"/>
  <c r="P6" i="4" s="1"/>
  <c r="M20" i="4"/>
  <c r="P20" i="4" s="1"/>
  <c r="M21" i="4"/>
  <c r="P21" i="4" s="1"/>
  <c r="M22" i="4"/>
  <c r="P22" i="4" s="1"/>
  <c r="M23" i="4"/>
  <c r="P23" i="4" s="1"/>
  <c r="M24" i="4"/>
  <c r="P24" i="4" s="1"/>
  <c r="M25" i="4"/>
  <c r="P25" i="4" s="1"/>
  <c r="M26" i="4"/>
  <c r="P26" i="4" s="1"/>
  <c r="M27" i="4"/>
  <c r="P27" i="4" s="1"/>
  <c r="M28" i="4"/>
  <c r="P28" i="4" s="1"/>
  <c r="M29" i="4"/>
  <c r="P29" i="4" s="1"/>
  <c r="M44" i="4"/>
  <c r="P44" i="4" s="1"/>
  <c r="M50" i="4"/>
  <c r="P50" i="4" s="1"/>
  <c r="M52" i="4"/>
  <c r="P52" i="4" s="1"/>
  <c r="M56" i="4"/>
  <c r="P56" i="4" s="1"/>
  <c r="M61" i="4"/>
  <c r="P61" i="4" s="1"/>
  <c r="M63" i="4"/>
  <c r="P63" i="4" s="1"/>
  <c r="M67" i="4"/>
  <c r="P67" i="4" s="1"/>
  <c r="M71" i="4"/>
  <c r="P71" i="4" s="1"/>
  <c r="M75" i="4"/>
  <c r="P75" i="4" s="1"/>
  <c r="Q79" i="4"/>
  <c r="O81" i="4"/>
  <c r="N81" i="4"/>
  <c r="P81" i="4" s="1"/>
  <c r="H90" i="4"/>
  <c r="J90" i="4"/>
  <c r="H94" i="4"/>
  <c r="J94" i="4"/>
  <c r="H102" i="4"/>
  <c r="J102" i="4"/>
  <c r="H103" i="4"/>
  <c r="J103" i="4"/>
  <c r="P116" i="4"/>
  <c r="P120" i="4"/>
  <c r="H155" i="4"/>
  <c r="J155" i="4"/>
  <c r="J86" i="4"/>
  <c r="O86" i="4"/>
  <c r="J89" i="4"/>
  <c r="O89" i="4"/>
  <c r="J93" i="4"/>
  <c r="O93" i="4"/>
  <c r="J97" i="4"/>
  <c r="O97" i="4"/>
  <c r="J99" i="4"/>
  <c r="O99" i="4"/>
  <c r="J101" i="4"/>
  <c r="O101" i="4"/>
  <c r="J105" i="4"/>
  <c r="O105" i="4"/>
  <c r="J109" i="4"/>
  <c r="O109" i="4"/>
  <c r="J113" i="4"/>
  <c r="O113" i="4"/>
  <c r="J118" i="4"/>
  <c r="O118" i="4"/>
  <c r="J122" i="4"/>
  <c r="O122" i="4"/>
  <c r="J125" i="4"/>
  <c r="Q126" i="4"/>
  <c r="Q127" i="4"/>
  <c r="J129" i="4"/>
  <c r="Q130" i="4"/>
  <c r="Q131" i="4"/>
  <c r="J133" i="4"/>
  <c r="Q134" i="4"/>
  <c r="Q135" i="4"/>
  <c r="J137" i="4"/>
  <c r="Q138" i="4"/>
  <c r="Q139" i="4"/>
  <c r="J141" i="4"/>
  <c r="N145" i="4"/>
  <c r="O146" i="4"/>
  <c r="H148" i="4"/>
  <c r="P148" i="4"/>
  <c r="H152" i="4"/>
  <c r="O159" i="4"/>
  <c r="N159" i="4"/>
  <c r="H169" i="4"/>
  <c r="J169" i="4"/>
  <c r="O171" i="4"/>
  <c r="N171" i="4"/>
  <c r="Q171" i="4"/>
  <c r="M171" i="4"/>
  <c r="J177" i="4"/>
  <c r="H177" i="4"/>
  <c r="J206" i="4"/>
  <c r="H206" i="4"/>
  <c r="J210" i="4"/>
  <c r="H210" i="4"/>
  <c r="N217" i="4"/>
  <c r="Q217" i="4"/>
  <c r="M217" i="4"/>
  <c r="O217" i="4"/>
  <c r="H237" i="4"/>
  <c r="J237" i="4"/>
  <c r="H259" i="4"/>
  <c r="J259" i="4"/>
  <c r="J276" i="4"/>
  <c r="H276" i="4"/>
  <c r="H289" i="4"/>
  <c r="J289" i="4"/>
  <c r="Q96" i="4"/>
  <c r="Q144" i="4"/>
  <c r="Q147" i="4"/>
  <c r="M147" i="4"/>
  <c r="Q151" i="4"/>
  <c r="M151" i="4"/>
  <c r="Q155" i="4"/>
  <c r="M155" i="4"/>
  <c r="M159" i="4"/>
  <c r="O163" i="4"/>
  <c r="N163" i="4"/>
  <c r="H166" i="4"/>
  <c r="O167" i="4"/>
  <c r="N167" i="4"/>
  <c r="Q167" i="4"/>
  <c r="M167" i="4"/>
  <c r="J175" i="4"/>
  <c r="H175" i="4"/>
  <c r="H179" i="4"/>
  <c r="J179" i="4"/>
  <c r="H180" i="4"/>
  <c r="O181" i="4"/>
  <c r="N181" i="4"/>
  <c r="Q181" i="4"/>
  <c r="M181" i="4"/>
  <c r="H193" i="4"/>
  <c r="J193" i="4"/>
  <c r="H195" i="4"/>
  <c r="J195" i="4"/>
  <c r="H200" i="4"/>
  <c r="J200" i="4"/>
  <c r="H202" i="4"/>
  <c r="J202" i="4"/>
  <c r="H212" i="4"/>
  <c r="J212" i="4"/>
  <c r="H221" i="4"/>
  <c r="J221" i="4"/>
  <c r="J229" i="4"/>
  <c r="H229" i="4"/>
  <c r="O236" i="4"/>
  <c r="N236" i="4"/>
  <c r="Q236" i="4"/>
  <c r="M236" i="4"/>
  <c r="H255" i="4"/>
  <c r="J255" i="4"/>
  <c r="N272" i="4"/>
  <c r="O272" i="4"/>
  <c r="M272" i="4"/>
  <c r="Q272" i="4"/>
  <c r="N85" i="4"/>
  <c r="P85" i="4" s="1"/>
  <c r="M86" i="4"/>
  <c r="P86" i="4" s="1"/>
  <c r="Q86" i="4"/>
  <c r="N88" i="4"/>
  <c r="P88" i="4" s="1"/>
  <c r="M89" i="4"/>
  <c r="P89" i="4" s="1"/>
  <c r="Q89" i="4"/>
  <c r="N92" i="4"/>
  <c r="P92" i="4" s="1"/>
  <c r="M93" i="4"/>
  <c r="P93" i="4" s="1"/>
  <c r="Q93" i="4"/>
  <c r="N96" i="4"/>
  <c r="P96" i="4" s="1"/>
  <c r="M97" i="4"/>
  <c r="P97" i="4" s="1"/>
  <c r="Q97" i="4"/>
  <c r="M99" i="4"/>
  <c r="P99" i="4" s="1"/>
  <c r="Q99" i="4"/>
  <c r="N100" i="4"/>
  <c r="P100" i="4" s="1"/>
  <c r="M101" i="4"/>
  <c r="P101" i="4" s="1"/>
  <c r="Q101" i="4"/>
  <c r="N104" i="4"/>
  <c r="P104" i="4" s="1"/>
  <c r="M105" i="4"/>
  <c r="P105" i="4" s="1"/>
  <c r="Q105" i="4"/>
  <c r="N108" i="4"/>
  <c r="P108" i="4" s="1"/>
  <c r="M109" i="4"/>
  <c r="P109" i="4" s="1"/>
  <c r="Q109" i="4"/>
  <c r="N112" i="4"/>
  <c r="P112" i="4" s="1"/>
  <c r="M113" i="4"/>
  <c r="P113" i="4" s="1"/>
  <c r="Q113" i="4"/>
  <c r="N115" i="4"/>
  <c r="P115" i="4" s="1"/>
  <c r="N117" i="4"/>
  <c r="P117" i="4" s="1"/>
  <c r="M118" i="4"/>
  <c r="P118" i="4" s="1"/>
  <c r="Q118" i="4"/>
  <c r="N121" i="4"/>
  <c r="P121" i="4" s="1"/>
  <c r="M122" i="4"/>
  <c r="P122" i="4" s="1"/>
  <c r="Q122" i="4"/>
  <c r="P125" i="4"/>
  <c r="H126" i="4"/>
  <c r="N126" i="4"/>
  <c r="P126" i="4" s="1"/>
  <c r="O127" i="4"/>
  <c r="P127" i="4" s="1"/>
  <c r="J128" i="4"/>
  <c r="P129" i="4"/>
  <c r="H130" i="4"/>
  <c r="N130" i="4"/>
  <c r="P130" i="4" s="1"/>
  <c r="O131" i="4"/>
  <c r="P131" i="4" s="1"/>
  <c r="J132" i="4"/>
  <c r="P133" i="4"/>
  <c r="H134" i="4"/>
  <c r="N134" i="4"/>
  <c r="P134" i="4" s="1"/>
  <c r="O135" i="4"/>
  <c r="P135" i="4" s="1"/>
  <c r="J136" i="4"/>
  <c r="H138" i="4"/>
  <c r="N138" i="4"/>
  <c r="P138" i="4" s="1"/>
  <c r="Q142" i="4"/>
  <c r="M142" i="4"/>
  <c r="M144" i="4"/>
  <c r="P144" i="4" s="1"/>
  <c r="Q145" i="4"/>
  <c r="Q146" i="4"/>
  <c r="N147" i="4"/>
  <c r="Q149" i="4"/>
  <c r="Q150" i="4"/>
  <c r="N151" i="4"/>
  <c r="Q153" i="4"/>
  <c r="Q154" i="4"/>
  <c r="N155" i="4"/>
  <c r="Q156" i="4"/>
  <c r="J158" i="4"/>
  <c r="H159" i="4"/>
  <c r="N160" i="4"/>
  <c r="Q160" i="4"/>
  <c r="M160" i="4"/>
  <c r="P160" i="4" s="1"/>
  <c r="J163" i="4"/>
  <c r="M163" i="4"/>
  <c r="P163" i="4" s="1"/>
  <c r="J164" i="4"/>
  <c r="J165" i="4"/>
  <c r="J171" i="4"/>
  <c r="H171" i="4"/>
  <c r="J172" i="4"/>
  <c r="J174" i="4"/>
  <c r="H176" i="4"/>
  <c r="O177" i="4"/>
  <c r="N177" i="4"/>
  <c r="Q177" i="4"/>
  <c r="M177" i="4"/>
  <c r="P177" i="4" s="1"/>
  <c r="H189" i="4"/>
  <c r="J189" i="4"/>
  <c r="J190" i="4"/>
  <c r="N206" i="4"/>
  <c r="O206" i="4"/>
  <c r="M206" i="4"/>
  <c r="N210" i="4"/>
  <c r="O210" i="4"/>
  <c r="M210" i="4"/>
  <c r="H217" i="4"/>
  <c r="J217" i="4"/>
  <c r="H243" i="4"/>
  <c r="J243" i="4"/>
  <c r="Q124" i="4"/>
  <c r="M124" i="4"/>
  <c r="P124" i="4" s="1"/>
  <c r="Q128" i="4"/>
  <c r="M128" i="4"/>
  <c r="P128" i="4" s="1"/>
  <c r="Q132" i="4"/>
  <c r="M132" i="4"/>
  <c r="P132" i="4" s="1"/>
  <c r="Q136" i="4"/>
  <c r="M136" i="4"/>
  <c r="P136" i="4" s="1"/>
  <c r="Q140" i="4"/>
  <c r="M140" i="4"/>
  <c r="P140" i="4" s="1"/>
  <c r="N142" i="4"/>
  <c r="O144" i="4"/>
  <c r="J145" i="4"/>
  <c r="M145" i="4"/>
  <c r="P145" i="4" s="1"/>
  <c r="M146" i="4"/>
  <c r="P146" i="4" s="1"/>
  <c r="O147" i="4"/>
  <c r="J149" i="4"/>
  <c r="M149" i="4"/>
  <c r="P149" i="4" s="1"/>
  <c r="M150" i="4"/>
  <c r="P150" i="4" s="1"/>
  <c r="O151" i="4"/>
  <c r="J153" i="4"/>
  <c r="M153" i="4"/>
  <c r="P153" i="4" s="1"/>
  <c r="M154" i="4"/>
  <c r="P154" i="4" s="1"/>
  <c r="O155" i="4"/>
  <c r="M156" i="4"/>
  <c r="P156" i="4" s="1"/>
  <c r="H158" i="4"/>
  <c r="Q159" i="4"/>
  <c r="O160" i="4"/>
  <c r="J162" i="4"/>
  <c r="P162" i="4"/>
  <c r="N164" i="4"/>
  <c r="Q164" i="4"/>
  <c r="M164" i="4"/>
  <c r="P164" i="4" s="1"/>
  <c r="J167" i="4"/>
  <c r="H167" i="4"/>
  <c r="J168" i="4"/>
  <c r="J170" i="4"/>
  <c r="H173" i="4"/>
  <c r="J173" i="4"/>
  <c r="H174" i="4"/>
  <c r="O175" i="4"/>
  <c r="N175" i="4"/>
  <c r="Q175" i="4"/>
  <c r="M175" i="4"/>
  <c r="J181" i="4"/>
  <c r="H181" i="4"/>
  <c r="J182" i="4"/>
  <c r="O187" i="4"/>
  <c r="N187" i="4"/>
  <c r="M187" i="4"/>
  <c r="P187" i="4" s="1"/>
  <c r="H196" i="4"/>
  <c r="J196" i="4"/>
  <c r="H203" i="4"/>
  <c r="J203" i="4"/>
  <c r="O205" i="4"/>
  <c r="N205" i="4"/>
  <c r="M205" i="4"/>
  <c r="P205" i="4" s="1"/>
  <c r="Q206" i="4"/>
  <c r="H207" i="4"/>
  <c r="J207" i="4"/>
  <c r="O209" i="4"/>
  <c r="N209" i="4"/>
  <c r="M209" i="4"/>
  <c r="Q210" i="4"/>
  <c r="H211" i="4"/>
  <c r="J211" i="4"/>
  <c r="H222" i="4"/>
  <c r="J222" i="4"/>
  <c r="J234" i="4"/>
  <c r="H234" i="4"/>
  <c r="J249" i="4"/>
  <c r="H249" i="4"/>
  <c r="H261" i="4"/>
  <c r="J261" i="4"/>
  <c r="J264" i="4"/>
  <c r="H264" i="4"/>
  <c r="Q184" i="4"/>
  <c r="M184" i="4"/>
  <c r="Q190" i="4"/>
  <c r="M190" i="4"/>
  <c r="Q194" i="4"/>
  <c r="M194" i="4"/>
  <c r="Q201" i="4"/>
  <c r="M201" i="4"/>
  <c r="P215" i="4"/>
  <c r="O220" i="4"/>
  <c r="N220" i="4"/>
  <c r="J225" i="4"/>
  <c r="H225" i="4"/>
  <c r="P227" i="4"/>
  <c r="J240" i="4"/>
  <c r="H240" i="4"/>
  <c r="P242" i="4"/>
  <c r="N253" i="4"/>
  <c r="O253" i="4"/>
  <c r="M253" i="4"/>
  <c r="P253" i="4" s="1"/>
  <c r="H256" i="4"/>
  <c r="J256" i="4"/>
  <c r="J260" i="4"/>
  <c r="H260" i="4"/>
  <c r="N268" i="4"/>
  <c r="O268" i="4"/>
  <c r="M268" i="4"/>
  <c r="P268" i="4" s="1"/>
  <c r="O271" i="4"/>
  <c r="N271" i="4"/>
  <c r="M271" i="4"/>
  <c r="H273" i="4"/>
  <c r="J273" i="4"/>
  <c r="M168" i="4"/>
  <c r="P168" i="4" s="1"/>
  <c r="Q168" i="4"/>
  <c r="M172" i="4"/>
  <c r="P172" i="4" s="1"/>
  <c r="Q172" i="4"/>
  <c r="M178" i="4"/>
  <c r="P178" i="4" s="1"/>
  <c r="Q178" i="4"/>
  <c r="M182" i="4"/>
  <c r="P182" i="4" s="1"/>
  <c r="Q182" i="4"/>
  <c r="M183" i="4"/>
  <c r="P183" i="4" s="1"/>
  <c r="Q183" i="4"/>
  <c r="N184" i="4"/>
  <c r="P186" i="4"/>
  <c r="H187" i="4"/>
  <c r="Q188" i="4"/>
  <c r="Q189" i="4"/>
  <c r="N190" i="4"/>
  <c r="Q192" i="4"/>
  <c r="Q193" i="4"/>
  <c r="N194" i="4"/>
  <c r="Q195" i="4"/>
  <c r="M195" i="4"/>
  <c r="P197" i="4"/>
  <c r="H198" i="4"/>
  <c r="Q199" i="4"/>
  <c r="Q200" i="4"/>
  <c r="N201" i="4"/>
  <c r="Q202" i="4"/>
  <c r="M202" i="4"/>
  <c r="P204" i="4"/>
  <c r="H205" i="4"/>
  <c r="P208" i="4"/>
  <c r="H209" i="4"/>
  <c r="P214" i="4"/>
  <c r="O216" i="4"/>
  <c r="N216" i="4"/>
  <c r="M220" i="4"/>
  <c r="P220" i="4" s="1"/>
  <c r="P223" i="4"/>
  <c r="O229" i="4"/>
  <c r="N229" i="4"/>
  <c r="Q229" i="4"/>
  <c r="M229" i="4"/>
  <c r="P229" i="4" s="1"/>
  <c r="P230" i="4"/>
  <c r="O234" i="4"/>
  <c r="N234" i="4"/>
  <c r="Q234" i="4"/>
  <c r="M234" i="4"/>
  <c r="J236" i="4"/>
  <c r="H236" i="4"/>
  <c r="P238" i="4"/>
  <c r="P244" i="4"/>
  <c r="P245" i="4"/>
  <c r="O249" i="4"/>
  <c r="N249" i="4"/>
  <c r="Q249" i="4"/>
  <c r="M249" i="4"/>
  <c r="P249" i="4" s="1"/>
  <c r="P250" i="4"/>
  <c r="J257" i="4"/>
  <c r="N264" i="4"/>
  <c r="O264" i="4"/>
  <c r="M264" i="4"/>
  <c r="O267" i="4"/>
  <c r="N267" i="4"/>
  <c r="M267" i="4"/>
  <c r="H269" i="4"/>
  <c r="J269" i="4"/>
  <c r="J272" i="4"/>
  <c r="H272" i="4"/>
  <c r="M157" i="4"/>
  <c r="P157" i="4" s="1"/>
  <c r="M161" i="4"/>
  <c r="P161" i="4" s="1"/>
  <c r="M165" i="4"/>
  <c r="P165" i="4" s="1"/>
  <c r="M169" i="4"/>
  <c r="P169" i="4" s="1"/>
  <c r="M173" i="4"/>
  <c r="P173" i="4" s="1"/>
  <c r="M179" i="4"/>
  <c r="P179" i="4" s="1"/>
  <c r="O184" i="4"/>
  <c r="J188" i="4"/>
  <c r="M188" i="4"/>
  <c r="P188" i="4" s="1"/>
  <c r="M189" i="4"/>
  <c r="P189" i="4" s="1"/>
  <c r="O190" i="4"/>
  <c r="J192" i="4"/>
  <c r="M192" i="4"/>
  <c r="P192" i="4" s="1"/>
  <c r="M193" i="4"/>
  <c r="P193" i="4" s="1"/>
  <c r="O194" i="4"/>
  <c r="N195" i="4"/>
  <c r="Q196" i="4"/>
  <c r="M196" i="4"/>
  <c r="P196" i="4" s="1"/>
  <c r="J199" i="4"/>
  <c r="M199" i="4"/>
  <c r="P199" i="4" s="1"/>
  <c r="M200" i="4"/>
  <c r="P200" i="4" s="1"/>
  <c r="O201" i="4"/>
  <c r="N202" i="4"/>
  <c r="Q203" i="4"/>
  <c r="M203" i="4"/>
  <c r="P203" i="4" s="1"/>
  <c r="Q207" i="4"/>
  <c r="M207" i="4"/>
  <c r="P207" i="4" s="1"/>
  <c r="N211" i="4"/>
  <c r="Q211" i="4"/>
  <c r="M211" i="4"/>
  <c r="P211" i="4" s="1"/>
  <c r="J213" i="4"/>
  <c r="P213" i="4"/>
  <c r="J216" i="4"/>
  <c r="M216" i="4"/>
  <c r="P216" i="4" s="1"/>
  <c r="J218" i="4"/>
  <c r="H220" i="4"/>
  <c r="AD17" i="4" s="1"/>
  <c r="AF17" i="4" s="1"/>
  <c r="N221" i="4"/>
  <c r="Q221" i="4"/>
  <c r="M221" i="4"/>
  <c r="P221" i="4" s="1"/>
  <c r="O225" i="4"/>
  <c r="N225" i="4"/>
  <c r="Q225" i="4"/>
  <c r="M225" i="4"/>
  <c r="P225" i="4" s="1"/>
  <c r="P226" i="4"/>
  <c r="J228" i="4"/>
  <c r="P228" i="4"/>
  <c r="O240" i="4"/>
  <c r="N240" i="4"/>
  <c r="Q240" i="4"/>
  <c r="M240" i="4"/>
  <c r="P240" i="4" s="1"/>
  <c r="P241" i="4"/>
  <c r="P248" i="4"/>
  <c r="J253" i="4"/>
  <c r="H253" i="4"/>
  <c r="Q256" i="4"/>
  <c r="M256" i="4"/>
  <c r="O256" i="4"/>
  <c r="N256" i="4"/>
  <c r="N260" i="4"/>
  <c r="O260" i="4"/>
  <c r="M260" i="4"/>
  <c r="O263" i="4"/>
  <c r="N263" i="4"/>
  <c r="M263" i="4"/>
  <c r="Q264" i="4"/>
  <c r="H265" i="4"/>
  <c r="J265" i="4"/>
  <c r="Q267" i="4"/>
  <c r="J268" i="4"/>
  <c r="H268" i="4"/>
  <c r="Q278" i="4"/>
  <c r="M278" i="4"/>
  <c r="O278" i="4"/>
  <c r="N278" i="4"/>
  <c r="N224" i="4"/>
  <c r="P224" i="4" s="1"/>
  <c r="N228" i="4"/>
  <c r="N232" i="4"/>
  <c r="P232" i="4" s="1"/>
  <c r="N233" i="4"/>
  <c r="P233" i="4" s="1"/>
  <c r="N235" i="4"/>
  <c r="P235" i="4" s="1"/>
  <c r="N239" i="4"/>
  <c r="P239" i="4" s="1"/>
  <c r="N246" i="4"/>
  <c r="P246" i="4" s="1"/>
  <c r="N247" i="4"/>
  <c r="P247" i="4" s="1"/>
  <c r="N252" i="4"/>
  <c r="P252" i="4" s="1"/>
  <c r="Q254" i="4"/>
  <c r="Q255" i="4"/>
  <c r="Q258" i="4"/>
  <c r="Q259" i="4"/>
  <c r="J263" i="4"/>
  <c r="J275" i="4"/>
  <c r="H275" i="4"/>
  <c r="J280" i="4"/>
  <c r="H280" i="4"/>
  <c r="P285" i="4"/>
  <c r="J287" i="4"/>
  <c r="H287" i="4"/>
  <c r="J254" i="4"/>
  <c r="J258" i="4"/>
  <c r="P262" i="4"/>
  <c r="H263" i="4"/>
  <c r="P266" i="4"/>
  <c r="H267" i="4"/>
  <c r="P270" i="4"/>
  <c r="H271" i="4"/>
  <c r="P274" i="4"/>
  <c r="O276" i="4"/>
  <c r="Q276" i="4"/>
  <c r="M276" i="4"/>
  <c r="P276" i="4" s="1"/>
  <c r="H278" i="4"/>
  <c r="J278" i="4"/>
  <c r="P279" i="4"/>
  <c r="H285" i="4"/>
  <c r="J285" i="4"/>
  <c r="P257" i="4"/>
  <c r="Q261" i="4"/>
  <c r="M261" i="4"/>
  <c r="P261" i="4" s="1"/>
  <c r="Q265" i="4"/>
  <c r="M265" i="4"/>
  <c r="P265" i="4" s="1"/>
  <c r="Q269" i="4"/>
  <c r="M269" i="4"/>
  <c r="P269" i="4" s="1"/>
  <c r="Q273" i="4"/>
  <c r="M273" i="4"/>
  <c r="P273" i="4" s="1"/>
  <c r="O275" i="4"/>
  <c r="Q275" i="4"/>
  <c r="M275" i="4"/>
  <c r="O280" i="4"/>
  <c r="N280" i="4"/>
  <c r="Q280" i="4"/>
  <c r="M280" i="4"/>
  <c r="P281" i="4"/>
  <c r="J283" i="4"/>
  <c r="H283" i="4"/>
  <c r="P289" i="4"/>
  <c r="J291" i="4"/>
  <c r="H291" i="4"/>
  <c r="Q294" i="4"/>
  <c r="Q296" i="4"/>
  <c r="Q298" i="4"/>
  <c r="Q300" i="4"/>
  <c r="Q302" i="4"/>
  <c r="Q304" i="4"/>
  <c r="Q306" i="4"/>
  <c r="Q308" i="4"/>
  <c r="Q310" i="4"/>
  <c r="Q312" i="4"/>
  <c r="Q314" i="4"/>
  <c r="Q316" i="4"/>
  <c r="Q318" i="4"/>
  <c r="Q320" i="4"/>
  <c r="H324" i="4"/>
  <c r="J324" i="4"/>
  <c r="K324" i="4" s="1"/>
  <c r="O333" i="4"/>
  <c r="N333" i="4"/>
  <c r="Q333" i="4"/>
  <c r="M333" i="4"/>
  <c r="P333" i="4" s="1"/>
  <c r="H341" i="4"/>
  <c r="J341" i="4"/>
  <c r="K341" i="4" s="1"/>
  <c r="J346" i="4"/>
  <c r="K346" i="4" s="1"/>
  <c r="H346" i="4"/>
  <c r="O349" i="4"/>
  <c r="N349" i="4"/>
  <c r="Q349" i="4"/>
  <c r="M349" i="4"/>
  <c r="P349" i="4" s="1"/>
  <c r="J352" i="4"/>
  <c r="K352" i="4" s="1"/>
  <c r="H352" i="4"/>
  <c r="Q356" i="4"/>
  <c r="M356" i="4"/>
  <c r="P356" i="4" s="1"/>
  <c r="O356" i="4"/>
  <c r="N356" i="4"/>
  <c r="J364" i="4"/>
  <c r="K364" i="4" s="1"/>
  <c r="H364" i="4"/>
  <c r="J375" i="4"/>
  <c r="K375" i="4" s="1"/>
  <c r="H375" i="4"/>
  <c r="J379" i="4"/>
  <c r="K379" i="4" s="1"/>
  <c r="H379" i="4"/>
  <c r="J282" i="4"/>
  <c r="O282" i="4"/>
  <c r="H284" i="4"/>
  <c r="M284" i="4"/>
  <c r="Q284" i="4"/>
  <c r="J286" i="4"/>
  <c r="O286" i="4"/>
  <c r="H288" i="4"/>
  <c r="M288" i="4"/>
  <c r="Q288" i="4"/>
  <c r="J290" i="4"/>
  <c r="O290" i="4"/>
  <c r="J292" i="4"/>
  <c r="H294" i="4"/>
  <c r="M294" i="4"/>
  <c r="P295" i="4"/>
  <c r="H296" i="4"/>
  <c r="M296" i="4"/>
  <c r="P297" i="4"/>
  <c r="H298" i="4"/>
  <c r="M298" i="4"/>
  <c r="P299" i="4"/>
  <c r="H300" i="4"/>
  <c r="M300" i="4"/>
  <c r="P301" i="4"/>
  <c r="H302" i="4"/>
  <c r="M302" i="4"/>
  <c r="P303" i="4"/>
  <c r="H304" i="4"/>
  <c r="M304" i="4"/>
  <c r="P305" i="4"/>
  <c r="H306" i="4"/>
  <c r="M306" i="4"/>
  <c r="P307" i="4"/>
  <c r="H308" i="4"/>
  <c r="M308" i="4"/>
  <c r="P309" i="4"/>
  <c r="H310" i="4"/>
  <c r="M310" i="4"/>
  <c r="P311" i="4"/>
  <c r="H312" i="4"/>
  <c r="M312" i="4"/>
  <c r="P313" i="4"/>
  <c r="H314" i="4"/>
  <c r="M314" i="4"/>
  <c r="P315" i="4"/>
  <c r="H316" i="4"/>
  <c r="M316" i="4"/>
  <c r="P317" i="4"/>
  <c r="H318" i="4"/>
  <c r="M318" i="4"/>
  <c r="P319" i="4"/>
  <c r="H320" i="4"/>
  <c r="M320" i="4"/>
  <c r="O322" i="4"/>
  <c r="N322" i="4"/>
  <c r="Q322" i="4"/>
  <c r="M322" i="4"/>
  <c r="H327" i="4"/>
  <c r="O331" i="4"/>
  <c r="N331" i="4"/>
  <c r="Q331" i="4"/>
  <c r="M331" i="4"/>
  <c r="H335" i="4"/>
  <c r="J340" i="4"/>
  <c r="K340" i="4" s="1"/>
  <c r="H340" i="4"/>
  <c r="H343" i="4"/>
  <c r="J343" i="4"/>
  <c r="K343" i="4" s="1"/>
  <c r="H351" i="4"/>
  <c r="O353" i="4"/>
  <c r="N353" i="4"/>
  <c r="M353" i="4"/>
  <c r="P353" i="4" s="1"/>
  <c r="H358" i="4"/>
  <c r="J358" i="4"/>
  <c r="K358" i="4" s="1"/>
  <c r="O361" i="4"/>
  <c r="N361" i="4"/>
  <c r="M361" i="4"/>
  <c r="H381" i="4"/>
  <c r="J381" i="4"/>
  <c r="K381" i="4" s="1"/>
  <c r="H388" i="4"/>
  <c r="J388" i="4"/>
  <c r="K388" i="4" s="1"/>
  <c r="N284" i="4"/>
  <c r="N288" i="4"/>
  <c r="Q293" i="4"/>
  <c r="O294" i="4"/>
  <c r="J295" i="4"/>
  <c r="K295" i="4" s="1"/>
  <c r="O296" i="4"/>
  <c r="J297" i="4"/>
  <c r="K297" i="4" s="1"/>
  <c r="O298" i="4"/>
  <c r="J299" i="4"/>
  <c r="K299" i="4" s="1"/>
  <c r="O300" i="4"/>
  <c r="J301" i="4"/>
  <c r="K301" i="4" s="1"/>
  <c r="O302" i="4"/>
  <c r="J303" i="4"/>
  <c r="K303" i="4" s="1"/>
  <c r="O304" i="4"/>
  <c r="J305" i="4"/>
  <c r="K305" i="4" s="1"/>
  <c r="O306" i="4"/>
  <c r="J307" i="4"/>
  <c r="K307" i="4" s="1"/>
  <c r="O308" i="4"/>
  <c r="J309" i="4"/>
  <c r="K309" i="4" s="1"/>
  <c r="O310" i="4"/>
  <c r="J311" i="4"/>
  <c r="K311" i="4" s="1"/>
  <c r="O312" i="4"/>
  <c r="J313" i="4"/>
  <c r="K313" i="4" s="1"/>
  <c r="O314" i="4"/>
  <c r="J315" i="4"/>
  <c r="K315" i="4" s="1"/>
  <c r="O316" i="4"/>
  <c r="J317" i="4"/>
  <c r="K317" i="4" s="1"/>
  <c r="O318" i="4"/>
  <c r="J319" i="4"/>
  <c r="K319" i="4" s="1"/>
  <c r="O320" i="4"/>
  <c r="J321" i="4"/>
  <c r="K321" i="4" s="1"/>
  <c r="J322" i="4"/>
  <c r="K322" i="4" s="1"/>
  <c r="J325" i="4"/>
  <c r="K325" i="4" s="1"/>
  <c r="H325" i="4"/>
  <c r="J326" i="4"/>
  <c r="K326" i="4" s="1"/>
  <c r="O329" i="4"/>
  <c r="N329" i="4"/>
  <c r="Q329" i="4"/>
  <c r="M329" i="4"/>
  <c r="P329" i="4" s="1"/>
  <c r="J331" i="4"/>
  <c r="K331" i="4" s="1"/>
  <c r="J334" i="4"/>
  <c r="K334" i="4" s="1"/>
  <c r="O337" i="4"/>
  <c r="N337" i="4"/>
  <c r="Q337" i="4"/>
  <c r="M337" i="4"/>
  <c r="J338" i="4"/>
  <c r="K338" i="4" s="1"/>
  <c r="H338" i="4"/>
  <c r="J342" i="4"/>
  <c r="K342" i="4" s="1"/>
  <c r="H342" i="4"/>
  <c r="H345" i="4"/>
  <c r="J345" i="4"/>
  <c r="K345" i="4" s="1"/>
  <c r="J350" i="4"/>
  <c r="K350" i="4" s="1"/>
  <c r="N352" i="4"/>
  <c r="O352" i="4"/>
  <c r="M352" i="4"/>
  <c r="P352" i="4" s="1"/>
  <c r="J354" i="4"/>
  <c r="K354" i="4" s="1"/>
  <c r="H354" i="4"/>
  <c r="J360" i="4"/>
  <c r="K360" i="4" s="1"/>
  <c r="J362" i="4"/>
  <c r="K362" i="4" s="1"/>
  <c r="H362" i="4"/>
  <c r="Q364" i="4"/>
  <c r="M364" i="4"/>
  <c r="O364" i="4"/>
  <c r="N364" i="4"/>
  <c r="H366" i="4"/>
  <c r="J366" i="4"/>
  <c r="K366" i="4" s="1"/>
  <c r="O380" i="4"/>
  <c r="N380" i="4"/>
  <c r="Q380" i="4"/>
  <c r="M380" i="4"/>
  <c r="M282" i="4"/>
  <c r="P282" i="4" s="1"/>
  <c r="M286" i="4"/>
  <c r="P286" i="4" s="1"/>
  <c r="M290" i="4"/>
  <c r="P290" i="4" s="1"/>
  <c r="P292" i="4"/>
  <c r="H293" i="4"/>
  <c r="M293" i="4"/>
  <c r="P293" i="4" s="1"/>
  <c r="H322" i="4"/>
  <c r="J323" i="4"/>
  <c r="K323" i="4" s="1"/>
  <c r="O327" i="4"/>
  <c r="N327" i="4"/>
  <c r="Q327" i="4"/>
  <c r="M327" i="4"/>
  <c r="J329" i="4"/>
  <c r="K329" i="4" s="1"/>
  <c r="H331" i="4"/>
  <c r="J332" i="4"/>
  <c r="K332" i="4" s="1"/>
  <c r="O335" i="4"/>
  <c r="N335" i="4"/>
  <c r="Q335" i="4"/>
  <c r="M335" i="4"/>
  <c r="J337" i="4"/>
  <c r="K337" i="4" s="1"/>
  <c r="J344" i="4"/>
  <c r="K344" i="4" s="1"/>
  <c r="H344" i="4"/>
  <c r="H347" i="4"/>
  <c r="J347" i="4"/>
  <c r="K347" i="4" s="1"/>
  <c r="J348" i="4"/>
  <c r="K348" i="4" s="1"/>
  <c r="O351" i="4"/>
  <c r="N351" i="4"/>
  <c r="M351" i="4"/>
  <c r="P351" i="4" s="1"/>
  <c r="Q352" i="4"/>
  <c r="J353" i="4"/>
  <c r="K353" i="4" s="1"/>
  <c r="H353" i="4"/>
  <c r="H357" i="4"/>
  <c r="J361" i="4"/>
  <c r="K361" i="4" s="1"/>
  <c r="H361" i="4"/>
  <c r="O365" i="4"/>
  <c r="N365" i="4"/>
  <c r="Q365" i="4"/>
  <c r="M365" i="4"/>
  <c r="J339" i="4"/>
  <c r="K339" i="4" s="1"/>
  <c r="Q354" i="4"/>
  <c r="M354" i="4"/>
  <c r="J357" i="4"/>
  <c r="K357" i="4" s="1"/>
  <c r="Q359" i="4"/>
  <c r="Q362" i="4"/>
  <c r="M362" i="4"/>
  <c r="P362" i="4" s="1"/>
  <c r="O373" i="4"/>
  <c r="N373" i="4"/>
  <c r="Q373" i="4"/>
  <c r="M373" i="4"/>
  <c r="P373" i="4" s="1"/>
  <c r="O377" i="4"/>
  <c r="N377" i="4"/>
  <c r="Q377" i="4"/>
  <c r="M377" i="4"/>
  <c r="P377" i="4" s="1"/>
  <c r="P386" i="4"/>
  <c r="M325" i="4"/>
  <c r="P325" i="4" s="1"/>
  <c r="Q325" i="4"/>
  <c r="Q338" i="4"/>
  <c r="M340" i="4"/>
  <c r="P340" i="4" s="1"/>
  <c r="Q340" i="4"/>
  <c r="M342" i="4"/>
  <c r="P342" i="4" s="1"/>
  <c r="Q342" i="4"/>
  <c r="M344" i="4"/>
  <c r="P344" i="4" s="1"/>
  <c r="Q344" i="4"/>
  <c r="M346" i="4"/>
  <c r="P346" i="4" s="1"/>
  <c r="Q346" i="4"/>
  <c r="N354" i="4"/>
  <c r="Q357" i="4"/>
  <c r="Q360" i="4"/>
  <c r="M360" i="4"/>
  <c r="P360" i="4" s="1"/>
  <c r="N362" i="4"/>
  <c r="H365" i="4"/>
  <c r="O367" i="4"/>
  <c r="N367" i="4"/>
  <c r="Q367" i="4"/>
  <c r="M367" i="4"/>
  <c r="J373" i="4"/>
  <c r="K373" i="4" s="1"/>
  <c r="J377" i="4"/>
  <c r="K377" i="4" s="1"/>
  <c r="H380" i="4"/>
  <c r="O382" i="4"/>
  <c r="N382" i="4"/>
  <c r="Q382" i="4"/>
  <c r="M382" i="4"/>
  <c r="M323" i="4"/>
  <c r="P323" i="4" s="1"/>
  <c r="M326" i="4"/>
  <c r="P326" i="4" s="1"/>
  <c r="M328" i="4"/>
  <c r="P328" i="4" s="1"/>
  <c r="M330" i="4"/>
  <c r="P330" i="4" s="1"/>
  <c r="M332" i="4"/>
  <c r="P332" i="4" s="1"/>
  <c r="M334" i="4"/>
  <c r="P334" i="4" s="1"/>
  <c r="M336" i="4"/>
  <c r="P336" i="4" s="1"/>
  <c r="M348" i="4"/>
  <c r="P348" i="4" s="1"/>
  <c r="M350" i="4"/>
  <c r="P350" i="4" s="1"/>
  <c r="O354" i="4"/>
  <c r="Q355" i="4"/>
  <c r="M357" i="4"/>
  <c r="P357" i="4" s="1"/>
  <c r="Q358" i="4"/>
  <c r="M358" i="4"/>
  <c r="P358" i="4" s="1"/>
  <c r="N359" i="4"/>
  <c r="P359" i="4" s="1"/>
  <c r="N360" i="4"/>
  <c r="O362" i="4"/>
  <c r="O363" i="4"/>
  <c r="Q363" i="4"/>
  <c r="M363" i="4"/>
  <c r="J367" i="4"/>
  <c r="K367" i="4" s="1"/>
  <c r="J370" i="4"/>
  <c r="K370" i="4" s="1"/>
  <c r="H370" i="4"/>
  <c r="P370" i="4"/>
  <c r="H373" i="4"/>
  <c r="J374" i="4"/>
  <c r="K374" i="4" s="1"/>
  <c r="O375" i="4"/>
  <c r="N375" i="4"/>
  <c r="Q375" i="4"/>
  <c r="M375" i="4"/>
  <c r="H377" i="4"/>
  <c r="J378" i="4"/>
  <c r="K378" i="4" s="1"/>
  <c r="O379" i="4"/>
  <c r="N379" i="4"/>
  <c r="Q379" i="4"/>
  <c r="M379" i="4"/>
  <c r="J382" i="4"/>
  <c r="K382" i="4" s="1"/>
  <c r="J385" i="4"/>
  <c r="K385" i="4" s="1"/>
  <c r="H385" i="4"/>
  <c r="P385" i="4"/>
  <c r="J387" i="4"/>
  <c r="K387" i="4" s="1"/>
  <c r="H387" i="4"/>
  <c r="P387" i="4"/>
  <c r="O366" i="4"/>
  <c r="O368" i="4"/>
  <c r="J369" i="4"/>
  <c r="K369" i="4" s="1"/>
  <c r="J371" i="4"/>
  <c r="K371" i="4" s="1"/>
  <c r="O372" i="4"/>
  <c r="O374" i="4"/>
  <c r="O376" i="4"/>
  <c r="O378" i="4"/>
  <c r="O381" i="4"/>
  <c r="O383" i="4"/>
  <c r="J384" i="4"/>
  <c r="K384" i="4" s="1"/>
  <c r="J386" i="4"/>
  <c r="K386" i="4" s="1"/>
  <c r="M366" i="4"/>
  <c r="P366" i="4" s="1"/>
  <c r="M368" i="4"/>
  <c r="P368" i="4" s="1"/>
  <c r="M372" i="4"/>
  <c r="P372" i="4" s="1"/>
  <c r="M374" i="4"/>
  <c r="P374" i="4" s="1"/>
  <c r="M376" i="4"/>
  <c r="M378" i="4"/>
  <c r="M381" i="4"/>
  <c r="P381" i="4" s="1"/>
  <c r="M383" i="4"/>
  <c r="P383" i="4" s="1"/>
  <c r="L56" i="3"/>
  <c r="N56" i="3" s="1"/>
  <c r="AI6" i="3"/>
  <c r="AG3" i="3"/>
  <c r="L4" i="3"/>
  <c r="Y4" i="3"/>
  <c r="L6" i="3"/>
  <c r="L23" i="3"/>
  <c r="N23" i="3" s="1"/>
  <c r="L31" i="3"/>
  <c r="N31" i="3" s="1"/>
  <c r="L48" i="3"/>
  <c r="N48" i="3" s="1"/>
  <c r="L60" i="3"/>
  <c r="N60" i="3" s="1"/>
  <c r="Y2" i="3"/>
  <c r="L2" i="3"/>
  <c r="AI3" i="3"/>
  <c r="AG7" i="3"/>
  <c r="L19" i="3"/>
  <c r="N19" i="3" s="1"/>
  <c r="L21" i="3"/>
  <c r="N21" i="3" s="1"/>
  <c r="L29" i="3"/>
  <c r="N29" i="3" s="1"/>
  <c r="L33" i="3"/>
  <c r="N33" i="3" s="1"/>
  <c r="L35" i="3"/>
  <c r="N35" i="3" s="1"/>
  <c r="L37" i="3"/>
  <c r="N37" i="3" s="1"/>
  <c r="L39" i="3"/>
  <c r="N39" i="3" s="1"/>
  <c r="L43" i="3"/>
  <c r="N43" i="3" s="1"/>
  <c r="L53" i="3"/>
  <c r="N53" i="3" s="1"/>
  <c r="D6" i="3"/>
  <c r="D47" i="3"/>
  <c r="D51" i="3"/>
  <c r="L69" i="3"/>
  <c r="N69" i="3" s="1"/>
  <c r="L150" i="3"/>
  <c r="N150" i="3" s="1"/>
  <c r="D2" i="3"/>
  <c r="L5" i="3"/>
  <c r="L9" i="3"/>
  <c r="D41" i="3"/>
  <c r="D44" i="3"/>
  <c r="D48" i="3"/>
  <c r="D56" i="3"/>
  <c r="D60" i="3"/>
  <c r="E65" i="3"/>
  <c r="Y5" i="3" s="1"/>
  <c r="AF6" i="3" s="1"/>
  <c r="D65" i="3"/>
  <c r="D53" i="3"/>
  <c r="D57" i="3"/>
  <c r="L72" i="3"/>
  <c r="N72" i="3" s="1"/>
  <c r="L82" i="3"/>
  <c r="N82" i="3" s="1"/>
  <c r="L134" i="3"/>
  <c r="N134" i="3" s="1"/>
  <c r="L153" i="3"/>
  <c r="D4" i="3"/>
  <c r="K403" i="3"/>
  <c r="L3" i="3"/>
  <c r="L7" i="3"/>
  <c r="L8" i="3"/>
  <c r="L10" i="3"/>
  <c r="L11" i="3"/>
  <c r="E61" i="3"/>
  <c r="L61" i="3" s="1"/>
  <c r="N61" i="3" s="1"/>
  <c r="D62" i="3"/>
  <c r="L62" i="3"/>
  <c r="N62" i="3" s="1"/>
  <c r="L68" i="3"/>
  <c r="N68" i="3" s="1"/>
  <c r="L76" i="3"/>
  <c r="N76" i="3" s="1"/>
  <c r="L80" i="3"/>
  <c r="N80" i="3" s="1"/>
  <c r="L86" i="3"/>
  <c r="N86" i="3" s="1"/>
  <c r="L110" i="3"/>
  <c r="L128" i="3"/>
  <c r="L136" i="3"/>
  <c r="L140" i="3"/>
  <c r="L145" i="3"/>
  <c r="L149" i="3"/>
  <c r="L154" i="3"/>
  <c r="N154" i="3" s="1"/>
  <c r="D79" i="3"/>
  <c r="D83" i="3"/>
  <c r="E86" i="3"/>
  <c r="Y6" i="3" s="1"/>
  <c r="D87" i="3"/>
  <c r="E90" i="3"/>
  <c r="Y10" i="3" s="1"/>
  <c r="D91" i="3"/>
  <c r="E94" i="3"/>
  <c r="L94" i="3" s="1"/>
  <c r="N94" i="3" s="1"/>
  <c r="D95" i="3"/>
  <c r="E98" i="3"/>
  <c r="L98" i="3" s="1"/>
  <c r="N98" i="3" s="1"/>
  <c r="D99" i="3"/>
  <c r="E102" i="3"/>
  <c r="L102" i="3" s="1"/>
  <c r="D103" i="3"/>
  <c r="E106" i="3"/>
  <c r="D107" i="3"/>
  <c r="E110" i="3"/>
  <c r="Y20" i="3" s="1"/>
  <c r="D111" i="3"/>
  <c r="E114" i="3"/>
  <c r="Y24" i="3" s="1"/>
  <c r="D115" i="3"/>
  <c r="E118" i="3"/>
  <c r="Y28" i="3" s="1"/>
  <c r="D119" i="3"/>
  <c r="E122" i="3"/>
  <c r="L122" i="3" s="1"/>
  <c r="N122" i="3" s="1"/>
  <c r="D123" i="3"/>
  <c r="E126" i="3"/>
  <c r="L126" i="3" s="1"/>
  <c r="N126" i="3" s="1"/>
  <c r="E134" i="3"/>
  <c r="E142" i="3"/>
  <c r="L142" i="3" s="1"/>
  <c r="N142" i="3" s="1"/>
  <c r="E150" i="3"/>
  <c r="E154" i="3"/>
  <c r="D159" i="3"/>
  <c r="E159" i="3"/>
  <c r="D163" i="3"/>
  <c r="E163" i="3"/>
  <c r="L184" i="3"/>
  <c r="N184" i="3" s="1"/>
  <c r="L200" i="3"/>
  <c r="N200" i="3" s="1"/>
  <c r="L220" i="3"/>
  <c r="N220" i="3" s="1"/>
  <c r="D68" i="3"/>
  <c r="D72" i="3"/>
  <c r="D76" i="3"/>
  <c r="D80" i="3"/>
  <c r="D84" i="3"/>
  <c r="D124" i="3"/>
  <c r="D128" i="3"/>
  <c r="D132" i="3"/>
  <c r="D136" i="3"/>
  <c r="D140" i="3"/>
  <c r="D144" i="3"/>
  <c r="D148" i="3"/>
  <c r="D69" i="3"/>
  <c r="D73" i="3"/>
  <c r="D77" i="3"/>
  <c r="D129" i="3"/>
  <c r="D133" i="3"/>
  <c r="D137" i="3"/>
  <c r="D141" i="3"/>
  <c r="D145" i="3"/>
  <c r="D149" i="3"/>
  <c r="D153" i="3"/>
  <c r="L156" i="3"/>
  <c r="N156" i="3" s="1"/>
  <c r="L160" i="3"/>
  <c r="N160" i="3" s="1"/>
  <c r="L164" i="3"/>
  <c r="L167" i="3"/>
  <c r="L216" i="3"/>
  <c r="N216" i="3" s="1"/>
  <c r="D158" i="3"/>
  <c r="D162" i="3"/>
  <c r="L163" i="3"/>
  <c r="D166" i="3"/>
  <c r="L179" i="3"/>
  <c r="N179" i="3" s="1"/>
  <c r="L183" i="3"/>
  <c r="N183" i="3" s="1"/>
  <c r="L187" i="3"/>
  <c r="N187" i="3" s="1"/>
  <c r="L191" i="3"/>
  <c r="L195" i="3"/>
  <c r="N195" i="3" s="1"/>
  <c r="L199" i="3"/>
  <c r="N199" i="3" s="1"/>
  <c r="L203" i="3"/>
  <c r="N203" i="3" s="1"/>
  <c r="L207" i="3"/>
  <c r="N207" i="3" s="1"/>
  <c r="L211" i="3"/>
  <c r="N211" i="3" s="1"/>
  <c r="L219" i="3"/>
  <c r="N219" i="3" s="1"/>
  <c r="L232" i="3"/>
  <c r="N232" i="3" s="1"/>
  <c r="L236" i="3"/>
  <c r="N236" i="3" s="1"/>
  <c r="L240" i="3"/>
  <c r="N240" i="3" s="1"/>
  <c r="L244" i="3"/>
  <c r="N244" i="3" s="1"/>
  <c r="L248" i="3"/>
  <c r="N248" i="3" s="1"/>
  <c r="L252" i="3"/>
  <c r="N252" i="3" s="1"/>
  <c r="L256" i="3"/>
  <c r="N256" i="3" s="1"/>
  <c r="E167" i="3"/>
  <c r="E173" i="3"/>
  <c r="Y23" i="3" s="1"/>
  <c r="E175" i="3"/>
  <c r="E180" i="3"/>
  <c r="Y30" i="3" s="1"/>
  <c r="E184" i="3"/>
  <c r="E188" i="3"/>
  <c r="E192" i="3"/>
  <c r="E196" i="3"/>
  <c r="Y26" i="3" s="1"/>
  <c r="E200" i="3"/>
  <c r="E204" i="3"/>
  <c r="L204" i="3" s="1"/>
  <c r="N204" i="3" s="1"/>
  <c r="E208" i="3"/>
  <c r="L208" i="3" s="1"/>
  <c r="N208" i="3" s="1"/>
  <c r="E212" i="3"/>
  <c r="L212" i="3" s="1"/>
  <c r="N212" i="3" s="1"/>
  <c r="E216" i="3"/>
  <c r="E220" i="3"/>
  <c r="E224" i="3"/>
  <c r="L224" i="3" s="1"/>
  <c r="N224" i="3" s="1"/>
  <c r="E226" i="3"/>
  <c r="L226" i="3" s="1"/>
  <c r="N226" i="3" s="1"/>
  <c r="E230" i="3"/>
  <c r="L230" i="3" s="1"/>
  <c r="N230" i="3" s="1"/>
  <c r="D262" i="3"/>
  <c r="L265" i="3"/>
  <c r="N265" i="3" s="1"/>
  <c r="L273" i="3"/>
  <c r="N273" i="3" s="1"/>
  <c r="L291" i="3"/>
  <c r="N291" i="3" s="1"/>
  <c r="L299" i="3"/>
  <c r="N299" i="3" s="1"/>
  <c r="D219" i="3"/>
  <c r="D223" i="3"/>
  <c r="D229" i="3"/>
  <c r="D233" i="3"/>
  <c r="D237" i="3"/>
  <c r="D241" i="3"/>
  <c r="D245" i="3"/>
  <c r="D249" i="3"/>
  <c r="D253" i="3"/>
  <c r="E257" i="3"/>
  <c r="Y27" i="3" s="1"/>
  <c r="D259" i="3"/>
  <c r="D260" i="3"/>
  <c r="L263" i="3"/>
  <c r="N263" i="3" s="1"/>
  <c r="D264" i="3"/>
  <c r="L271" i="3"/>
  <c r="N271" i="3" s="1"/>
  <c r="L277" i="3"/>
  <c r="N277" i="3" s="1"/>
  <c r="L269" i="3"/>
  <c r="N269" i="3" s="1"/>
  <c r="L281" i="3"/>
  <c r="L303" i="3"/>
  <c r="L311" i="3"/>
  <c r="E267" i="3"/>
  <c r="L267" i="3" s="1"/>
  <c r="N267" i="3" s="1"/>
  <c r="E271" i="3"/>
  <c r="Y21" i="3" s="1"/>
  <c r="E275" i="3"/>
  <c r="L275" i="3" s="1"/>
  <c r="N275" i="3" s="1"/>
  <c r="D276" i="3"/>
  <c r="E279" i="3"/>
  <c r="L279" i="3" s="1"/>
  <c r="N279" i="3" s="1"/>
  <c r="D280" i="3"/>
  <c r="E283" i="3"/>
  <c r="L283" i="3" s="1"/>
  <c r="N283" i="3" s="1"/>
  <c r="D284" i="3"/>
  <c r="E287" i="3"/>
  <c r="L287" i="3" s="1"/>
  <c r="N287" i="3" s="1"/>
  <c r="D288" i="3"/>
  <c r="D292" i="3"/>
  <c r="E295" i="3"/>
  <c r="L295" i="3" s="1"/>
  <c r="N295" i="3" s="1"/>
  <c r="D296" i="3"/>
  <c r="E299" i="3"/>
  <c r="D300" i="3"/>
  <c r="D304" i="3"/>
  <c r="E307" i="3"/>
  <c r="Y37" i="3" s="1"/>
  <c r="D308" i="3"/>
  <c r="E311" i="3"/>
  <c r="Y41" i="3" s="1"/>
  <c r="D312" i="3"/>
  <c r="E315" i="3"/>
  <c r="Y35" i="3" s="1"/>
  <c r="D316" i="3"/>
  <c r="D319" i="3"/>
  <c r="E320" i="3"/>
  <c r="Y40" i="3" s="1"/>
  <c r="D323" i="3"/>
  <c r="L326" i="3"/>
  <c r="D327" i="3"/>
  <c r="L330" i="3"/>
  <c r="N330" i="3" s="1"/>
  <c r="D331" i="3"/>
  <c r="L334" i="3"/>
  <c r="D335" i="3"/>
  <c r="L338" i="3"/>
  <c r="D339" i="3"/>
  <c r="L342" i="3"/>
  <c r="D343" i="3"/>
  <c r="L346" i="3"/>
  <c r="N346" i="3" s="1"/>
  <c r="L348" i="3"/>
  <c r="N348" i="3" s="1"/>
  <c r="L350" i="3"/>
  <c r="N350" i="3" s="1"/>
  <c r="L352" i="3"/>
  <c r="N352" i="3" s="1"/>
  <c r="L354" i="3"/>
  <c r="N354" i="3" s="1"/>
  <c r="L356" i="3"/>
  <c r="N356" i="3" s="1"/>
  <c r="L358" i="3"/>
  <c r="N358" i="3" s="1"/>
  <c r="D348" i="3"/>
  <c r="D352" i="3"/>
  <c r="D356" i="3"/>
  <c r="L372" i="3"/>
  <c r="N372" i="3" s="1"/>
  <c r="L380" i="3"/>
  <c r="N380" i="3" s="1"/>
  <c r="L384" i="3"/>
  <c r="N384" i="3" s="1"/>
  <c r="L392" i="3"/>
  <c r="N392" i="3" s="1"/>
  <c r="L400" i="3"/>
  <c r="N400" i="3" s="1"/>
  <c r="D337" i="3"/>
  <c r="D341" i="3"/>
  <c r="D345" i="3"/>
  <c r="E349" i="3"/>
  <c r="D349" i="3"/>
  <c r="E353" i="3"/>
  <c r="D353" i="3"/>
  <c r="E357" i="3"/>
  <c r="L357" i="3" s="1"/>
  <c r="N357" i="3" s="1"/>
  <c r="D357" i="3"/>
  <c r="L360" i="3"/>
  <c r="N360" i="3" s="1"/>
  <c r="L368" i="3"/>
  <c r="N368" i="3" s="1"/>
  <c r="D360" i="3"/>
  <c r="D364" i="3"/>
  <c r="D368" i="3"/>
  <c r="D372" i="3"/>
  <c r="D376" i="3"/>
  <c r="D380" i="3"/>
  <c r="D384" i="3"/>
  <c r="D388" i="3"/>
  <c r="D392" i="3"/>
  <c r="D396" i="3"/>
  <c r="D361" i="3"/>
  <c r="D365" i="3"/>
  <c r="D369" i="3"/>
  <c r="D373" i="3"/>
  <c r="D377" i="3"/>
  <c r="D381" i="3"/>
  <c r="D385" i="3"/>
  <c r="D389" i="3"/>
  <c r="D393" i="3"/>
  <c r="D397" i="3"/>
  <c r="D401" i="3"/>
  <c r="M4" i="2"/>
  <c r="M5" i="2"/>
  <c r="D2" i="2"/>
  <c r="D71" i="2"/>
  <c r="D83" i="2"/>
  <c r="W3" i="2" s="1"/>
  <c r="X3" i="2" s="1"/>
  <c r="D91" i="2"/>
  <c r="D99" i="2"/>
  <c r="W9" i="2" s="1"/>
  <c r="X9" i="2" s="1"/>
  <c r="D107" i="2"/>
  <c r="D115" i="2"/>
  <c r="D123" i="2"/>
  <c r="D131" i="2"/>
  <c r="D139" i="2"/>
  <c r="D147" i="2"/>
  <c r="D155" i="2"/>
  <c r="D163" i="2"/>
  <c r="D171" i="2"/>
  <c r="D179" i="2"/>
  <c r="D187" i="2"/>
  <c r="D195" i="2"/>
  <c r="D203" i="2"/>
  <c r="D211" i="2"/>
  <c r="D219" i="2"/>
  <c r="D227" i="2"/>
  <c r="D235" i="2"/>
  <c r="D243" i="2"/>
  <c r="D251" i="2"/>
  <c r="D259" i="2"/>
  <c r="D267" i="2"/>
  <c r="D275" i="2"/>
  <c r="D283" i="2"/>
  <c r="D291" i="2"/>
  <c r="M3" i="2"/>
  <c r="D75" i="2"/>
  <c r="W5" i="2" l="1"/>
  <c r="X5" i="2" s="1"/>
  <c r="W18" i="2"/>
  <c r="X18" i="2" s="1"/>
  <c r="W26" i="2"/>
  <c r="X26" i="2" s="1"/>
  <c r="W41" i="2"/>
  <c r="X41" i="2" s="1"/>
  <c r="W6" i="2"/>
  <c r="X6" i="2" s="1"/>
  <c r="W22" i="2"/>
  <c r="X22" i="2" s="1"/>
  <c r="W33" i="2"/>
  <c r="X33" i="2" s="1"/>
  <c r="W35" i="2"/>
  <c r="X35" i="2" s="1"/>
  <c r="W40" i="2"/>
  <c r="X40" i="2" s="1"/>
  <c r="W36" i="2"/>
  <c r="X36" i="2" s="1"/>
  <c r="W20" i="2"/>
  <c r="X20" i="2" s="1"/>
  <c r="W38" i="2"/>
  <c r="X38" i="2" s="1"/>
  <c r="W14" i="2"/>
  <c r="X14" i="2" s="1"/>
  <c r="W30" i="2"/>
  <c r="X30" i="2" s="1"/>
  <c r="L4" i="2"/>
  <c r="W29" i="2"/>
  <c r="X29" i="2" s="1"/>
  <c r="W11" i="2"/>
  <c r="X11" i="2" s="1"/>
  <c r="L5" i="2"/>
  <c r="W10" i="2"/>
  <c r="X10" i="2" s="1"/>
  <c r="W32" i="2"/>
  <c r="X32" i="2" s="1"/>
  <c r="W34" i="2"/>
  <c r="X34" i="2" s="1"/>
  <c r="W24" i="2"/>
  <c r="X24" i="2" s="1"/>
  <c r="W12" i="2"/>
  <c r="X12" i="2" s="1"/>
  <c r="W28" i="2"/>
  <c r="X28" i="2" s="1"/>
  <c r="W16" i="2"/>
  <c r="X16" i="2" s="1"/>
  <c r="AF7" i="4"/>
  <c r="AG7" i="4"/>
  <c r="AG4" i="4"/>
  <c r="AF4" i="4"/>
  <c r="AF5" i="4"/>
  <c r="AG5" i="4"/>
  <c r="AG2" i="4"/>
  <c r="AF2" i="4"/>
  <c r="P376" i="4"/>
  <c r="P379" i="4"/>
  <c r="P363" i="4"/>
  <c r="P382" i="4"/>
  <c r="P365" i="4"/>
  <c r="P361" i="4"/>
  <c r="P314" i="4"/>
  <c r="P306" i="4"/>
  <c r="P298" i="4"/>
  <c r="AD35" i="4"/>
  <c r="P288" i="4"/>
  <c r="P267" i="4"/>
  <c r="P195" i="4"/>
  <c r="P194" i="4"/>
  <c r="P184" i="4"/>
  <c r="P209" i="4"/>
  <c r="P210" i="4"/>
  <c r="P236" i="4"/>
  <c r="AD18" i="4"/>
  <c r="P167" i="4"/>
  <c r="P155" i="4"/>
  <c r="P147" i="4"/>
  <c r="AD29" i="4"/>
  <c r="AD23" i="4"/>
  <c r="P73" i="4"/>
  <c r="P42" i="4"/>
  <c r="AD31" i="4"/>
  <c r="AD20" i="4"/>
  <c r="P354" i="4"/>
  <c r="AD32" i="4"/>
  <c r="P316" i="4"/>
  <c r="AD34" i="4"/>
  <c r="P308" i="4"/>
  <c r="P300" i="4"/>
  <c r="AD37" i="4"/>
  <c r="P284" i="4"/>
  <c r="P202" i="4"/>
  <c r="AD13" i="4"/>
  <c r="AR3" i="4" s="1"/>
  <c r="AD28" i="4"/>
  <c r="AD22" i="4"/>
  <c r="AD16" i="4"/>
  <c r="AD30" i="4"/>
  <c r="AD12" i="4"/>
  <c r="AD21" i="4"/>
  <c r="P46" i="4"/>
  <c r="AD11" i="4"/>
  <c r="AG17" i="4"/>
  <c r="P375" i="4"/>
  <c r="P327" i="4"/>
  <c r="P380" i="4"/>
  <c r="P364" i="4"/>
  <c r="P331" i="4"/>
  <c r="P318" i="4"/>
  <c r="AD36" i="4"/>
  <c r="P310" i="4"/>
  <c r="P302" i="4"/>
  <c r="AD39" i="4"/>
  <c r="P294" i="4"/>
  <c r="P260" i="4"/>
  <c r="P234" i="4"/>
  <c r="P201" i="4"/>
  <c r="P190" i="4"/>
  <c r="P142" i="4"/>
  <c r="AD24" i="4"/>
  <c r="P151" i="4"/>
  <c r="P217" i="4"/>
  <c r="AD27" i="4"/>
  <c r="AD19" i="4"/>
  <c r="P48" i="4"/>
  <c r="AD25" i="4"/>
  <c r="P80" i="4"/>
  <c r="J3" i="4"/>
  <c r="H3" i="4"/>
  <c r="AD3" i="4" s="1"/>
  <c r="AC3" i="4"/>
  <c r="AQ4" i="4" s="1"/>
  <c r="AQ6" i="4"/>
  <c r="AG10" i="4"/>
  <c r="P378" i="4"/>
  <c r="P367" i="4"/>
  <c r="P335" i="4"/>
  <c r="P337" i="4"/>
  <c r="P322" i="4"/>
  <c r="P320" i="4"/>
  <c r="AD38" i="4"/>
  <c r="P312" i="4"/>
  <c r="AD40" i="4"/>
  <c r="P304" i="4"/>
  <c r="AD41" i="4"/>
  <c r="P296" i="4"/>
  <c r="AD33" i="4"/>
  <c r="P280" i="4"/>
  <c r="P275" i="4"/>
  <c r="P278" i="4"/>
  <c r="P263" i="4"/>
  <c r="P256" i="4"/>
  <c r="P264" i="4"/>
  <c r="P271" i="4"/>
  <c r="P175" i="4"/>
  <c r="P206" i="4"/>
  <c r="P272" i="4"/>
  <c r="P181" i="4"/>
  <c r="P159" i="4"/>
  <c r="P171" i="4"/>
  <c r="AD26" i="4"/>
  <c r="AD15" i="4"/>
  <c r="AD14" i="4"/>
  <c r="P69" i="4"/>
  <c r="P65" i="4"/>
  <c r="P58" i="4"/>
  <c r="P54" i="4"/>
  <c r="P41" i="4"/>
  <c r="AD9" i="4"/>
  <c r="AR6" i="4" s="1"/>
  <c r="P82" i="4"/>
  <c r="J5" i="4"/>
  <c r="AC6" i="4"/>
  <c r="AQ5" i="4" s="1"/>
  <c r="H5" i="4"/>
  <c r="AD6" i="4" s="1"/>
  <c r="AG8" i="4"/>
  <c r="N102" i="3"/>
  <c r="AC12" i="3" s="1"/>
  <c r="AA12" i="3"/>
  <c r="L315" i="3"/>
  <c r="N163" i="3"/>
  <c r="AC13" i="3" s="1"/>
  <c r="AA13" i="3"/>
  <c r="E403" i="3"/>
  <c r="N281" i="3"/>
  <c r="AC31" i="3" s="1"/>
  <c r="AA31" i="3"/>
  <c r="Y22" i="3"/>
  <c r="Y25" i="3"/>
  <c r="N167" i="3"/>
  <c r="AC17" i="3" s="1"/>
  <c r="AA17" i="3"/>
  <c r="L196" i="3"/>
  <c r="N196" i="3" s="1"/>
  <c r="L180" i="3"/>
  <c r="N180" i="3" s="1"/>
  <c r="N136" i="3"/>
  <c r="AC26" i="3" s="1"/>
  <c r="N10" i="3"/>
  <c r="L114" i="3"/>
  <c r="L118" i="3"/>
  <c r="N6" i="3"/>
  <c r="AC6" i="3" s="1"/>
  <c r="AA6" i="3"/>
  <c r="AA4" i="3"/>
  <c r="N4" i="3"/>
  <c r="AC4" i="3" s="1"/>
  <c r="Y8" i="3"/>
  <c r="AF2" i="3" s="1"/>
  <c r="L349" i="3"/>
  <c r="Y39" i="3"/>
  <c r="L257" i="3"/>
  <c r="Y13" i="3"/>
  <c r="N8" i="3"/>
  <c r="AC8" i="3" s="1"/>
  <c r="AA8" i="3"/>
  <c r="N9" i="3"/>
  <c r="AC9" i="3" s="1"/>
  <c r="AA9" i="3"/>
  <c r="L65" i="3"/>
  <c r="N65" i="3" s="1"/>
  <c r="N2" i="3"/>
  <c r="AC2" i="3" s="1"/>
  <c r="AA2" i="3"/>
  <c r="L353" i="3"/>
  <c r="N353" i="3" s="1"/>
  <c r="Y33" i="3"/>
  <c r="Y29" i="3"/>
  <c r="Y16" i="3"/>
  <c r="N140" i="3"/>
  <c r="AC30" i="3" s="1"/>
  <c r="AA30" i="3"/>
  <c r="N110" i="3"/>
  <c r="AC20" i="3" s="1"/>
  <c r="AA20" i="3"/>
  <c r="N11" i="3"/>
  <c r="AC11" i="3" s="1"/>
  <c r="AA11" i="3"/>
  <c r="N3" i="3"/>
  <c r="AC3" i="3" s="1"/>
  <c r="AA3" i="3"/>
  <c r="AE13" i="3"/>
  <c r="AE12" i="3"/>
  <c r="AE11" i="3"/>
  <c r="AE10" i="3"/>
  <c r="N338" i="3"/>
  <c r="AC38" i="3" s="1"/>
  <c r="AA38" i="3"/>
  <c r="N311" i="3"/>
  <c r="AC41" i="3" s="1"/>
  <c r="AA41" i="3"/>
  <c r="L307" i="3"/>
  <c r="L320" i="3"/>
  <c r="N303" i="3"/>
  <c r="AC33" i="3" s="1"/>
  <c r="AA33" i="3"/>
  <c r="Y18" i="3"/>
  <c r="N191" i="3"/>
  <c r="AC21" i="3" s="1"/>
  <c r="AA21" i="3"/>
  <c r="L173" i="3"/>
  <c r="N173" i="3" s="1"/>
  <c r="L159" i="3"/>
  <c r="N164" i="3"/>
  <c r="AC14" i="3" s="1"/>
  <c r="AA14" i="3"/>
  <c r="L192" i="3"/>
  <c r="Y12" i="3"/>
  <c r="AF4" i="3" s="1"/>
  <c r="N149" i="3"/>
  <c r="AC19" i="3" s="1"/>
  <c r="AA19" i="3"/>
  <c r="N128" i="3"/>
  <c r="N342" i="3"/>
  <c r="AC32" i="3" s="1"/>
  <c r="AA32" i="3"/>
  <c r="N334" i="3"/>
  <c r="AC34" i="3" s="1"/>
  <c r="AA34" i="3"/>
  <c r="N326" i="3"/>
  <c r="AC36" i="3" s="1"/>
  <c r="AA36" i="3"/>
  <c r="Y14" i="3"/>
  <c r="Y17" i="3"/>
  <c r="L175" i="3"/>
  <c r="L188" i="3"/>
  <c r="N188" i="3" s="1"/>
  <c r="N145" i="3"/>
  <c r="AC15" i="3" s="1"/>
  <c r="AA15" i="3"/>
  <c r="N7" i="3"/>
  <c r="AC7" i="3" s="1"/>
  <c r="AA7" i="3"/>
  <c r="N153" i="3"/>
  <c r="AC23" i="3" s="1"/>
  <c r="L90" i="3"/>
  <c r="N90" i="3" s="1"/>
  <c r="N5" i="3"/>
  <c r="AC5" i="3" s="1"/>
  <c r="AJ6" i="3" s="1"/>
  <c r="AA5" i="3"/>
  <c r="L106" i="3"/>
  <c r="AF3" i="3"/>
  <c r="Y11" i="3"/>
  <c r="AF5" i="3" s="1"/>
  <c r="W17" i="2"/>
  <c r="X17" i="2" s="1"/>
  <c r="W13" i="2"/>
  <c r="X13" i="2" s="1"/>
  <c r="W25" i="2"/>
  <c r="X25" i="2" s="1"/>
  <c r="W21" i="2"/>
  <c r="X21" i="2" s="1"/>
  <c r="L3" i="2"/>
  <c r="W2" i="2"/>
  <c r="X2" i="2" s="1"/>
  <c r="L7" i="2" l="1"/>
  <c r="AF14" i="4"/>
  <c r="AG14" i="4"/>
  <c r="AG33" i="4"/>
  <c r="AF33" i="4"/>
  <c r="AF40" i="4"/>
  <c r="AG40" i="4"/>
  <c r="AF3" i="4"/>
  <c r="AR4" i="4"/>
  <c r="AG3" i="4"/>
  <c r="AF39" i="4"/>
  <c r="AG39" i="4"/>
  <c r="AF16" i="4"/>
  <c r="AG16" i="4"/>
  <c r="AR2" i="4"/>
  <c r="AF15" i="4"/>
  <c r="AG15" i="4"/>
  <c r="AG19" i="4"/>
  <c r="AF19" i="4"/>
  <c r="AG24" i="4"/>
  <c r="AF24" i="4"/>
  <c r="AG21" i="4"/>
  <c r="AF21" i="4"/>
  <c r="AG22" i="4"/>
  <c r="AF22" i="4"/>
  <c r="AG34" i="4"/>
  <c r="AF34" i="4"/>
  <c r="AG20" i="4"/>
  <c r="AF20" i="4"/>
  <c r="AG23" i="4"/>
  <c r="AF23" i="4"/>
  <c r="AG6" i="4"/>
  <c r="AF6" i="4"/>
  <c r="AR5" i="4"/>
  <c r="AF9" i="4"/>
  <c r="AT6" i="4" s="1"/>
  <c r="AG9" i="4"/>
  <c r="AG26" i="4"/>
  <c r="AF26" i="4"/>
  <c r="AF41" i="4"/>
  <c r="AG41" i="4"/>
  <c r="AF38" i="4"/>
  <c r="AG38" i="4"/>
  <c r="AG27" i="4"/>
  <c r="AF27" i="4"/>
  <c r="AF12" i="4"/>
  <c r="AG12" i="4"/>
  <c r="AG28" i="4"/>
  <c r="AF28" i="4"/>
  <c r="AF37" i="4"/>
  <c r="AG37" i="4"/>
  <c r="AG31" i="4"/>
  <c r="AF31" i="4"/>
  <c r="AG29" i="4"/>
  <c r="AF29" i="4"/>
  <c r="AF18" i="4"/>
  <c r="AG18" i="4"/>
  <c r="AT3" i="4"/>
  <c r="AG25" i="4"/>
  <c r="AF25" i="4"/>
  <c r="AF36" i="4"/>
  <c r="AG36" i="4"/>
  <c r="AF11" i="4"/>
  <c r="AG11" i="4"/>
  <c r="AG30" i="4"/>
  <c r="AF30" i="4"/>
  <c r="AF13" i="4"/>
  <c r="AG13" i="4"/>
  <c r="AG32" i="4"/>
  <c r="AF32" i="4"/>
  <c r="AG35" i="4"/>
  <c r="AF35" i="4"/>
  <c r="AT2" i="4"/>
  <c r="AC18" i="3"/>
  <c r="N192" i="3"/>
  <c r="AC22" i="3" s="1"/>
  <c r="AA22" i="3"/>
  <c r="AA10" i="3"/>
  <c r="N257" i="3"/>
  <c r="AC27" i="3" s="1"/>
  <c r="AA27" i="3"/>
  <c r="AC10" i="3"/>
  <c r="AJ4" i="3" s="1"/>
  <c r="N175" i="3"/>
  <c r="AC25" i="3" s="1"/>
  <c r="AJ5" i="3" s="1"/>
  <c r="AA25" i="3"/>
  <c r="AH5" i="3" s="1"/>
  <c r="N320" i="3"/>
  <c r="AC40" i="3" s="1"/>
  <c r="AA40" i="3"/>
  <c r="L403" i="3"/>
  <c r="N118" i="3"/>
  <c r="AC28" i="3" s="1"/>
  <c r="AA28" i="3"/>
  <c r="AA26" i="3"/>
  <c r="AH6" i="3" s="1"/>
  <c r="N106" i="3"/>
  <c r="AC16" i="3" s="1"/>
  <c r="AJ2" i="3" s="1"/>
  <c r="AA16" i="3"/>
  <c r="AA23" i="3"/>
  <c r="AH4" i="3" s="1"/>
  <c r="AA18" i="3"/>
  <c r="AH3" i="3" s="1"/>
  <c r="N159" i="3"/>
  <c r="AC29" i="3" s="1"/>
  <c r="AA29" i="3"/>
  <c r="N307" i="3"/>
  <c r="AC37" i="3" s="1"/>
  <c r="AA37" i="3"/>
  <c r="N349" i="3"/>
  <c r="AC39" i="3" s="1"/>
  <c r="AA39" i="3"/>
  <c r="N114" i="3"/>
  <c r="AC24" i="3" s="1"/>
  <c r="AJ3" i="3" s="1"/>
  <c r="AA24" i="3"/>
  <c r="N315" i="3"/>
  <c r="AC35" i="3" s="1"/>
  <c r="AA35" i="3"/>
  <c r="AH2" i="3" s="1"/>
  <c r="AT4" i="4" l="1"/>
  <c r="AT5" i="4"/>
  <c r="AH7" i="3"/>
  <c r="AF10" i="3" l="1"/>
  <c r="AF12" i="3"/>
  <c r="AF11" i="3"/>
  <c r="AF13" i="3"/>
</calcChain>
</file>

<file path=xl/sharedStrings.xml><?xml version="1.0" encoding="utf-8"?>
<sst xmlns="http://schemas.openxmlformats.org/spreadsheetml/2006/main" count="412" uniqueCount="80">
  <si>
    <t>Lnk_AnID</t>
  </si>
  <si>
    <t>Average</t>
  </si>
  <si>
    <t>Block</t>
  </si>
  <si>
    <t>Strat</t>
  </si>
  <si>
    <t>Rand</t>
  </si>
  <si>
    <t>Pen</t>
  </si>
  <si>
    <t>TRT</t>
  </si>
  <si>
    <t>Trt</t>
  </si>
  <si>
    <t>Initial</t>
  </si>
  <si>
    <t>Hd</t>
  </si>
  <si>
    <t>Rep</t>
  </si>
  <si>
    <t>Initial Kg</t>
  </si>
  <si>
    <t xml:space="preserve">Final </t>
  </si>
  <si>
    <t>Final Kg</t>
  </si>
  <si>
    <t>DMI</t>
  </si>
  <si>
    <t>DMI Kg</t>
  </si>
  <si>
    <t>ADG</t>
  </si>
  <si>
    <t>ADG Kg</t>
  </si>
  <si>
    <t>NEm</t>
  </si>
  <si>
    <t>NEg</t>
  </si>
  <si>
    <t>ME</t>
  </si>
  <si>
    <t>Control</t>
  </si>
  <si>
    <t xml:space="preserve">10% MDGS Constant </t>
  </si>
  <si>
    <t>595 stays for target end point BW</t>
  </si>
  <si>
    <t>10% MDGS Variable</t>
  </si>
  <si>
    <t xml:space="preserve">25% MDGS Constant </t>
  </si>
  <si>
    <t>25% MDGS Variable</t>
  </si>
  <si>
    <t>Reps</t>
  </si>
  <si>
    <t xml:space="preserve">10 pens </t>
  </si>
  <si>
    <t xml:space="preserve">20 pens </t>
  </si>
  <si>
    <t>Difference D1-D2</t>
  </si>
  <si>
    <t xml:space="preserve">Interim </t>
  </si>
  <si>
    <t>Interim ADG</t>
  </si>
  <si>
    <t>DMO</t>
  </si>
  <si>
    <t>G:F</t>
  </si>
  <si>
    <t>Interim</t>
  </si>
  <si>
    <t xml:space="preserve">Initial </t>
  </si>
  <si>
    <t>Projections</t>
  </si>
  <si>
    <t>Light</t>
  </si>
  <si>
    <t>Mid</t>
  </si>
  <si>
    <t>Heavy</t>
  </si>
  <si>
    <t xml:space="preserve">Light </t>
  </si>
  <si>
    <t>306*</t>
  </si>
  <si>
    <t>.</t>
  </si>
  <si>
    <t>kpi</t>
  </si>
  <si>
    <t>k</t>
  </si>
  <si>
    <t>, m</t>
  </si>
  <si>
    <t>302*</t>
  </si>
  <si>
    <t>411*</t>
  </si>
  <si>
    <t>412*</t>
  </si>
  <si>
    <t xml:space="preserve">Average </t>
  </si>
  <si>
    <t>Treatment</t>
  </si>
  <si>
    <t>HCW</t>
  </si>
  <si>
    <t>CAFBW</t>
  </si>
  <si>
    <t>Lb Gain</t>
  </si>
  <si>
    <t>Liver Abscess</t>
  </si>
  <si>
    <t>Abscess Count</t>
  </si>
  <si>
    <t>Contaminated Livers</t>
  </si>
  <si>
    <t>REA</t>
  </si>
  <si>
    <t>Yield Grade</t>
  </si>
  <si>
    <t xml:space="preserve">Fat </t>
  </si>
  <si>
    <t>Marbling</t>
  </si>
  <si>
    <t>F:G</t>
  </si>
  <si>
    <t xml:space="preserve">Treatment </t>
  </si>
  <si>
    <t>*210</t>
  </si>
  <si>
    <t>A+</t>
  </si>
  <si>
    <t>*215</t>
  </si>
  <si>
    <t>A-</t>
  </si>
  <si>
    <t>A</t>
  </si>
  <si>
    <t>Total Abscessed</t>
  </si>
  <si>
    <t>56/95</t>
  </si>
  <si>
    <t xml:space="preserve">Total </t>
  </si>
  <si>
    <t>96/250</t>
  </si>
  <si>
    <t>1ST SHIP</t>
  </si>
  <si>
    <t>2ND SHIP</t>
  </si>
  <si>
    <t xml:space="preserve">ALL TOGETHER </t>
  </si>
  <si>
    <t>TOTAL</t>
  </si>
  <si>
    <t>152/345</t>
  </si>
  <si>
    <t>Abscess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</si>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</sst>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22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22"/>
      </right>
      <top style="thin">
        <color indexed="22"/>
      </top>
      <bottom style="medium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</cellStyleXfs>
  <cellXfs count="129">
    <xf numFmtId="0" fontId="0" fillId="0" borderId="0" xfId="0"/>
    <xf numFmtId="0" fontId="3" fillId="2" borderId="1" xfId="1" applyFont="1" applyFill="1" applyBorder="1" applyAlignment="1">
      <alignment horizontal="center"/>
    </xf>
    <xf numFmtId="14" fontId="3" fillId="2" borderId="1" xfId="1" applyNumberFormat="1" applyFont="1" applyFill="1" applyBorder="1" applyAlignment="1">
      <alignment horizontal="center"/>
    </xf>
    <xf numFmtId="14" fontId="3" fillId="0" borderId="0" xfId="2" applyNumberFormat="1" applyFont="1" applyAlignment="1">
      <alignment horizontal="center"/>
    </xf>
    <xf numFmtId="0" fontId="4" fillId="0" borderId="0" xfId="3" applyAlignment="1">
      <alignment horizontal="center"/>
    </xf>
    <xf numFmtId="0" fontId="5" fillId="0" borderId="0" xfId="3" applyFont="1" applyAlignment="1">
      <alignment horizontal="center"/>
    </xf>
    <xf numFmtId="2" fontId="5" fillId="3" borderId="2" xfId="3" applyNumberFormat="1" applyFont="1" applyFill="1" applyBorder="1" applyAlignment="1">
      <alignment horizontal="center"/>
    </xf>
    <xf numFmtId="1" fontId="5" fillId="4" borderId="3" xfId="3" applyNumberFormat="1" applyFont="1" applyFill="1" applyBorder="1" applyAlignment="1">
      <alignment horizontal="center"/>
    </xf>
    <xf numFmtId="1" fontId="5" fillId="3" borderId="3" xfId="3" applyNumberFormat="1" applyFont="1" applyFill="1" applyBorder="1" applyAlignment="1">
      <alignment horizontal="center"/>
    </xf>
    <xf numFmtId="164" fontId="5" fillId="3" borderId="3" xfId="3" applyNumberFormat="1" applyFont="1" applyFill="1" applyBorder="1" applyAlignment="1">
      <alignment horizontal="center"/>
    </xf>
    <xf numFmtId="164" fontId="5" fillId="4" borderId="3" xfId="3" applyNumberFormat="1" applyFont="1" applyFill="1" applyBorder="1" applyAlignment="1">
      <alignment horizontal="center"/>
    </xf>
    <xf numFmtId="0" fontId="5" fillId="3" borderId="0" xfId="3" applyFont="1" applyFill="1" applyAlignment="1">
      <alignment horizontal="center"/>
    </xf>
    <xf numFmtId="0" fontId="5" fillId="4" borderId="0" xfId="3" applyFont="1" applyFill="1" applyAlignment="1">
      <alignment horizontal="center"/>
    </xf>
    <xf numFmtId="0" fontId="5" fillId="4" borderId="2" xfId="3" applyFont="1" applyFill="1" applyBorder="1" applyAlignment="1">
      <alignment horizontal="center"/>
    </xf>
    <xf numFmtId="0" fontId="5" fillId="4" borderId="3" xfId="3" applyFont="1" applyFill="1" applyBorder="1" applyAlignment="1">
      <alignment horizontal="center"/>
    </xf>
    <xf numFmtId="0" fontId="5" fillId="4" borderId="4" xfId="3" applyFont="1" applyFill="1" applyBorder="1" applyAlignment="1">
      <alignment horizontal="center"/>
    </xf>
    <xf numFmtId="0" fontId="3" fillId="0" borderId="5" xfId="2" applyFont="1" applyBorder="1" applyAlignment="1">
      <alignment horizontal="right" wrapText="1"/>
    </xf>
    <xf numFmtId="0" fontId="3" fillId="0" borderId="5" xfId="1" applyFont="1" applyBorder="1" applyAlignment="1">
      <alignment horizontal="center"/>
    </xf>
    <xf numFmtId="1" fontId="4" fillId="0" borderId="0" xfId="3" applyNumberFormat="1" applyAlignment="1">
      <alignment horizontal="center"/>
    </xf>
    <xf numFmtId="164" fontId="4" fillId="0" borderId="0" xfId="3" applyNumberFormat="1" applyAlignment="1">
      <alignment horizontal="center"/>
    </xf>
    <xf numFmtId="14" fontId="4" fillId="0" borderId="0" xfId="3" applyNumberFormat="1" applyAlignment="1">
      <alignment horizontal="center"/>
    </xf>
    <xf numFmtId="2" fontId="4" fillId="3" borderId="6" xfId="3" applyNumberFormat="1" applyFill="1" applyBorder="1" applyAlignment="1">
      <alignment horizontal="center"/>
    </xf>
    <xf numFmtId="1" fontId="4" fillId="4" borderId="0" xfId="3" applyNumberFormat="1" applyFill="1" applyAlignment="1">
      <alignment horizontal="center"/>
    </xf>
    <xf numFmtId="1" fontId="4" fillId="3" borderId="0" xfId="3" applyNumberFormat="1" applyFill="1" applyAlignment="1">
      <alignment horizontal="center"/>
    </xf>
    <xf numFmtId="164" fontId="4" fillId="3" borderId="0" xfId="3" applyNumberFormat="1" applyFill="1" applyAlignment="1">
      <alignment horizontal="center"/>
    </xf>
    <xf numFmtId="164" fontId="4" fillId="4" borderId="0" xfId="3" applyNumberFormat="1" applyFill="1" applyAlignment="1">
      <alignment horizontal="center"/>
    </xf>
    <xf numFmtId="2" fontId="4" fillId="3" borderId="0" xfId="3" applyNumberFormat="1" applyFill="1" applyAlignment="1">
      <alignment horizontal="center"/>
    </xf>
    <xf numFmtId="2" fontId="4" fillId="4" borderId="0" xfId="3" applyNumberFormat="1" applyFill="1" applyAlignment="1">
      <alignment horizontal="center"/>
    </xf>
    <xf numFmtId="0" fontId="4" fillId="0" borderId="6" xfId="3" applyBorder="1" applyAlignment="1">
      <alignment horizontal="center"/>
    </xf>
    <xf numFmtId="0" fontId="4" fillId="0" borderId="7" xfId="3" applyBorder="1" applyAlignment="1">
      <alignment horizontal="center"/>
    </xf>
    <xf numFmtId="0" fontId="5" fillId="0" borderId="0" xfId="3" applyFont="1" applyAlignment="1">
      <alignment horizontal="center"/>
    </xf>
    <xf numFmtId="2" fontId="4" fillId="0" borderId="0" xfId="3" applyNumberFormat="1" applyAlignment="1">
      <alignment horizontal="center"/>
    </xf>
    <xf numFmtId="2" fontId="4" fillId="3" borderId="8" xfId="3" applyNumberFormat="1" applyFill="1" applyBorder="1" applyAlignment="1">
      <alignment horizontal="center"/>
    </xf>
    <xf numFmtId="1" fontId="4" fillId="4" borderId="9" xfId="3" applyNumberFormat="1" applyFill="1" applyBorder="1" applyAlignment="1">
      <alignment horizontal="center"/>
    </xf>
    <xf numFmtId="1" fontId="4" fillId="3" borderId="9" xfId="3" applyNumberFormat="1" applyFill="1" applyBorder="1" applyAlignment="1">
      <alignment horizontal="center"/>
    </xf>
    <xf numFmtId="164" fontId="4" fillId="3" borderId="9" xfId="3" applyNumberFormat="1" applyFill="1" applyBorder="1" applyAlignment="1">
      <alignment horizontal="center"/>
    </xf>
    <xf numFmtId="164" fontId="4" fillId="4" borderId="9" xfId="3" applyNumberFormat="1" applyFill="1" applyBorder="1" applyAlignment="1">
      <alignment horizontal="center"/>
    </xf>
    <xf numFmtId="2" fontId="4" fillId="3" borderId="9" xfId="3" applyNumberFormat="1" applyFill="1" applyBorder="1" applyAlignment="1">
      <alignment horizontal="center"/>
    </xf>
    <xf numFmtId="2" fontId="4" fillId="4" borderId="10" xfId="3" applyNumberFormat="1" applyFill="1" applyBorder="1" applyAlignment="1">
      <alignment horizontal="center"/>
    </xf>
    <xf numFmtId="0" fontId="4" fillId="0" borderId="8" xfId="3" applyBorder="1" applyAlignment="1">
      <alignment horizontal="center"/>
    </xf>
    <xf numFmtId="0" fontId="4" fillId="0" borderId="9" xfId="3" applyBorder="1" applyAlignment="1">
      <alignment horizontal="center"/>
    </xf>
    <xf numFmtId="0" fontId="4" fillId="0" borderId="10" xfId="3" applyBorder="1" applyAlignment="1">
      <alignment horizontal="center"/>
    </xf>
    <xf numFmtId="0" fontId="4" fillId="3" borderId="0" xfId="3" applyFill="1" applyAlignment="1">
      <alignment horizontal="center"/>
    </xf>
    <xf numFmtId="0" fontId="4" fillId="4" borderId="0" xfId="3" applyFill="1" applyAlignment="1">
      <alignment horizontal="center"/>
    </xf>
    <xf numFmtId="0" fontId="3" fillId="0" borderId="0" xfId="4" applyFont="1" applyAlignment="1">
      <alignment horizontal="center"/>
    </xf>
    <xf numFmtId="0" fontId="3" fillId="0" borderId="0" xfId="1" applyFont="1" applyAlignment="1">
      <alignment horizontal="center"/>
    </xf>
    <xf numFmtId="0" fontId="3" fillId="0" borderId="5" xfId="1" applyFont="1" applyBorder="1" applyAlignment="1">
      <alignment horizontal="right"/>
    </xf>
    <xf numFmtId="0" fontId="3" fillId="0" borderId="5" xfId="5" applyFont="1" applyBorder="1" applyAlignment="1">
      <alignment horizontal="right" wrapText="1"/>
    </xf>
    <xf numFmtId="0" fontId="4" fillId="0" borderId="0" xfId="3"/>
    <xf numFmtId="14" fontId="3" fillId="2" borderId="11" xfId="1" applyNumberFormat="1" applyFont="1" applyFill="1" applyBorder="1" applyAlignment="1">
      <alignment horizontal="center"/>
    </xf>
    <xf numFmtId="14" fontId="3" fillId="5" borderId="12" xfId="2" applyNumberFormat="1" applyFont="1" applyFill="1" applyBorder="1" applyAlignment="1">
      <alignment horizontal="center"/>
    </xf>
    <xf numFmtId="14" fontId="4" fillId="5" borderId="12" xfId="2" applyNumberFormat="1" applyFont="1" applyFill="1" applyBorder="1" applyAlignment="1">
      <alignment horizontal="center"/>
    </xf>
    <xf numFmtId="0" fontId="5" fillId="0" borderId="2" xfId="3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1" fontId="5" fillId="0" borderId="3" xfId="3" applyNumberFormat="1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0" fontId="4" fillId="5" borderId="0" xfId="3" applyFill="1" applyAlignment="1">
      <alignment horizontal="center"/>
    </xf>
    <xf numFmtId="165" fontId="4" fillId="0" borderId="0" xfId="3" applyNumberFormat="1" applyAlignment="1">
      <alignment horizontal="center"/>
    </xf>
    <xf numFmtId="165" fontId="4" fillId="0" borderId="7" xfId="3" applyNumberFormat="1" applyBorder="1" applyAlignment="1">
      <alignment horizontal="center"/>
    </xf>
    <xf numFmtId="164" fontId="4" fillId="0" borderId="9" xfId="3" applyNumberFormat="1" applyBorder="1" applyAlignment="1">
      <alignment horizontal="center"/>
    </xf>
    <xf numFmtId="2" fontId="4" fillId="0" borderId="9" xfId="3" applyNumberFormat="1" applyBorder="1" applyAlignment="1">
      <alignment horizontal="center"/>
    </xf>
    <xf numFmtId="165" fontId="4" fillId="0" borderId="10" xfId="3" applyNumberFormat="1" applyBorder="1" applyAlignment="1">
      <alignment horizontal="center"/>
    </xf>
    <xf numFmtId="0" fontId="4" fillId="0" borderId="2" xfId="3" applyBorder="1" applyAlignment="1">
      <alignment horizontal="center"/>
    </xf>
    <xf numFmtId="14" fontId="4" fillId="0" borderId="4" xfId="3" applyNumberFormat="1" applyBorder="1"/>
    <xf numFmtId="14" fontId="4" fillId="0" borderId="3" xfId="3" applyNumberFormat="1" applyBorder="1"/>
    <xf numFmtId="0" fontId="4" fillId="0" borderId="4" xfId="3" applyBorder="1" applyAlignment="1">
      <alignment horizontal="center"/>
    </xf>
    <xf numFmtId="164" fontId="4" fillId="0" borderId="6" xfId="3" applyNumberFormat="1" applyBorder="1" applyAlignment="1">
      <alignment horizontal="center"/>
    </xf>
    <xf numFmtId="164" fontId="4" fillId="0" borderId="8" xfId="3" applyNumberFormat="1" applyBorder="1" applyAlignment="1">
      <alignment horizontal="center"/>
    </xf>
    <xf numFmtId="0" fontId="5" fillId="0" borderId="6" xfId="3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0" fontId="5" fillId="0" borderId="9" xfId="3" applyFont="1" applyBorder="1" applyAlignment="1">
      <alignment horizontal="center"/>
    </xf>
    <xf numFmtId="0" fontId="4" fillId="0" borderId="3" xfId="3" applyBorder="1" applyAlignment="1">
      <alignment horizontal="center"/>
    </xf>
    <xf numFmtId="14" fontId="4" fillId="0" borderId="3" xfId="3" applyNumberFormat="1" applyBorder="1" applyAlignment="1">
      <alignment horizontal="center"/>
    </xf>
    <xf numFmtId="14" fontId="4" fillId="0" borderId="4" xfId="3" applyNumberFormat="1" applyBorder="1" applyAlignment="1">
      <alignment horizontal="center"/>
    </xf>
    <xf numFmtId="14" fontId="4" fillId="0" borderId="7" xfId="3" applyNumberFormat="1" applyBorder="1" applyAlignment="1">
      <alignment horizontal="center"/>
    </xf>
    <xf numFmtId="14" fontId="4" fillId="0" borderId="9" xfId="3" applyNumberFormat="1" applyBorder="1" applyAlignment="1">
      <alignment horizontal="center"/>
    </xf>
    <xf numFmtId="14" fontId="4" fillId="0" borderId="10" xfId="3" applyNumberFormat="1" applyBorder="1" applyAlignment="1">
      <alignment horizontal="center"/>
    </xf>
    <xf numFmtId="1" fontId="4" fillId="0" borderId="9" xfId="3" applyNumberFormat="1" applyBorder="1" applyAlignment="1">
      <alignment horizontal="center"/>
    </xf>
    <xf numFmtId="0" fontId="1" fillId="0" borderId="0" xfId="3" applyFont="1" applyAlignment="1">
      <alignment horizontal="center"/>
    </xf>
    <xf numFmtId="0" fontId="3" fillId="2" borderId="13" xfId="1" applyFont="1" applyFill="1" applyBorder="1" applyAlignment="1">
      <alignment horizontal="center"/>
    </xf>
    <xf numFmtId="14" fontId="3" fillId="0" borderId="1" xfId="1" applyNumberFormat="1" applyFont="1" applyBorder="1" applyAlignment="1">
      <alignment horizontal="center"/>
    </xf>
    <xf numFmtId="0" fontId="4" fillId="5" borderId="2" xfId="3" applyFill="1" applyBorder="1" applyAlignment="1">
      <alignment horizontal="center"/>
    </xf>
    <xf numFmtId="0" fontId="4" fillId="5" borderId="3" xfId="3" applyFill="1" applyBorder="1" applyAlignment="1">
      <alignment horizontal="center"/>
    </xf>
    <xf numFmtId="2" fontId="4" fillId="5" borderId="3" xfId="3" applyNumberFormat="1" applyFill="1" applyBorder="1" applyAlignment="1">
      <alignment horizontal="center"/>
    </xf>
    <xf numFmtId="0" fontId="4" fillId="5" borderId="4" xfId="3" applyFill="1" applyBorder="1" applyAlignment="1">
      <alignment horizontal="center"/>
    </xf>
    <xf numFmtId="0" fontId="6" fillId="0" borderId="0" xfId="3" applyFont="1" applyAlignment="1">
      <alignment horizontal="center"/>
    </xf>
    <xf numFmtId="0" fontId="3" fillId="6" borderId="14" xfId="2" applyFont="1" applyFill="1" applyBorder="1" applyAlignment="1">
      <alignment horizontal="right" wrapText="1"/>
    </xf>
    <xf numFmtId="0" fontId="3" fillId="0" borderId="15" xfId="1" applyFont="1" applyBorder="1" applyAlignment="1">
      <alignment horizontal="center"/>
    </xf>
    <xf numFmtId="0" fontId="4" fillId="5" borderId="16" xfId="3" applyFill="1" applyBorder="1" applyAlignment="1">
      <alignment horizontal="center"/>
    </xf>
    <xf numFmtId="0" fontId="7" fillId="5" borderId="0" xfId="3" applyFont="1" applyFill="1" applyAlignment="1">
      <alignment horizontal="center"/>
    </xf>
    <xf numFmtId="1" fontId="4" fillId="5" borderId="0" xfId="3" applyNumberFormat="1" applyFill="1" applyAlignment="1">
      <alignment horizontal="center"/>
    </xf>
    <xf numFmtId="2" fontId="4" fillId="5" borderId="0" xfId="3" applyNumberFormat="1" applyFill="1" applyAlignment="1">
      <alignment horizontal="center"/>
    </xf>
    <xf numFmtId="165" fontId="4" fillId="5" borderId="0" xfId="3" applyNumberFormat="1" applyFill="1" applyAlignment="1">
      <alignment horizontal="center"/>
    </xf>
    <xf numFmtId="2" fontId="4" fillId="5" borderId="7" xfId="3" applyNumberFormat="1" applyFill="1" applyBorder="1" applyAlignment="1">
      <alignment horizontal="center"/>
    </xf>
    <xf numFmtId="0" fontId="3" fillId="6" borderId="17" xfId="2" applyFont="1" applyFill="1" applyBorder="1" applyAlignment="1">
      <alignment horizontal="right" wrapText="1"/>
    </xf>
    <xf numFmtId="0" fontId="4" fillId="5" borderId="18" xfId="3" applyFill="1" applyBorder="1" applyAlignment="1">
      <alignment horizontal="center"/>
    </xf>
    <xf numFmtId="0" fontId="4" fillId="5" borderId="19" xfId="3" applyFill="1" applyBorder="1" applyAlignment="1">
      <alignment horizontal="center"/>
    </xf>
    <xf numFmtId="0" fontId="4" fillId="5" borderId="9" xfId="3" applyFill="1" applyBorder="1" applyAlignment="1">
      <alignment horizontal="center"/>
    </xf>
    <xf numFmtId="1" fontId="4" fillId="5" borderId="9" xfId="3" applyNumberFormat="1" applyFill="1" applyBorder="1" applyAlignment="1">
      <alignment horizontal="center"/>
    </xf>
    <xf numFmtId="2" fontId="4" fillId="5" borderId="9" xfId="3" applyNumberFormat="1" applyFill="1" applyBorder="1" applyAlignment="1">
      <alignment horizontal="center"/>
    </xf>
    <xf numFmtId="165" fontId="4" fillId="5" borderId="9" xfId="3" applyNumberFormat="1" applyFill="1" applyBorder="1" applyAlignment="1">
      <alignment horizontal="center"/>
    </xf>
    <xf numFmtId="2" fontId="4" fillId="5" borderId="10" xfId="3" applyNumberFormat="1" applyFill="1" applyBorder="1" applyAlignment="1">
      <alignment horizontal="center"/>
    </xf>
    <xf numFmtId="0" fontId="3" fillId="6" borderId="20" xfId="2" applyFont="1" applyFill="1" applyBorder="1" applyAlignment="1">
      <alignment horizontal="right" wrapText="1"/>
    </xf>
    <xf numFmtId="0" fontId="3" fillId="6" borderId="21" xfId="2" applyFont="1" applyFill="1" applyBorder="1" applyAlignment="1">
      <alignment horizontal="right" wrapText="1"/>
    </xf>
    <xf numFmtId="0" fontId="3" fillId="0" borderId="22" xfId="1" applyFont="1" applyBorder="1" applyAlignment="1">
      <alignment horizontal="center"/>
    </xf>
    <xf numFmtId="2" fontId="4" fillId="0" borderId="23" xfId="3" applyNumberFormat="1" applyBorder="1" applyAlignment="1">
      <alignment horizontal="center"/>
    </xf>
    <xf numFmtId="164" fontId="4" fillId="0" borderId="23" xfId="3" applyNumberFormat="1" applyBorder="1" applyAlignment="1">
      <alignment horizontal="center"/>
    </xf>
    <xf numFmtId="0" fontId="4" fillId="0" borderId="23" xfId="3" applyBorder="1" applyAlignment="1">
      <alignment horizontal="center"/>
    </xf>
    <xf numFmtId="0" fontId="3" fillId="4" borderId="14" xfId="2" applyFont="1" applyFill="1" applyBorder="1" applyAlignment="1">
      <alignment horizontal="right" wrapText="1"/>
    </xf>
    <xf numFmtId="0" fontId="3" fillId="0" borderId="24" xfId="1" applyFont="1" applyBorder="1" applyAlignment="1">
      <alignment horizontal="center"/>
    </xf>
    <xf numFmtId="0" fontId="3" fillId="4" borderId="17" xfId="2" applyFont="1" applyFill="1" applyBorder="1" applyAlignment="1">
      <alignment horizontal="right" wrapText="1"/>
    </xf>
    <xf numFmtId="0" fontId="3" fillId="0" borderId="25" xfId="1" applyFont="1" applyBorder="1" applyAlignment="1">
      <alignment horizontal="center"/>
    </xf>
    <xf numFmtId="0" fontId="3" fillId="4" borderId="20" xfId="2" applyFont="1" applyFill="1" applyBorder="1" applyAlignment="1">
      <alignment horizontal="right" wrapText="1"/>
    </xf>
    <xf numFmtId="0" fontId="3" fillId="0" borderId="26" xfId="1" applyFont="1" applyBorder="1" applyAlignment="1">
      <alignment horizontal="center"/>
    </xf>
    <xf numFmtId="0" fontId="3" fillId="7" borderId="2" xfId="4" applyFont="1" applyFill="1" applyBorder="1" applyAlignment="1">
      <alignment horizontal="center"/>
    </xf>
    <xf numFmtId="0" fontId="3" fillId="7" borderId="4" xfId="4" applyFont="1" applyFill="1" applyBorder="1" applyAlignment="1">
      <alignment horizontal="center"/>
    </xf>
    <xf numFmtId="0" fontId="4" fillId="7" borderId="6" xfId="3" applyFill="1" applyBorder="1" applyAlignment="1">
      <alignment horizontal="center"/>
    </xf>
    <xf numFmtId="0" fontId="4" fillId="7" borderId="7" xfId="3" applyFill="1" applyBorder="1" applyAlignment="1">
      <alignment horizontal="center"/>
    </xf>
    <xf numFmtId="0" fontId="3" fillId="7" borderId="6" xfId="4" applyFont="1" applyFill="1" applyBorder="1" applyAlignment="1">
      <alignment horizontal="center"/>
    </xf>
    <xf numFmtId="0" fontId="3" fillId="7" borderId="7" xfId="4" applyFont="1" applyFill="1" applyBorder="1" applyAlignment="1">
      <alignment horizontal="center"/>
    </xf>
    <xf numFmtId="0" fontId="4" fillId="7" borderId="8" xfId="3" applyFill="1" applyBorder="1" applyAlignment="1">
      <alignment horizontal="center"/>
    </xf>
    <xf numFmtId="0" fontId="4" fillId="7" borderId="10" xfId="3" applyFill="1" applyBorder="1" applyAlignment="1">
      <alignment horizontal="center"/>
    </xf>
    <xf numFmtId="2" fontId="4" fillId="0" borderId="0" xfId="3" applyNumberFormat="1" applyFill="1" applyAlignment="1">
      <alignment horizontal="center"/>
    </xf>
    <xf numFmtId="1" fontId="4" fillId="0" borderId="0" xfId="3" applyNumberFormat="1" applyFill="1" applyAlignment="1">
      <alignment horizontal="center"/>
    </xf>
    <xf numFmtId="164" fontId="4" fillId="0" borderId="0" xfId="3" applyNumberFormat="1" applyFill="1" applyAlignment="1">
      <alignment horizontal="center"/>
    </xf>
    <xf numFmtId="0" fontId="4" fillId="0" borderId="0" xfId="3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6">
    <cellStyle name="Normal" xfId="0" builtinId="0"/>
    <cellStyle name="Normal 2" xfId="3" xr:uid="{66847117-6D86-3E42-9763-8941E6A704BA}"/>
    <cellStyle name="Normal_nebris" xfId="5" xr:uid="{21D575D6-E9C3-5649-85A6-D7FD059DCBFF}"/>
    <cellStyle name="Normal_nebris_1" xfId="1" xr:uid="{F82011AF-A688-9345-833D-C0EBEC552EFC}"/>
    <cellStyle name="Normal_nebris_2" xfId="4" xr:uid="{73A3D123-CC37-9F4A-9E13-E465072399EC}"/>
    <cellStyle name="Normal_Sheet1" xfId="2" xr:uid="{DAEF1D31-82E6-6C4E-8F67-E78C59B4715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ofnelincoln-my.sharepoint.com/personal/pmadison2_unl_edu/Documents/Cornboard/!!!!2311%20MAIN%20DOCUMENTxlsx.xlsx" TargetMode="External"/><Relationship Id="rId1" Type="http://schemas.openxmlformats.org/officeDocument/2006/relationships/externalLinkPath" Target="https://uofnelincoln-my.sharepoint.com/personal/pmadison2_unl_edu/Documents/Cornboard/!!!!2311%20MAIN%20DOCUMENTxls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ebris 11.27"/>
      <sheetName val="Nebris 11.28.23"/>
      <sheetName val="Assign"/>
      <sheetName val="Performance"/>
      <sheetName val="Notes"/>
      <sheetName val="Carcass "/>
      <sheetName val="Final Performance"/>
      <sheetName val="5 29 Plant Data"/>
      <sheetName val="6 12 Plant Data"/>
      <sheetName val="Livers 1"/>
      <sheetName val="Livers 2 Important"/>
      <sheetName val="DMO head"/>
      <sheetName val="KILL highlight"/>
      <sheetName val="Treatments in Pens"/>
      <sheetName val="Raw"/>
      <sheetName val="Interim "/>
      <sheetName val="SETUP"/>
      <sheetName val="Sort 1 Check"/>
      <sheetName val="Sort 2"/>
      <sheetName val="Sort 2 Check"/>
      <sheetName val="Sort 3"/>
      <sheetName val="Sort 3 Check "/>
      <sheetName val="Less than 2 lb"/>
    </sheetNames>
    <sheetDataSet>
      <sheetData sheetId="0">
        <row r="1">
          <cell r="E1" t="str">
            <v>Lnk_AnID</v>
          </cell>
          <cell r="F1" t="str">
            <v>Type</v>
          </cell>
          <cell r="G1" t="str">
            <v>Description</v>
          </cell>
          <cell r="H1" t="str">
            <v>Who</v>
          </cell>
          <cell r="I1" t="str">
            <v>Value</v>
          </cell>
        </row>
        <row r="2">
          <cell r="E2">
            <v>4311</v>
          </cell>
          <cell r="F2" t="str">
            <v>Limit Fed</v>
          </cell>
          <cell r="G2" t="str">
            <v>Weight</v>
          </cell>
          <cell r="H2" t="str">
            <v>Rebecca Sjostrand</v>
          </cell>
          <cell r="I2">
            <v>586</v>
          </cell>
        </row>
        <row r="3">
          <cell r="E3">
            <v>4312</v>
          </cell>
          <cell r="F3" t="str">
            <v>Limit Fed</v>
          </cell>
          <cell r="G3" t="str">
            <v>Weight</v>
          </cell>
          <cell r="H3" t="str">
            <v>Rebecca Sjostrand</v>
          </cell>
          <cell r="I3">
            <v>654</v>
          </cell>
        </row>
        <row r="4">
          <cell r="E4">
            <v>4313</v>
          </cell>
          <cell r="F4" t="str">
            <v>Limit Fed</v>
          </cell>
          <cell r="G4" t="str">
            <v>Weight</v>
          </cell>
          <cell r="H4" t="str">
            <v>Rebecca Sjostrand</v>
          </cell>
          <cell r="I4">
            <v>560</v>
          </cell>
        </row>
        <row r="5">
          <cell r="E5">
            <v>4314</v>
          </cell>
          <cell r="F5" t="str">
            <v>Limit Fed</v>
          </cell>
          <cell r="G5" t="str">
            <v>Weight</v>
          </cell>
          <cell r="H5" t="str">
            <v>Rebecca Sjostrand</v>
          </cell>
          <cell r="I5">
            <v>634</v>
          </cell>
        </row>
        <row r="6">
          <cell r="E6">
            <v>4315</v>
          </cell>
          <cell r="F6" t="str">
            <v>Limit Fed</v>
          </cell>
          <cell r="G6" t="str">
            <v>Weight</v>
          </cell>
          <cell r="H6" t="str">
            <v>Rebecca Sjostrand</v>
          </cell>
          <cell r="I6">
            <v>554</v>
          </cell>
        </row>
        <row r="7">
          <cell r="E7">
            <v>4316</v>
          </cell>
          <cell r="F7" t="str">
            <v>Limit Fed</v>
          </cell>
          <cell r="G7" t="str">
            <v>Weight</v>
          </cell>
          <cell r="H7" t="str">
            <v>Rebecca Sjostrand</v>
          </cell>
          <cell r="I7">
            <v>572</v>
          </cell>
        </row>
        <row r="8">
          <cell r="E8">
            <v>4317</v>
          </cell>
          <cell r="F8" t="str">
            <v>Limit Fed</v>
          </cell>
          <cell r="G8" t="str">
            <v>Weight</v>
          </cell>
          <cell r="H8" t="str">
            <v>Rebecca Sjostrand</v>
          </cell>
          <cell r="I8">
            <v>562</v>
          </cell>
        </row>
        <row r="9">
          <cell r="E9">
            <v>4318</v>
          </cell>
          <cell r="F9" t="str">
            <v>Limit Fed</v>
          </cell>
          <cell r="G9" t="str">
            <v>Weight</v>
          </cell>
          <cell r="H9" t="str">
            <v>Rebecca Sjostrand</v>
          </cell>
          <cell r="I9">
            <v>608</v>
          </cell>
        </row>
        <row r="10">
          <cell r="E10">
            <v>4319</v>
          </cell>
          <cell r="F10" t="str">
            <v>Limit Fed</v>
          </cell>
          <cell r="G10" t="str">
            <v>Weight</v>
          </cell>
          <cell r="H10" t="str">
            <v>Rebecca Sjostrand</v>
          </cell>
          <cell r="I10">
            <v>542</v>
          </cell>
        </row>
        <row r="11">
          <cell r="E11">
            <v>4320</v>
          </cell>
          <cell r="F11" t="str">
            <v>Limit Fed</v>
          </cell>
          <cell r="G11" t="str">
            <v>Weight</v>
          </cell>
          <cell r="H11" t="str">
            <v>Rebecca Sjostrand</v>
          </cell>
          <cell r="I11">
            <v>616</v>
          </cell>
        </row>
        <row r="12">
          <cell r="E12">
            <v>4321</v>
          </cell>
          <cell r="F12" t="str">
            <v>Limit Fed</v>
          </cell>
          <cell r="G12" t="str">
            <v>Weight</v>
          </cell>
          <cell r="H12" t="str">
            <v>Rebecca Sjostrand</v>
          </cell>
          <cell r="I12">
            <v>626</v>
          </cell>
        </row>
        <row r="13">
          <cell r="E13">
            <v>4322</v>
          </cell>
          <cell r="F13" t="str">
            <v>Limit Fed</v>
          </cell>
          <cell r="G13" t="str">
            <v>Weight</v>
          </cell>
          <cell r="H13" t="str">
            <v>Rebecca Sjostrand</v>
          </cell>
          <cell r="I13">
            <v>554</v>
          </cell>
        </row>
        <row r="14">
          <cell r="E14">
            <v>4323</v>
          </cell>
          <cell r="F14" t="str">
            <v>Limit Fed</v>
          </cell>
          <cell r="G14" t="str">
            <v>Weight</v>
          </cell>
          <cell r="H14" t="str">
            <v>Rebecca Sjostrand</v>
          </cell>
          <cell r="I14">
            <v>618</v>
          </cell>
        </row>
        <row r="15">
          <cell r="E15">
            <v>4324</v>
          </cell>
          <cell r="F15" t="str">
            <v>Limit Fed</v>
          </cell>
          <cell r="G15" t="str">
            <v>Weight</v>
          </cell>
          <cell r="H15" t="str">
            <v>Rebecca Sjostrand</v>
          </cell>
          <cell r="I15">
            <v>682</v>
          </cell>
        </row>
        <row r="16">
          <cell r="E16">
            <v>4325</v>
          </cell>
          <cell r="F16" t="str">
            <v>Limit Fed</v>
          </cell>
          <cell r="G16" t="str">
            <v>Weight</v>
          </cell>
          <cell r="H16" t="str">
            <v>Rebecca Sjostrand</v>
          </cell>
          <cell r="I16">
            <v>536</v>
          </cell>
        </row>
        <row r="17">
          <cell r="E17">
            <v>4326</v>
          </cell>
          <cell r="F17" t="str">
            <v>Limit Fed</v>
          </cell>
          <cell r="G17" t="str">
            <v>Weight</v>
          </cell>
          <cell r="H17" t="str">
            <v>Rebecca Sjostrand</v>
          </cell>
          <cell r="I17">
            <v>666</v>
          </cell>
        </row>
        <row r="18">
          <cell r="E18">
            <v>4327</v>
          </cell>
          <cell r="F18" t="str">
            <v>Limit Fed</v>
          </cell>
          <cell r="G18" t="str">
            <v>Weight</v>
          </cell>
          <cell r="H18" t="str">
            <v>Rebecca Sjostrand</v>
          </cell>
          <cell r="I18">
            <v>646</v>
          </cell>
        </row>
        <row r="19">
          <cell r="E19">
            <v>4328</v>
          </cell>
          <cell r="F19" t="str">
            <v>Limit Fed</v>
          </cell>
          <cell r="G19" t="str">
            <v>Weight</v>
          </cell>
          <cell r="H19" t="str">
            <v>Rebecca Sjostrand</v>
          </cell>
          <cell r="I19">
            <v>564</v>
          </cell>
        </row>
        <row r="20">
          <cell r="E20">
            <v>4329</v>
          </cell>
          <cell r="F20" t="str">
            <v>Limit Fed</v>
          </cell>
          <cell r="G20" t="str">
            <v>Weight</v>
          </cell>
          <cell r="H20" t="str">
            <v>Rebecca Sjostrand</v>
          </cell>
          <cell r="I20">
            <v>596</v>
          </cell>
        </row>
        <row r="21">
          <cell r="E21">
            <v>4330</v>
          </cell>
          <cell r="F21" t="str">
            <v>Limit Fed</v>
          </cell>
          <cell r="G21" t="str">
            <v>Weight</v>
          </cell>
          <cell r="H21" t="str">
            <v>Rebecca Sjostrand</v>
          </cell>
          <cell r="I21">
            <v>660</v>
          </cell>
        </row>
        <row r="22">
          <cell r="E22">
            <v>4332</v>
          </cell>
          <cell r="F22" t="str">
            <v>Limit Fed</v>
          </cell>
          <cell r="G22" t="str">
            <v>Weight</v>
          </cell>
          <cell r="H22" t="str">
            <v>Rebecca Sjostrand</v>
          </cell>
          <cell r="I22">
            <v>608</v>
          </cell>
        </row>
        <row r="23">
          <cell r="E23">
            <v>4333</v>
          </cell>
          <cell r="F23" t="str">
            <v>Limit Fed</v>
          </cell>
          <cell r="G23" t="str">
            <v>Weight</v>
          </cell>
          <cell r="H23" t="str">
            <v>Rebecca Sjostrand</v>
          </cell>
          <cell r="I23">
            <v>564</v>
          </cell>
        </row>
        <row r="24">
          <cell r="E24">
            <v>4334</v>
          </cell>
          <cell r="F24" t="str">
            <v>Limit Fed</v>
          </cell>
          <cell r="G24" t="str">
            <v>Weight</v>
          </cell>
          <cell r="H24" t="str">
            <v>Rebecca Sjostrand</v>
          </cell>
          <cell r="I24">
            <v>606</v>
          </cell>
        </row>
        <row r="25">
          <cell r="E25">
            <v>4335</v>
          </cell>
          <cell r="F25" t="str">
            <v>Limit Fed</v>
          </cell>
          <cell r="G25" t="str">
            <v>Weight</v>
          </cell>
          <cell r="H25" t="str">
            <v>Rebecca Sjostrand</v>
          </cell>
          <cell r="I25">
            <v>704</v>
          </cell>
        </row>
        <row r="26">
          <cell r="E26">
            <v>4336</v>
          </cell>
          <cell r="F26" t="str">
            <v>Limit Fed</v>
          </cell>
          <cell r="G26" t="str">
            <v>Weight</v>
          </cell>
          <cell r="H26" t="str">
            <v>Rebecca Sjostrand</v>
          </cell>
          <cell r="I26">
            <v>586</v>
          </cell>
        </row>
        <row r="27">
          <cell r="E27">
            <v>4337</v>
          </cell>
          <cell r="F27" t="str">
            <v>Limit Fed</v>
          </cell>
          <cell r="G27" t="str">
            <v>Weight</v>
          </cell>
          <cell r="H27" t="str">
            <v>Rebecca Sjostrand</v>
          </cell>
          <cell r="I27">
            <v>558</v>
          </cell>
        </row>
        <row r="28">
          <cell r="E28">
            <v>4338</v>
          </cell>
          <cell r="F28" t="str">
            <v>Limit Fed</v>
          </cell>
          <cell r="G28" t="str">
            <v>Weight</v>
          </cell>
          <cell r="H28" t="str">
            <v>Rebecca Sjostrand</v>
          </cell>
          <cell r="I28">
            <v>690</v>
          </cell>
        </row>
        <row r="29">
          <cell r="E29">
            <v>4339</v>
          </cell>
          <cell r="F29" t="str">
            <v>Limit Fed</v>
          </cell>
          <cell r="G29" t="str">
            <v>Weight</v>
          </cell>
          <cell r="H29" t="str">
            <v>Rebecca Sjostrand</v>
          </cell>
          <cell r="I29">
            <v>578</v>
          </cell>
        </row>
        <row r="30">
          <cell r="E30">
            <v>4340</v>
          </cell>
          <cell r="F30" t="str">
            <v>Limit Fed</v>
          </cell>
          <cell r="G30" t="str">
            <v>Weight</v>
          </cell>
          <cell r="H30" t="str">
            <v>Rebecca Sjostrand</v>
          </cell>
          <cell r="I30">
            <v>660</v>
          </cell>
        </row>
        <row r="31">
          <cell r="E31">
            <v>4341</v>
          </cell>
          <cell r="F31" t="str">
            <v>Limit Fed</v>
          </cell>
          <cell r="G31" t="str">
            <v>Weight</v>
          </cell>
          <cell r="H31" t="str">
            <v>Rebecca Sjostrand</v>
          </cell>
          <cell r="I31">
            <v>574</v>
          </cell>
        </row>
        <row r="32">
          <cell r="E32">
            <v>4342</v>
          </cell>
          <cell r="F32" t="str">
            <v>Limit Fed</v>
          </cell>
          <cell r="G32" t="str">
            <v>Weight</v>
          </cell>
          <cell r="H32" t="str">
            <v>Rebecca Sjostrand</v>
          </cell>
          <cell r="I32">
            <v>516</v>
          </cell>
        </row>
        <row r="33">
          <cell r="E33">
            <v>4343</v>
          </cell>
          <cell r="F33" t="str">
            <v>Limit Fed</v>
          </cell>
          <cell r="G33" t="str">
            <v>Weight</v>
          </cell>
          <cell r="H33" t="str">
            <v>Rebecca Sjostrand</v>
          </cell>
          <cell r="I33">
            <v>616</v>
          </cell>
        </row>
        <row r="34">
          <cell r="E34">
            <v>4344</v>
          </cell>
          <cell r="F34" t="str">
            <v>Limit Fed</v>
          </cell>
          <cell r="G34" t="str">
            <v>Weight</v>
          </cell>
          <cell r="H34" t="str">
            <v>Rebecca Sjostrand</v>
          </cell>
          <cell r="I34">
            <v>612</v>
          </cell>
        </row>
        <row r="35">
          <cell r="E35">
            <v>4345</v>
          </cell>
          <cell r="F35" t="str">
            <v>Limit Fed</v>
          </cell>
          <cell r="G35" t="str">
            <v>Weight</v>
          </cell>
          <cell r="H35" t="str">
            <v>Rebecca Sjostrand</v>
          </cell>
          <cell r="I35">
            <v>580</v>
          </cell>
        </row>
        <row r="36">
          <cell r="E36">
            <v>4346</v>
          </cell>
          <cell r="F36" t="str">
            <v>Limit Fed</v>
          </cell>
          <cell r="G36" t="str">
            <v>Weight</v>
          </cell>
          <cell r="H36" t="str">
            <v>Rebecca Sjostrand</v>
          </cell>
          <cell r="I36">
            <v>684</v>
          </cell>
        </row>
        <row r="37">
          <cell r="E37">
            <v>4347</v>
          </cell>
          <cell r="F37" t="str">
            <v>Limit Fed</v>
          </cell>
          <cell r="G37" t="str">
            <v>Weight</v>
          </cell>
          <cell r="H37" t="str">
            <v>Rebecca Sjostrand</v>
          </cell>
          <cell r="I37">
            <v>602</v>
          </cell>
        </row>
        <row r="38">
          <cell r="E38">
            <v>4348</v>
          </cell>
          <cell r="F38" t="str">
            <v>Limit Fed</v>
          </cell>
          <cell r="G38" t="str">
            <v>Weight</v>
          </cell>
          <cell r="H38" t="str">
            <v>Rebecca Sjostrand</v>
          </cell>
          <cell r="I38">
            <v>576</v>
          </cell>
        </row>
        <row r="39">
          <cell r="E39">
            <v>4349</v>
          </cell>
          <cell r="F39" t="str">
            <v>Limit Fed</v>
          </cell>
          <cell r="G39" t="str">
            <v>Weight</v>
          </cell>
          <cell r="H39" t="str">
            <v>Rebecca Sjostrand</v>
          </cell>
          <cell r="I39">
            <v>548</v>
          </cell>
        </row>
        <row r="40">
          <cell r="E40">
            <v>4350</v>
          </cell>
          <cell r="F40" t="str">
            <v>Limit Fed</v>
          </cell>
          <cell r="G40" t="str">
            <v>Weight</v>
          </cell>
          <cell r="H40" t="str">
            <v>Rebecca Sjostrand</v>
          </cell>
          <cell r="I40">
            <v>616</v>
          </cell>
        </row>
        <row r="41">
          <cell r="E41">
            <v>4351</v>
          </cell>
          <cell r="F41" t="str">
            <v>Limit Fed</v>
          </cell>
          <cell r="G41" t="str">
            <v>Weight</v>
          </cell>
          <cell r="H41" t="str">
            <v>Rebecca Sjostrand</v>
          </cell>
          <cell r="I41">
            <v>616</v>
          </cell>
        </row>
        <row r="42">
          <cell r="E42">
            <v>4352</v>
          </cell>
          <cell r="F42" t="str">
            <v>Limit Fed</v>
          </cell>
          <cell r="G42" t="str">
            <v>Weight</v>
          </cell>
          <cell r="H42" t="str">
            <v>Rebecca Sjostrand</v>
          </cell>
          <cell r="I42">
            <v>664</v>
          </cell>
        </row>
        <row r="43">
          <cell r="E43">
            <v>4353</v>
          </cell>
          <cell r="F43" t="str">
            <v>Limit Fed</v>
          </cell>
          <cell r="G43" t="str">
            <v>Weight</v>
          </cell>
          <cell r="H43" t="str">
            <v>Rebecca Sjostrand</v>
          </cell>
          <cell r="I43">
            <v>610</v>
          </cell>
        </row>
        <row r="44">
          <cell r="E44">
            <v>4354</v>
          </cell>
          <cell r="F44" t="str">
            <v>Limit Fed</v>
          </cell>
          <cell r="G44" t="str">
            <v>Weight</v>
          </cell>
          <cell r="H44" t="str">
            <v>Rebecca Sjostrand</v>
          </cell>
          <cell r="I44">
            <v>542</v>
          </cell>
        </row>
        <row r="45">
          <cell r="E45">
            <v>4355</v>
          </cell>
          <cell r="F45" t="str">
            <v>Limit Fed</v>
          </cell>
          <cell r="G45" t="str">
            <v>Weight</v>
          </cell>
          <cell r="H45" t="str">
            <v>Rebecca Sjostrand</v>
          </cell>
          <cell r="I45">
            <v>586</v>
          </cell>
        </row>
        <row r="46">
          <cell r="E46">
            <v>4356</v>
          </cell>
          <cell r="F46" t="str">
            <v>Limit Fed</v>
          </cell>
          <cell r="G46" t="str">
            <v>Weight</v>
          </cell>
          <cell r="H46" t="str">
            <v>Rebecca Sjostrand</v>
          </cell>
          <cell r="I46">
            <v>600</v>
          </cell>
        </row>
        <row r="47">
          <cell r="E47">
            <v>4357</v>
          </cell>
          <cell r="F47" t="str">
            <v>Limit Fed</v>
          </cell>
          <cell r="G47" t="str">
            <v>Weight</v>
          </cell>
          <cell r="H47" t="str">
            <v>Rebecca Sjostrand</v>
          </cell>
          <cell r="I47">
            <v>562</v>
          </cell>
        </row>
        <row r="48">
          <cell r="E48">
            <v>4358</v>
          </cell>
          <cell r="F48" t="str">
            <v>Limit Fed</v>
          </cell>
          <cell r="G48" t="str">
            <v>Weight</v>
          </cell>
          <cell r="H48" t="str">
            <v>Rebecca Sjostrand</v>
          </cell>
          <cell r="I48">
            <v>644</v>
          </cell>
        </row>
        <row r="49">
          <cell r="E49">
            <v>4359</v>
          </cell>
          <cell r="F49" t="str">
            <v>Limit Fed</v>
          </cell>
          <cell r="G49" t="str">
            <v>Weight</v>
          </cell>
          <cell r="H49" t="str">
            <v>Rebecca Sjostrand</v>
          </cell>
          <cell r="I49">
            <v>628</v>
          </cell>
        </row>
        <row r="50">
          <cell r="E50">
            <v>4360</v>
          </cell>
          <cell r="F50" t="str">
            <v>Limit Fed</v>
          </cell>
          <cell r="G50" t="str">
            <v>Weight</v>
          </cell>
          <cell r="H50" t="str">
            <v>Rebecca Sjostrand</v>
          </cell>
          <cell r="I50">
            <v>534</v>
          </cell>
        </row>
        <row r="51">
          <cell r="E51">
            <v>4361</v>
          </cell>
          <cell r="F51" t="str">
            <v>Limit Fed</v>
          </cell>
          <cell r="G51" t="str">
            <v>Weight</v>
          </cell>
          <cell r="H51" t="str">
            <v>Rebecca Sjostrand</v>
          </cell>
          <cell r="I51">
            <v>570</v>
          </cell>
        </row>
        <row r="52">
          <cell r="E52">
            <v>4362</v>
          </cell>
          <cell r="F52" t="str">
            <v>Limit Fed</v>
          </cell>
          <cell r="G52" t="str">
            <v>Weight</v>
          </cell>
          <cell r="H52" t="str">
            <v>Rebecca Sjostrand</v>
          </cell>
          <cell r="I52">
            <v>552</v>
          </cell>
        </row>
        <row r="53">
          <cell r="E53">
            <v>4364</v>
          </cell>
          <cell r="F53" t="str">
            <v>Limit Fed</v>
          </cell>
          <cell r="G53" t="str">
            <v>Weight</v>
          </cell>
          <cell r="H53" t="str">
            <v>Rebecca Sjostrand</v>
          </cell>
          <cell r="I53">
            <v>756</v>
          </cell>
        </row>
        <row r="54">
          <cell r="E54">
            <v>4365</v>
          </cell>
          <cell r="F54" t="str">
            <v>Limit Fed</v>
          </cell>
          <cell r="G54" t="str">
            <v>Weight</v>
          </cell>
          <cell r="H54" t="str">
            <v>Rebecca Sjostrand</v>
          </cell>
          <cell r="I54">
            <v>558</v>
          </cell>
        </row>
        <row r="55">
          <cell r="E55">
            <v>4366</v>
          </cell>
          <cell r="F55" t="str">
            <v>Limit Fed</v>
          </cell>
          <cell r="G55" t="str">
            <v>Weight</v>
          </cell>
          <cell r="H55" t="str">
            <v>Rebecca Sjostrand</v>
          </cell>
          <cell r="I55">
            <v>646</v>
          </cell>
        </row>
        <row r="56">
          <cell r="E56">
            <v>4367</v>
          </cell>
          <cell r="F56" t="str">
            <v>Limit Fed</v>
          </cell>
          <cell r="G56" t="str">
            <v>Weight</v>
          </cell>
          <cell r="H56" t="str">
            <v>Rebecca Sjostrand</v>
          </cell>
          <cell r="I56">
            <v>708</v>
          </cell>
        </row>
        <row r="57">
          <cell r="E57">
            <v>4368</v>
          </cell>
          <cell r="F57" t="str">
            <v>Limit Fed</v>
          </cell>
          <cell r="G57" t="str">
            <v>Weight</v>
          </cell>
          <cell r="H57" t="str">
            <v>Rebecca Sjostrand</v>
          </cell>
          <cell r="I57">
            <v>616</v>
          </cell>
        </row>
        <row r="58">
          <cell r="E58">
            <v>4369</v>
          </cell>
          <cell r="F58" t="str">
            <v>Limit Fed</v>
          </cell>
          <cell r="G58" t="str">
            <v>Weight</v>
          </cell>
          <cell r="H58" t="str">
            <v>Rebecca Sjostrand</v>
          </cell>
          <cell r="I58">
            <v>636</v>
          </cell>
        </row>
        <row r="59">
          <cell r="E59">
            <v>4370</v>
          </cell>
          <cell r="F59" t="str">
            <v>Limit Fed</v>
          </cell>
          <cell r="G59" t="str">
            <v>Weight</v>
          </cell>
          <cell r="H59" t="str">
            <v>Rebecca Sjostrand</v>
          </cell>
          <cell r="I59">
            <v>628</v>
          </cell>
        </row>
        <row r="60">
          <cell r="E60">
            <v>4371</v>
          </cell>
          <cell r="F60" t="str">
            <v>Limit Fed</v>
          </cell>
          <cell r="G60" t="str">
            <v>Weight</v>
          </cell>
          <cell r="H60" t="str">
            <v>Rebecca Sjostrand</v>
          </cell>
          <cell r="I60">
            <v>488</v>
          </cell>
        </row>
        <row r="61">
          <cell r="E61">
            <v>4372</v>
          </cell>
          <cell r="F61" t="str">
            <v>Limit Fed</v>
          </cell>
          <cell r="G61" t="str">
            <v>Weight</v>
          </cell>
          <cell r="H61" t="str">
            <v>Rebecca Sjostrand</v>
          </cell>
          <cell r="I61">
            <v>644</v>
          </cell>
        </row>
        <row r="62">
          <cell r="E62">
            <v>4373</v>
          </cell>
          <cell r="F62" t="str">
            <v>Limit Fed</v>
          </cell>
          <cell r="G62" t="str">
            <v>Weight</v>
          </cell>
          <cell r="H62" t="str">
            <v>Rebecca Sjostrand</v>
          </cell>
          <cell r="I62">
            <v>670</v>
          </cell>
        </row>
        <row r="63">
          <cell r="E63">
            <v>4374</v>
          </cell>
          <cell r="F63" t="str">
            <v>Limit Fed</v>
          </cell>
          <cell r="G63" t="str">
            <v>Weight</v>
          </cell>
          <cell r="H63" t="str">
            <v>Rebecca Sjostrand</v>
          </cell>
          <cell r="I63">
            <v>634</v>
          </cell>
        </row>
        <row r="64">
          <cell r="E64">
            <v>4375</v>
          </cell>
          <cell r="F64" t="str">
            <v>Limit Fed</v>
          </cell>
          <cell r="G64" t="str">
            <v>Weight</v>
          </cell>
          <cell r="H64" t="str">
            <v>Rebecca Sjostrand</v>
          </cell>
          <cell r="I64">
            <v>676</v>
          </cell>
        </row>
        <row r="65">
          <cell r="E65">
            <v>4376</v>
          </cell>
          <cell r="F65" t="str">
            <v>Limit Fed</v>
          </cell>
          <cell r="G65" t="str">
            <v>Weight</v>
          </cell>
          <cell r="H65" t="str">
            <v>Rebecca Sjostrand</v>
          </cell>
          <cell r="I65">
            <v>560</v>
          </cell>
        </row>
        <row r="66">
          <cell r="E66">
            <v>4377</v>
          </cell>
          <cell r="F66" t="str">
            <v>Limit Fed</v>
          </cell>
          <cell r="G66" t="str">
            <v>Weight</v>
          </cell>
          <cell r="H66" t="str">
            <v>Rebecca Sjostrand</v>
          </cell>
          <cell r="I66">
            <v>712</v>
          </cell>
        </row>
        <row r="67">
          <cell r="E67">
            <v>4378</v>
          </cell>
          <cell r="F67" t="str">
            <v>Limit Fed</v>
          </cell>
          <cell r="G67" t="str">
            <v>Weight</v>
          </cell>
          <cell r="H67" t="str">
            <v>Rebecca Sjostrand</v>
          </cell>
          <cell r="I67">
            <v>618</v>
          </cell>
        </row>
        <row r="68">
          <cell r="E68">
            <v>4379</v>
          </cell>
          <cell r="F68" t="str">
            <v>Limit Fed</v>
          </cell>
          <cell r="G68" t="str">
            <v>Weight</v>
          </cell>
          <cell r="H68" t="str">
            <v>Rebecca Sjostrand</v>
          </cell>
          <cell r="I68">
            <v>696</v>
          </cell>
        </row>
        <row r="69">
          <cell r="E69">
            <v>4380</v>
          </cell>
          <cell r="F69" t="str">
            <v>Limit Fed</v>
          </cell>
          <cell r="G69" t="str">
            <v>Weight</v>
          </cell>
          <cell r="H69" t="str">
            <v>Rebecca Sjostrand</v>
          </cell>
          <cell r="I69">
            <v>632</v>
          </cell>
        </row>
        <row r="70">
          <cell r="E70">
            <v>4381</v>
          </cell>
          <cell r="F70" t="str">
            <v>Limit Fed</v>
          </cell>
          <cell r="G70" t="str">
            <v>Weight</v>
          </cell>
          <cell r="H70" t="str">
            <v>Rebecca Sjostrand</v>
          </cell>
          <cell r="I70">
            <v>666</v>
          </cell>
        </row>
        <row r="71">
          <cell r="E71">
            <v>4382</v>
          </cell>
          <cell r="F71" t="str">
            <v>Limit Fed</v>
          </cell>
          <cell r="G71" t="str">
            <v>Weight</v>
          </cell>
          <cell r="H71" t="str">
            <v>Rebecca Sjostrand</v>
          </cell>
          <cell r="I71">
            <v>666</v>
          </cell>
        </row>
        <row r="72">
          <cell r="E72">
            <v>4383</v>
          </cell>
          <cell r="F72" t="str">
            <v>Limit Fed</v>
          </cell>
          <cell r="G72" t="str">
            <v>Weight</v>
          </cell>
          <cell r="H72" t="str">
            <v>Rebecca Sjostrand</v>
          </cell>
          <cell r="I72">
            <v>574</v>
          </cell>
        </row>
        <row r="73">
          <cell r="E73">
            <v>4384</v>
          </cell>
          <cell r="F73" t="str">
            <v>Limit Fed</v>
          </cell>
          <cell r="G73" t="str">
            <v>Weight</v>
          </cell>
          <cell r="H73" t="str">
            <v>Rebecca Sjostrand</v>
          </cell>
          <cell r="I73">
            <v>628</v>
          </cell>
        </row>
        <row r="74">
          <cell r="E74">
            <v>4385</v>
          </cell>
          <cell r="F74" t="str">
            <v>Limit Fed</v>
          </cell>
          <cell r="G74" t="str">
            <v>Weight</v>
          </cell>
          <cell r="H74" t="str">
            <v>Rebecca Sjostrand</v>
          </cell>
          <cell r="I74">
            <v>620</v>
          </cell>
        </row>
        <row r="75">
          <cell r="E75">
            <v>4387</v>
          </cell>
          <cell r="F75" t="str">
            <v>Limit Fed</v>
          </cell>
          <cell r="G75" t="str">
            <v>Weight</v>
          </cell>
          <cell r="H75" t="str">
            <v>Rebecca Sjostrand</v>
          </cell>
          <cell r="I75">
            <v>574</v>
          </cell>
        </row>
        <row r="76">
          <cell r="E76">
            <v>4388</v>
          </cell>
          <cell r="F76" t="str">
            <v>Limit Fed</v>
          </cell>
          <cell r="G76" t="str">
            <v>Weight</v>
          </cell>
          <cell r="H76" t="str">
            <v>Rebecca Sjostrand</v>
          </cell>
          <cell r="I76">
            <v>650</v>
          </cell>
        </row>
        <row r="77">
          <cell r="E77">
            <v>4389</v>
          </cell>
          <cell r="F77" t="str">
            <v>Limit Fed</v>
          </cell>
          <cell r="G77" t="str">
            <v>Weight</v>
          </cell>
          <cell r="H77" t="str">
            <v>Rebecca Sjostrand</v>
          </cell>
          <cell r="I77">
            <v>596</v>
          </cell>
        </row>
        <row r="78">
          <cell r="E78">
            <v>4390</v>
          </cell>
          <cell r="F78" t="str">
            <v>Limit Fed</v>
          </cell>
          <cell r="G78" t="str">
            <v>Weight</v>
          </cell>
          <cell r="H78" t="str">
            <v>Rebecca Sjostrand</v>
          </cell>
          <cell r="I78">
            <v>696</v>
          </cell>
        </row>
        <row r="79">
          <cell r="E79">
            <v>4391</v>
          </cell>
          <cell r="F79" t="str">
            <v>Limit Fed</v>
          </cell>
          <cell r="G79" t="str">
            <v>Weight</v>
          </cell>
          <cell r="H79" t="str">
            <v>Rebecca Sjostrand</v>
          </cell>
          <cell r="I79">
            <v>586</v>
          </cell>
        </row>
        <row r="80">
          <cell r="E80">
            <v>4392</v>
          </cell>
          <cell r="F80" t="str">
            <v>Limit Fed</v>
          </cell>
          <cell r="G80" t="str">
            <v>Weight</v>
          </cell>
          <cell r="H80" t="str">
            <v>Rebecca Sjostrand</v>
          </cell>
          <cell r="I80">
            <v>702</v>
          </cell>
        </row>
        <row r="81">
          <cell r="E81">
            <v>4393</v>
          </cell>
          <cell r="F81" t="str">
            <v>Limit Fed</v>
          </cell>
          <cell r="G81" t="str">
            <v>Weight</v>
          </cell>
          <cell r="H81" t="str">
            <v>Rebecca Sjostrand</v>
          </cell>
          <cell r="I81">
            <v>636</v>
          </cell>
        </row>
        <row r="82">
          <cell r="E82">
            <v>4394</v>
          </cell>
          <cell r="F82" t="str">
            <v>Limit Fed</v>
          </cell>
          <cell r="G82" t="str">
            <v>Weight</v>
          </cell>
          <cell r="H82" t="str">
            <v>Rebecca Sjostrand</v>
          </cell>
          <cell r="I82">
            <v>596</v>
          </cell>
        </row>
        <row r="83">
          <cell r="E83">
            <v>4395</v>
          </cell>
          <cell r="F83" t="str">
            <v>Limit Fed</v>
          </cell>
          <cell r="G83" t="str">
            <v>Weight</v>
          </cell>
          <cell r="H83" t="str">
            <v>Rebecca Sjostrand</v>
          </cell>
          <cell r="I83">
            <v>580</v>
          </cell>
        </row>
        <row r="84">
          <cell r="E84">
            <v>4396</v>
          </cell>
          <cell r="F84" t="str">
            <v>Limit Fed</v>
          </cell>
          <cell r="G84" t="str">
            <v>Weight</v>
          </cell>
          <cell r="H84" t="str">
            <v>Rebecca Sjostrand</v>
          </cell>
          <cell r="I84">
            <v>634</v>
          </cell>
        </row>
        <row r="85">
          <cell r="E85">
            <v>4397</v>
          </cell>
          <cell r="F85" t="str">
            <v>Limit Fed</v>
          </cell>
          <cell r="G85" t="str">
            <v>Weight</v>
          </cell>
          <cell r="H85" t="str">
            <v>Rebecca Sjostrand</v>
          </cell>
          <cell r="I85">
            <v>700</v>
          </cell>
        </row>
        <row r="86">
          <cell r="E86">
            <v>4398</v>
          </cell>
          <cell r="F86" t="str">
            <v>Limit Fed</v>
          </cell>
          <cell r="G86" t="str">
            <v>Weight</v>
          </cell>
          <cell r="H86" t="str">
            <v>Rebecca Sjostrand</v>
          </cell>
          <cell r="I86">
            <v>670</v>
          </cell>
        </row>
        <row r="87">
          <cell r="E87">
            <v>4399</v>
          </cell>
          <cell r="F87" t="str">
            <v>Limit Fed</v>
          </cell>
          <cell r="G87" t="str">
            <v>Weight</v>
          </cell>
          <cell r="H87" t="str">
            <v>Rebecca Sjostrand</v>
          </cell>
          <cell r="I87">
            <v>572</v>
          </cell>
        </row>
        <row r="88">
          <cell r="E88">
            <v>4400</v>
          </cell>
          <cell r="F88" t="str">
            <v>Limit Fed</v>
          </cell>
          <cell r="G88" t="str">
            <v>Weight</v>
          </cell>
          <cell r="H88" t="str">
            <v>Rebecca Sjostrand</v>
          </cell>
          <cell r="I88">
            <v>634</v>
          </cell>
        </row>
        <row r="89">
          <cell r="E89">
            <v>4401</v>
          </cell>
          <cell r="F89" t="str">
            <v>Limit Fed</v>
          </cell>
          <cell r="G89" t="str">
            <v>Weight</v>
          </cell>
          <cell r="H89" t="str">
            <v>Rebecca Sjostrand</v>
          </cell>
          <cell r="I89">
            <v>676</v>
          </cell>
        </row>
        <row r="90">
          <cell r="E90">
            <v>4402</v>
          </cell>
          <cell r="F90" t="str">
            <v>Limit Fed</v>
          </cell>
          <cell r="G90" t="str">
            <v>Weight</v>
          </cell>
          <cell r="H90" t="str">
            <v>Rebecca Sjostrand</v>
          </cell>
          <cell r="I90">
            <v>668</v>
          </cell>
        </row>
        <row r="91">
          <cell r="E91">
            <v>4403</v>
          </cell>
          <cell r="F91" t="str">
            <v>Limit Fed</v>
          </cell>
          <cell r="G91" t="str">
            <v>Weight</v>
          </cell>
          <cell r="H91" t="str">
            <v>Rebecca Sjostrand</v>
          </cell>
          <cell r="I91">
            <v>702</v>
          </cell>
        </row>
        <row r="92">
          <cell r="E92">
            <v>4404</v>
          </cell>
          <cell r="F92" t="str">
            <v>Limit Fed</v>
          </cell>
          <cell r="G92" t="str">
            <v>Weight</v>
          </cell>
          <cell r="H92" t="str">
            <v>Rebecca Sjostrand</v>
          </cell>
          <cell r="I92">
            <v>602</v>
          </cell>
        </row>
        <row r="93">
          <cell r="E93">
            <v>4405</v>
          </cell>
          <cell r="F93" t="str">
            <v>Limit Fed</v>
          </cell>
          <cell r="G93" t="str">
            <v>Weight</v>
          </cell>
          <cell r="H93" t="str">
            <v>Rebecca Sjostrand</v>
          </cell>
          <cell r="I93">
            <v>700</v>
          </cell>
        </row>
        <row r="94">
          <cell r="E94">
            <v>4406</v>
          </cell>
          <cell r="F94" t="str">
            <v>Limit Fed</v>
          </cell>
          <cell r="G94" t="str">
            <v>Weight</v>
          </cell>
          <cell r="H94" t="str">
            <v>Rebecca Sjostrand</v>
          </cell>
          <cell r="I94">
            <v>618</v>
          </cell>
        </row>
        <row r="95">
          <cell r="E95">
            <v>4407</v>
          </cell>
          <cell r="F95" t="str">
            <v>Limit Fed</v>
          </cell>
          <cell r="G95" t="str">
            <v>Weight</v>
          </cell>
          <cell r="H95" t="str">
            <v>Rebecca Sjostrand</v>
          </cell>
          <cell r="I95">
            <v>572</v>
          </cell>
        </row>
        <row r="96">
          <cell r="E96">
            <v>4408</v>
          </cell>
          <cell r="F96" t="str">
            <v>Limit Fed</v>
          </cell>
          <cell r="G96" t="str">
            <v>Weight</v>
          </cell>
          <cell r="H96" t="str">
            <v>Rebecca Sjostrand</v>
          </cell>
          <cell r="I96">
            <v>596</v>
          </cell>
        </row>
        <row r="97">
          <cell r="E97">
            <v>4409</v>
          </cell>
          <cell r="F97" t="str">
            <v>Limit Fed</v>
          </cell>
          <cell r="G97" t="str">
            <v>Weight</v>
          </cell>
          <cell r="H97" t="str">
            <v>Rebecca Sjostrand</v>
          </cell>
          <cell r="I97">
            <v>476</v>
          </cell>
        </row>
        <row r="98">
          <cell r="E98">
            <v>4410</v>
          </cell>
          <cell r="F98" t="str">
            <v>Limit Fed</v>
          </cell>
          <cell r="G98" t="str">
            <v>Weight</v>
          </cell>
          <cell r="H98" t="str">
            <v>Rebecca Sjostrand</v>
          </cell>
          <cell r="I98">
            <v>622</v>
          </cell>
        </row>
        <row r="99">
          <cell r="E99">
            <v>4411</v>
          </cell>
          <cell r="F99" t="str">
            <v>Limit Fed</v>
          </cell>
          <cell r="G99" t="str">
            <v>Weight</v>
          </cell>
          <cell r="H99" t="str">
            <v>Rebecca Sjostrand</v>
          </cell>
          <cell r="I99">
            <v>608</v>
          </cell>
        </row>
        <row r="100">
          <cell r="E100">
            <v>4412</v>
          </cell>
          <cell r="F100" t="str">
            <v>Limit Fed</v>
          </cell>
          <cell r="G100" t="str">
            <v>Weight</v>
          </cell>
          <cell r="H100" t="str">
            <v>Rebecca Sjostrand</v>
          </cell>
          <cell r="I100">
            <v>730</v>
          </cell>
        </row>
        <row r="101">
          <cell r="E101">
            <v>4413</v>
          </cell>
          <cell r="F101" t="str">
            <v>Limit Fed</v>
          </cell>
          <cell r="G101" t="str">
            <v>Weight</v>
          </cell>
          <cell r="H101" t="str">
            <v>Rebecca Sjostrand</v>
          </cell>
          <cell r="I101">
            <v>618</v>
          </cell>
        </row>
        <row r="102">
          <cell r="E102">
            <v>4414</v>
          </cell>
          <cell r="F102" t="str">
            <v>Limit Fed</v>
          </cell>
          <cell r="G102" t="str">
            <v>Weight</v>
          </cell>
          <cell r="H102" t="str">
            <v>Rebecca Sjostrand</v>
          </cell>
          <cell r="I102">
            <v>472</v>
          </cell>
        </row>
        <row r="103">
          <cell r="E103">
            <v>4415</v>
          </cell>
          <cell r="F103" t="str">
            <v>Limit Fed</v>
          </cell>
          <cell r="G103" t="str">
            <v>Weight</v>
          </cell>
          <cell r="H103" t="str">
            <v>Rebecca Sjostrand</v>
          </cell>
          <cell r="I103">
            <v>578</v>
          </cell>
        </row>
        <row r="104">
          <cell r="E104">
            <v>4416</v>
          </cell>
          <cell r="F104" t="str">
            <v>Limit Fed</v>
          </cell>
          <cell r="G104" t="str">
            <v>Weight</v>
          </cell>
          <cell r="H104" t="str">
            <v>Rebecca Sjostrand</v>
          </cell>
          <cell r="I104">
            <v>636</v>
          </cell>
        </row>
        <row r="105">
          <cell r="E105">
            <v>4417</v>
          </cell>
          <cell r="F105" t="str">
            <v>Limit Fed</v>
          </cell>
          <cell r="G105" t="str">
            <v>Weight</v>
          </cell>
          <cell r="H105" t="str">
            <v>Rebecca Sjostrand</v>
          </cell>
          <cell r="I105">
            <v>636</v>
          </cell>
        </row>
        <row r="106">
          <cell r="E106">
            <v>4418</v>
          </cell>
          <cell r="F106" t="str">
            <v>Limit Fed</v>
          </cell>
          <cell r="G106" t="str">
            <v>Weight</v>
          </cell>
          <cell r="H106" t="str">
            <v>Rebecca Sjostrand</v>
          </cell>
          <cell r="I106">
            <v>558</v>
          </cell>
        </row>
        <row r="107">
          <cell r="E107">
            <v>4419</v>
          </cell>
          <cell r="F107" t="str">
            <v>Limit Fed</v>
          </cell>
          <cell r="G107" t="str">
            <v>Weight</v>
          </cell>
          <cell r="H107" t="str">
            <v>Rebecca Sjostrand</v>
          </cell>
          <cell r="I107">
            <v>542</v>
          </cell>
        </row>
        <row r="108">
          <cell r="E108">
            <v>4420</v>
          </cell>
          <cell r="F108" t="str">
            <v>Limit Fed</v>
          </cell>
          <cell r="G108" t="str">
            <v>Weight</v>
          </cell>
          <cell r="H108" t="str">
            <v>Rebecca Sjostrand</v>
          </cell>
          <cell r="I108">
            <v>510</v>
          </cell>
        </row>
        <row r="109">
          <cell r="E109">
            <v>4421</v>
          </cell>
          <cell r="F109" t="str">
            <v>Limit Fed</v>
          </cell>
          <cell r="G109" t="str">
            <v>Weight</v>
          </cell>
          <cell r="H109" t="str">
            <v>Rebecca Sjostrand</v>
          </cell>
          <cell r="I109">
            <v>586</v>
          </cell>
        </row>
        <row r="110">
          <cell r="E110">
            <v>4422</v>
          </cell>
          <cell r="F110" t="str">
            <v>Limit Fed</v>
          </cell>
          <cell r="G110" t="str">
            <v>Weight</v>
          </cell>
          <cell r="H110" t="str">
            <v>Rebecca Sjostrand</v>
          </cell>
          <cell r="I110">
            <v>548</v>
          </cell>
        </row>
        <row r="111">
          <cell r="E111">
            <v>4423</v>
          </cell>
          <cell r="F111" t="str">
            <v>Limit Fed</v>
          </cell>
          <cell r="G111" t="str">
            <v>Weight</v>
          </cell>
          <cell r="H111" t="str">
            <v>Rebecca Sjostrand</v>
          </cell>
          <cell r="I111">
            <v>564</v>
          </cell>
        </row>
        <row r="112">
          <cell r="E112">
            <v>4424</v>
          </cell>
          <cell r="F112" t="str">
            <v>Limit Fed</v>
          </cell>
          <cell r="G112" t="str">
            <v>Weight</v>
          </cell>
          <cell r="H112" t="str">
            <v>Rebecca Sjostrand</v>
          </cell>
          <cell r="I112">
            <v>576</v>
          </cell>
        </row>
        <row r="113">
          <cell r="E113">
            <v>4425</v>
          </cell>
          <cell r="F113" t="str">
            <v>Limit Fed</v>
          </cell>
          <cell r="G113" t="str">
            <v>Weight</v>
          </cell>
          <cell r="H113" t="str">
            <v>Rebecca Sjostrand</v>
          </cell>
          <cell r="I113">
            <v>570</v>
          </cell>
        </row>
        <row r="114">
          <cell r="E114">
            <v>4426</v>
          </cell>
          <cell r="F114" t="str">
            <v>Limit Fed</v>
          </cell>
          <cell r="G114" t="str">
            <v>Weight</v>
          </cell>
          <cell r="H114" t="str">
            <v>Rebecca Sjostrand</v>
          </cell>
          <cell r="I114">
            <v>662</v>
          </cell>
        </row>
        <row r="115">
          <cell r="E115">
            <v>4427</v>
          </cell>
          <cell r="F115" t="str">
            <v>Limit Fed</v>
          </cell>
          <cell r="G115" t="str">
            <v>Weight</v>
          </cell>
          <cell r="H115" t="str">
            <v>Rebecca Sjostrand</v>
          </cell>
          <cell r="I115">
            <v>590</v>
          </cell>
        </row>
        <row r="116">
          <cell r="E116">
            <v>4428</v>
          </cell>
          <cell r="F116" t="str">
            <v>Limit Fed</v>
          </cell>
          <cell r="G116" t="str">
            <v>Weight</v>
          </cell>
          <cell r="H116" t="str">
            <v>Rebecca Sjostrand</v>
          </cell>
          <cell r="I116">
            <v>606</v>
          </cell>
        </row>
        <row r="117">
          <cell r="E117">
            <v>4429</v>
          </cell>
          <cell r="F117" t="str">
            <v>Limit Fed</v>
          </cell>
          <cell r="G117" t="str">
            <v>Weight</v>
          </cell>
          <cell r="H117" t="str">
            <v>Rebecca Sjostrand</v>
          </cell>
          <cell r="I117">
            <v>636</v>
          </cell>
        </row>
        <row r="118">
          <cell r="E118">
            <v>4430</v>
          </cell>
          <cell r="F118" t="str">
            <v>Limit Fed</v>
          </cell>
          <cell r="G118" t="str">
            <v>Weight</v>
          </cell>
          <cell r="H118" t="str">
            <v>Rebecca Sjostrand</v>
          </cell>
          <cell r="I118">
            <v>636</v>
          </cell>
        </row>
        <row r="119">
          <cell r="E119">
            <v>4431</v>
          </cell>
          <cell r="F119" t="str">
            <v>Limit Fed</v>
          </cell>
          <cell r="G119" t="str">
            <v>Weight</v>
          </cell>
          <cell r="H119" t="str">
            <v>Rebecca Sjostrand</v>
          </cell>
          <cell r="I119">
            <v>550</v>
          </cell>
        </row>
        <row r="120">
          <cell r="E120">
            <v>4432</v>
          </cell>
          <cell r="F120" t="str">
            <v>Limit Fed</v>
          </cell>
          <cell r="G120" t="str">
            <v>Weight</v>
          </cell>
          <cell r="H120" t="str">
            <v>Rebecca Sjostrand</v>
          </cell>
          <cell r="I120">
            <v>604</v>
          </cell>
        </row>
        <row r="121">
          <cell r="E121">
            <v>4433</v>
          </cell>
          <cell r="F121" t="str">
            <v>Limit Fed</v>
          </cell>
          <cell r="G121" t="str">
            <v>Weight</v>
          </cell>
          <cell r="H121" t="str">
            <v>Rebecca Sjostrand</v>
          </cell>
          <cell r="I121">
            <v>588</v>
          </cell>
        </row>
        <row r="122">
          <cell r="E122">
            <v>4434</v>
          </cell>
          <cell r="F122" t="str">
            <v>Limit Fed</v>
          </cell>
          <cell r="G122" t="str">
            <v>Weight</v>
          </cell>
          <cell r="H122" t="str">
            <v>Rebecca Sjostrand</v>
          </cell>
          <cell r="I122">
            <v>458</v>
          </cell>
        </row>
        <row r="123">
          <cell r="E123">
            <v>4435</v>
          </cell>
          <cell r="F123" t="str">
            <v>Limit Fed</v>
          </cell>
          <cell r="G123" t="str">
            <v>Weight</v>
          </cell>
          <cell r="H123" t="str">
            <v>Rebecca Sjostrand</v>
          </cell>
          <cell r="I123">
            <v>638</v>
          </cell>
        </row>
        <row r="124">
          <cell r="E124">
            <v>4436</v>
          </cell>
          <cell r="F124" t="str">
            <v>Limit Fed</v>
          </cell>
          <cell r="G124" t="str">
            <v>Weight</v>
          </cell>
          <cell r="H124" t="str">
            <v>Rebecca Sjostrand</v>
          </cell>
          <cell r="I124">
            <v>738</v>
          </cell>
        </row>
        <row r="125">
          <cell r="E125">
            <v>4437</v>
          </cell>
          <cell r="F125" t="str">
            <v>Limit Fed</v>
          </cell>
          <cell r="G125" t="str">
            <v>Weight</v>
          </cell>
          <cell r="H125" t="str">
            <v>Rebecca Sjostrand</v>
          </cell>
          <cell r="I125">
            <v>554</v>
          </cell>
        </row>
        <row r="126">
          <cell r="E126">
            <v>4438</v>
          </cell>
          <cell r="F126" t="str">
            <v>Limit Fed</v>
          </cell>
          <cell r="G126" t="str">
            <v>Weight</v>
          </cell>
          <cell r="H126" t="str">
            <v>Rebecca Sjostrand</v>
          </cell>
          <cell r="I126">
            <v>552</v>
          </cell>
        </row>
        <row r="127">
          <cell r="E127">
            <v>4439</v>
          </cell>
          <cell r="F127" t="str">
            <v>Limit Fed</v>
          </cell>
          <cell r="G127" t="str">
            <v>Weight</v>
          </cell>
          <cell r="H127" t="str">
            <v>Rebecca Sjostrand</v>
          </cell>
          <cell r="I127">
            <v>598</v>
          </cell>
        </row>
        <row r="128">
          <cell r="E128">
            <v>4440</v>
          </cell>
          <cell r="F128" t="str">
            <v>Limit Fed</v>
          </cell>
          <cell r="G128" t="str">
            <v>Weight</v>
          </cell>
          <cell r="H128" t="str">
            <v>Rebecca Sjostrand</v>
          </cell>
          <cell r="I128">
            <v>636</v>
          </cell>
        </row>
        <row r="129">
          <cell r="E129">
            <v>4441</v>
          </cell>
          <cell r="F129" t="str">
            <v>Limit Fed</v>
          </cell>
          <cell r="G129" t="str">
            <v>Weight</v>
          </cell>
          <cell r="H129" t="str">
            <v>Rebecca Sjostrand</v>
          </cell>
          <cell r="I129">
            <v>758</v>
          </cell>
        </row>
        <row r="130">
          <cell r="E130">
            <v>4442</v>
          </cell>
          <cell r="F130" t="str">
            <v>Limit Fed</v>
          </cell>
          <cell r="G130" t="str">
            <v>Weight</v>
          </cell>
          <cell r="H130" t="str">
            <v>Rebecca Sjostrand</v>
          </cell>
          <cell r="I130">
            <v>638</v>
          </cell>
        </row>
        <row r="131">
          <cell r="E131">
            <v>4443</v>
          </cell>
          <cell r="F131" t="str">
            <v>Limit Fed</v>
          </cell>
          <cell r="G131" t="str">
            <v>Weight</v>
          </cell>
          <cell r="H131" t="str">
            <v>Rebecca Sjostrand</v>
          </cell>
          <cell r="I131">
            <v>586</v>
          </cell>
        </row>
        <row r="132">
          <cell r="E132">
            <v>4444</v>
          </cell>
          <cell r="F132" t="str">
            <v>Limit Fed</v>
          </cell>
          <cell r="G132" t="str">
            <v>Weight</v>
          </cell>
          <cell r="H132" t="str">
            <v>Rebecca Sjostrand</v>
          </cell>
          <cell r="I132">
            <v>580</v>
          </cell>
        </row>
        <row r="133">
          <cell r="E133">
            <v>4445</v>
          </cell>
          <cell r="F133" t="str">
            <v>Limit Fed</v>
          </cell>
          <cell r="G133" t="str">
            <v>Weight</v>
          </cell>
          <cell r="H133" t="str">
            <v>Rebecca Sjostrand</v>
          </cell>
          <cell r="I133">
            <v>562</v>
          </cell>
        </row>
        <row r="134">
          <cell r="E134">
            <v>4446</v>
          </cell>
          <cell r="F134" t="str">
            <v>Limit Fed</v>
          </cell>
          <cell r="G134" t="str">
            <v>Weight</v>
          </cell>
          <cell r="H134" t="str">
            <v>Rebecca Sjostrand</v>
          </cell>
          <cell r="I134">
            <v>602</v>
          </cell>
        </row>
        <row r="135">
          <cell r="E135">
            <v>4447</v>
          </cell>
          <cell r="F135" t="str">
            <v>Limit Fed</v>
          </cell>
          <cell r="G135" t="str">
            <v>Weight</v>
          </cell>
          <cell r="H135" t="str">
            <v>Rebecca Sjostrand</v>
          </cell>
          <cell r="I135">
            <v>744</v>
          </cell>
        </row>
        <row r="136">
          <cell r="E136">
            <v>4448</v>
          </cell>
          <cell r="F136" t="str">
            <v>Limit Fed</v>
          </cell>
          <cell r="G136" t="str">
            <v>Weight</v>
          </cell>
          <cell r="H136" t="str">
            <v>Rebecca Sjostrand</v>
          </cell>
          <cell r="I136">
            <v>648</v>
          </cell>
        </row>
        <row r="137">
          <cell r="E137">
            <v>4449</v>
          </cell>
          <cell r="F137" t="str">
            <v>Limit Fed</v>
          </cell>
          <cell r="G137" t="str">
            <v>Weight</v>
          </cell>
          <cell r="H137" t="str">
            <v>Rebecca Sjostrand</v>
          </cell>
          <cell r="I137">
            <v>746</v>
          </cell>
        </row>
        <row r="138">
          <cell r="E138">
            <v>4450</v>
          </cell>
          <cell r="F138" t="str">
            <v>Limit Fed</v>
          </cell>
          <cell r="G138" t="str">
            <v>Weight</v>
          </cell>
          <cell r="H138" t="str">
            <v>Rebecca Sjostrand</v>
          </cell>
          <cell r="I138">
            <v>570</v>
          </cell>
        </row>
        <row r="139">
          <cell r="E139">
            <v>4451</v>
          </cell>
          <cell r="F139" t="str">
            <v>Limit Fed</v>
          </cell>
          <cell r="G139" t="str">
            <v>Weight</v>
          </cell>
          <cell r="H139" t="str">
            <v>Rebecca Sjostrand</v>
          </cell>
          <cell r="I139">
            <v>760</v>
          </cell>
        </row>
        <row r="140">
          <cell r="E140">
            <v>4452</v>
          </cell>
          <cell r="F140" t="str">
            <v>Limit Fed</v>
          </cell>
          <cell r="G140" t="str">
            <v>Weight</v>
          </cell>
          <cell r="H140" t="str">
            <v>Rebecca Sjostrand</v>
          </cell>
          <cell r="I140">
            <v>636</v>
          </cell>
        </row>
        <row r="141">
          <cell r="E141">
            <v>4453</v>
          </cell>
          <cell r="F141" t="str">
            <v>Limit Fed</v>
          </cell>
          <cell r="G141" t="str">
            <v>Weight</v>
          </cell>
          <cell r="H141" t="str">
            <v>Rebecca Sjostrand</v>
          </cell>
          <cell r="I141">
            <v>646</v>
          </cell>
        </row>
        <row r="142">
          <cell r="E142">
            <v>4454</v>
          </cell>
          <cell r="F142" t="str">
            <v>Limit Fed</v>
          </cell>
          <cell r="G142" t="str">
            <v>Weight</v>
          </cell>
          <cell r="H142" t="str">
            <v>Rebecca Sjostrand</v>
          </cell>
          <cell r="I142">
            <v>588</v>
          </cell>
        </row>
        <row r="143">
          <cell r="E143">
            <v>4455</v>
          </cell>
          <cell r="F143" t="str">
            <v>Limit Fed</v>
          </cell>
          <cell r="G143" t="str">
            <v>Weight</v>
          </cell>
          <cell r="H143" t="str">
            <v>Rebecca Sjostrand</v>
          </cell>
          <cell r="I143">
            <v>534</v>
          </cell>
        </row>
        <row r="144">
          <cell r="E144">
            <v>4456</v>
          </cell>
          <cell r="F144" t="str">
            <v>Limit Fed</v>
          </cell>
          <cell r="G144" t="str">
            <v>Weight</v>
          </cell>
          <cell r="H144" t="str">
            <v>Rebecca Sjostrand</v>
          </cell>
          <cell r="I144">
            <v>614</v>
          </cell>
        </row>
        <row r="145">
          <cell r="E145">
            <v>4457</v>
          </cell>
          <cell r="F145" t="str">
            <v>Limit Fed</v>
          </cell>
          <cell r="G145" t="str">
            <v>Weight</v>
          </cell>
          <cell r="H145" t="str">
            <v>Rebecca Sjostrand</v>
          </cell>
          <cell r="I145">
            <v>548</v>
          </cell>
        </row>
        <row r="146">
          <cell r="E146">
            <v>4458</v>
          </cell>
          <cell r="F146" t="str">
            <v>Limit Fed</v>
          </cell>
          <cell r="G146" t="str">
            <v>Weight</v>
          </cell>
          <cell r="H146" t="str">
            <v>Rebecca Sjostrand</v>
          </cell>
          <cell r="I146">
            <v>666</v>
          </cell>
        </row>
        <row r="147">
          <cell r="E147">
            <v>4459</v>
          </cell>
          <cell r="F147" t="str">
            <v>Limit Fed</v>
          </cell>
          <cell r="G147" t="str">
            <v>Weight</v>
          </cell>
          <cell r="H147" t="str">
            <v>Rebecca Sjostrand</v>
          </cell>
          <cell r="I147">
            <v>606</v>
          </cell>
        </row>
        <row r="148">
          <cell r="E148">
            <v>4460</v>
          </cell>
          <cell r="F148" t="str">
            <v>Limit Fed</v>
          </cell>
          <cell r="G148" t="str">
            <v>Weight</v>
          </cell>
          <cell r="H148" t="str">
            <v>Rebecca Sjostrand</v>
          </cell>
          <cell r="I148">
            <v>560</v>
          </cell>
        </row>
        <row r="149">
          <cell r="E149">
            <v>4461</v>
          </cell>
          <cell r="F149" t="str">
            <v>Limit Fed</v>
          </cell>
          <cell r="G149" t="str">
            <v>Weight</v>
          </cell>
          <cell r="H149" t="str">
            <v>Rebecca Sjostrand</v>
          </cell>
          <cell r="I149">
            <v>670</v>
          </cell>
        </row>
        <row r="150">
          <cell r="E150">
            <v>4462</v>
          </cell>
          <cell r="F150" t="str">
            <v>Limit Fed</v>
          </cell>
          <cell r="G150" t="str">
            <v>Weight</v>
          </cell>
          <cell r="H150" t="str">
            <v>Rebecca Sjostrand</v>
          </cell>
          <cell r="I150">
            <v>666</v>
          </cell>
        </row>
        <row r="151">
          <cell r="E151">
            <v>4463</v>
          </cell>
          <cell r="F151" t="str">
            <v>Limit Fed</v>
          </cell>
          <cell r="G151" t="str">
            <v>Weight</v>
          </cell>
          <cell r="H151" t="str">
            <v>Rebecca Sjostrand</v>
          </cell>
          <cell r="I151">
            <v>576</v>
          </cell>
        </row>
        <row r="152">
          <cell r="E152">
            <v>4464</v>
          </cell>
          <cell r="F152" t="str">
            <v>Limit Fed</v>
          </cell>
          <cell r="G152" t="str">
            <v>Weight</v>
          </cell>
          <cell r="H152" t="str">
            <v>Rebecca Sjostrand</v>
          </cell>
          <cell r="I152">
            <v>608</v>
          </cell>
        </row>
        <row r="153">
          <cell r="E153">
            <v>4465</v>
          </cell>
          <cell r="F153" t="str">
            <v>Limit Fed</v>
          </cell>
          <cell r="G153" t="str">
            <v>Weight</v>
          </cell>
          <cell r="H153" t="str">
            <v>Rebecca Sjostrand</v>
          </cell>
          <cell r="I153">
            <v>618</v>
          </cell>
        </row>
        <row r="154">
          <cell r="E154">
            <v>4466</v>
          </cell>
          <cell r="F154" t="str">
            <v>Limit Fed</v>
          </cell>
          <cell r="G154" t="str">
            <v>Weight</v>
          </cell>
          <cell r="H154" t="str">
            <v>Rebecca Sjostrand</v>
          </cell>
          <cell r="I154">
            <v>608</v>
          </cell>
        </row>
        <row r="155">
          <cell r="E155">
            <v>4467</v>
          </cell>
          <cell r="F155" t="str">
            <v>Limit Fed</v>
          </cell>
          <cell r="G155" t="str">
            <v>Weight</v>
          </cell>
          <cell r="H155" t="str">
            <v>Rebecca Sjostrand</v>
          </cell>
          <cell r="I155">
            <v>596</v>
          </cell>
        </row>
        <row r="156">
          <cell r="E156">
            <v>4468</v>
          </cell>
          <cell r="F156" t="str">
            <v>Limit Fed</v>
          </cell>
          <cell r="G156" t="str">
            <v>Weight</v>
          </cell>
          <cell r="H156" t="str">
            <v>Rebecca Sjostrand</v>
          </cell>
          <cell r="I156">
            <v>572</v>
          </cell>
        </row>
        <row r="157">
          <cell r="E157">
            <v>4469</v>
          </cell>
          <cell r="F157" t="str">
            <v>Limit Fed</v>
          </cell>
          <cell r="G157" t="str">
            <v>Weight</v>
          </cell>
          <cell r="H157" t="str">
            <v>Rebecca Sjostrand</v>
          </cell>
          <cell r="I157">
            <v>566</v>
          </cell>
        </row>
        <row r="158">
          <cell r="E158">
            <v>4470</v>
          </cell>
          <cell r="F158" t="str">
            <v>Limit Fed</v>
          </cell>
          <cell r="G158" t="str">
            <v>Weight</v>
          </cell>
          <cell r="H158" t="str">
            <v>Rebecca Sjostrand</v>
          </cell>
          <cell r="I158">
            <v>640</v>
          </cell>
        </row>
        <row r="159">
          <cell r="E159">
            <v>4471</v>
          </cell>
          <cell r="F159" t="str">
            <v>Limit Fed</v>
          </cell>
          <cell r="G159" t="str">
            <v>Weight</v>
          </cell>
          <cell r="H159" t="str">
            <v>Rebecca Sjostrand</v>
          </cell>
          <cell r="I159">
            <v>594</v>
          </cell>
        </row>
        <row r="160">
          <cell r="E160">
            <v>4472</v>
          </cell>
          <cell r="F160" t="str">
            <v>Limit Fed</v>
          </cell>
          <cell r="G160" t="str">
            <v>Weight</v>
          </cell>
          <cell r="H160" t="str">
            <v>Rebecca Sjostrand</v>
          </cell>
          <cell r="I160">
            <v>618</v>
          </cell>
        </row>
        <row r="161">
          <cell r="E161">
            <v>4473</v>
          </cell>
          <cell r="F161" t="str">
            <v>Limit Fed</v>
          </cell>
          <cell r="G161" t="str">
            <v>Weight</v>
          </cell>
          <cell r="H161" t="str">
            <v>Rebecca Sjostrand</v>
          </cell>
          <cell r="I161">
            <v>602</v>
          </cell>
        </row>
        <row r="162">
          <cell r="E162">
            <v>4474</v>
          </cell>
          <cell r="F162" t="str">
            <v>Limit Fed</v>
          </cell>
          <cell r="G162" t="str">
            <v>Weight</v>
          </cell>
          <cell r="H162" t="str">
            <v>Rebecca Sjostrand</v>
          </cell>
          <cell r="I162">
            <v>726</v>
          </cell>
        </row>
        <row r="163">
          <cell r="E163">
            <v>4475</v>
          </cell>
          <cell r="F163" t="str">
            <v>Limit Fed</v>
          </cell>
          <cell r="G163" t="str">
            <v>Weight</v>
          </cell>
          <cell r="H163" t="str">
            <v>Rebecca Sjostrand</v>
          </cell>
          <cell r="I163">
            <v>630</v>
          </cell>
        </row>
        <row r="164">
          <cell r="E164">
            <v>4476</v>
          </cell>
          <cell r="F164" t="str">
            <v>Limit Fed</v>
          </cell>
          <cell r="G164" t="str">
            <v>Weight</v>
          </cell>
          <cell r="H164" t="str">
            <v>Rebecca Sjostrand</v>
          </cell>
          <cell r="I164">
            <v>530</v>
          </cell>
        </row>
        <row r="165">
          <cell r="E165">
            <v>4477</v>
          </cell>
          <cell r="F165" t="str">
            <v>Limit Fed</v>
          </cell>
          <cell r="G165" t="str">
            <v>Weight</v>
          </cell>
          <cell r="H165" t="str">
            <v>Rebecca Sjostrand</v>
          </cell>
          <cell r="I165">
            <v>606</v>
          </cell>
        </row>
        <row r="166">
          <cell r="E166">
            <v>4478</v>
          </cell>
          <cell r="F166" t="str">
            <v>Limit Fed</v>
          </cell>
          <cell r="G166" t="str">
            <v>Weight</v>
          </cell>
          <cell r="H166" t="str">
            <v>Rebecca Sjostrand</v>
          </cell>
          <cell r="I166">
            <v>714</v>
          </cell>
        </row>
        <row r="167">
          <cell r="E167">
            <v>4479</v>
          </cell>
          <cell r="F167" t="str">
            <v>Limit Fed</v>
          </cell>
          <cell r="G167" t="str">
            <v>Weight</v>
          </cell>
          <cell r="H167" t="str">
            <v>Rebecca Sjostrand</v>
          </cell>
          <cell r="I167">
            <v>592</v>
          </cell>
        </row>
        <row r="168">
          <cell r="E168">
            <v>4480</v>
          </cell>
          <cell r="F168" t="str">
            <v>Limit Fed</v>
          </cell>
          <cell r="G168" t="str">
            <v>Weight</v>
          </cell>
          <cell r="H168" t="str">
            <v>Rebecca Sjostrand</v>
          </cell>
          <cell r="I168">
            <v>548</v>
          </cell>
        </row>
        <row r="169">
          <cell r="E169">
            <v>4481</v>
          </cell>
          <cell r="F169" t="str">
            <v>Limit Fed</v>
          </cell>
          <cell r="G169" t="str">
            <v>Weight</v>
          </cell>
          <cell r="H169" t="str">
            <v>Rebecca Sjostrand</v>
          </cell>
          <cell r="I169">
            <v>618</v>
          </cell>
        </row>
        <row r="170">
          <cell r="E170">
            <v>4482</v>
          </cell>
          <cell r="F170" t="str">
            <v>Limit Fed</v>
          </cell>
          <cell r="G170" t="str">
            <v>Weight</v>
          </cell>
          <cell r="H170" t="str">
            <v>Rebecca Sjostrand</v>
          </cell>
          <cell r="I170">
            <v>692</v>
          </cell>
        </row>
        <row r="171">
          <cell r="E171">
            <v>4483</v>
          </cell>
          <cell r="F171" t="str">
            <v>Limit Fed</v>
          </cell>
          <cell r="G171" t="str">
            <v>Weight</v>
          </cell>
          <cell r="H171" t="str">
            <v>Rebecca Sjostrand</v>
          </cell>
          <cell r="I171">
            <v>588</v>
          </cell>
        </row>
        <row r="172">
          <cell r="E172">
            <v>4484</v>
          </cell>
          <cell r="F172" t="str">
            <v>Limit Fed</v>
          </cell>
          <cell r="G172" t="str">
            <v>Weight</v>
          </cell>
          <cell r="H172" t="str">
            <v>Rebecca Sjostrand</v>
          </cell>
          <cell r="I172">
            <v>648</v>
          </cell>
        </row>
        <row r="173">
          <cell r="E173">
            <v>4485</v>
          </cell>
          <cell r="F173" t="str">
            <v>Limit Fed</v>
          </cell>
          <cell r="G173" t="str">
            <v>Weight</v>
          </cell>
          <cell r="H173" t="str">
            <v>Rebecca Sjostrand</v>
          </cell>
          <cell r="I173">
            <v>556</v>
          </cell>
        </row>
        <row r="174">
          <cell r="E174">
            <v>4486</v>
          </cell>
          <cell r="F174" t="str">
            <v>Limit Fed</v>
          </cell>
          <cell r="G174" t="str">
            <v>Weight</v>
          </cell>
          <cell r="H174" t="str">
            <v>Rebecca Sjostrand</v>
          </cell>
          <cell r="I174">
            <v>570</v>
          </cell>
        </row>
        <row r="175">
          <cell r="E175">
            <v>4487</v>
          </cell>
          <cell r="F175" t="str">
            <v>Limit Fed</v>
          </cell>
          <cell r="G175" t="str">
            <v>Weight</v>
          </cell>
          <cell r="H175" t="str">
            <v>Rebecca Sjostrand</v>
          </cell>
          <cell r="I175">
            <v>634</v>
          </cell>
        </row>
        <row r="176">
          <cell r="E176">
            <v>4488</v>
          </cell>
          <cell r="F176" t="str">
            <v>Limit Fed</v>
          </cell>
          <cell r="G176" t="str">
            <v>Weight</v>
          </cell>
          <cell r="H176" t="str">
            <v>Rebecca Sjostrand</v>
          </cell>
          <cell r="I176">
            <v>618</v>
          </cell>
        </row>
        <row r="177">
          <cell r="E177">
            <v>4489</v>
          </cell>
          <cell r="F177" t="str">
            <v>Limit Fed</v>
          </cell>
          <cell r="G177" t="str">
            <v>Weight</v>
          </cell>
          <cell r="H177" t="str">
            <v>Rebecca Sjostrand</v>
          </cell>
          <cell r="I177">
            <v>668</v>
          </cell>
        </row>
        <row r="178">
          <cell r="E178">
            <v>4490</v>
          </cell>
          <cell r="F178" t="str">
            <v>Limit Fed</v>
          </cell>
          <cell r="G178" t="str">
            <v>Weight</v>
          </cell>
          <cell r="H178" t="str">
            <v>Rebecca Sjostrand</v>
          </cell>
          <cell r="I178">
            <v>588</v>
          </cell>
        </row>
        <row r="179">
          <cell r="E179">
            <v>4491</v>
          </cell>
          <cell r="F179" t="str">
            <v>Limit Fed</v>
          </cell>
          <cell r="G179" t="str">
            <v>Weight</v>
          </cell>
          <cell r="H179" t="str">
            <v>Rebecca Sjostrand</v>
          </cell>
          <cell r="I179">
            <v>654</v>
          </cell>
        </row>
        <row r="180">
          <cell r="E180">
            <v>4492</v>
          </cell>
          <cell r="F180" t="str">
            <v>Limit Fed</v>
          </cell>
          <cell r="G180" t="str">
            <v>Weight</v>
          </cell>
          <cell r="H180" t="str">
            <v>Rebecca Sjostrand</v>
          </cell>
          <cell r="I180">
            <v>470</v>
          </cell>
        </row>
        <row r="181">
          <cell r="E181">
            <v>4493</v>
          </cell>
          <cell r="F181" t="str">
            <v>Limit Fed</v>
          </cell>
          <cell r="G181" t="str">
            <v>Weight</v>
          </cell>
          <cell r="H181" t="str">
            <v>Rebecca Sjostrand</v>
          </cell>
          <cell r="I181">
            <v>662</v>
          </cell>
        </row>
        <row r="182">
          <cell r="E182">
            <v>4494</v>
          </cell>
          <cell r="F182" t="str">
            <v>Limit Fed</v>
          </cell>
          <cell r="G182" t="str">
            <v>Weight</v>
          </cell>
          <cell r="H182" t="str">
            <v>Rebecca Sjostrand</v>
          </cell>
          <cell r="I182">
            <v>658</v>
          </cell>
        </row>
        <row r="183">
          <cell r="E183">
            <v>4495</v>
          </cell>
          <cell r="F183" t="str">
            <v>Limit Fed</v>
          </cell>
          <cell r="G183" t="str">
            <v>Weight</v>
          </cell>
          <cell r="H183" t="str">
            <v>Rebecca Sjostrand</v>
          </cell>
          <cell r="I183">
            <v>682</v>
          </cell>
        </row>
        <row r="184">
          <cell r="E184">
            <v>4496</v>
          </cell>
          <cell r="F184" t="str">
            <v>Limit Fed</v>
          </cell>
          <cell r="G184" t="str">
            <v>Weight</v>
          </cell>
          <cell r="H184" t="str">
            <v>Rebecca Sjostrand</v>
          </cell>
          <cell r="I184">
            <v>596</v>
          </cell>
        </row>
        <row r="185">
          <cell r="E185">
            <v>4497</v>
          </cell>
          <cell r="F185" t="str">
            <v>Limit Fed</v>
          </cell>
          <cell r="G185" t="str">
            <v>Weight</v>
          </cell>
          <cell r="H185" t="str">
            <v>Rebecca Sjostrand</v>
          </cell>
          <cell r="I185">
            <v>564</v>
          </cell>
        </row>
        <row r="186">
          <cell r="E186">
            <v>4498</v>
          </cell>
          <cell r="F186" t="str">
            <v>Limit Fed</v>
          </cell>
          <cell r="G186" t="str">
            <v>Weight</v>
          </cell>
          <cell r="H186" t="str">
            <v>Rebecca Sjostrand</v>
          </cell>
          <cell r="I186">
            <v>574</v>
          </cell>
        </row>
        <row r="187">
          <cell r="E187">
            <v>4499</v>
          </cell>
          <cell r="F187" t="str">
            <v>Limit Fed</v>
          </cell>
          <cell r="G187" t="str">
            <v>Weight</v>
          </cell>
          <cell r="H187" t="str">
            <v>Rebecca Sjostrand</v>
          </cell>
          <cell r="I187">
            <v>694</v>
          </cell>
        </row>
        <row r="188">
          <cell r="E188">
            <v>4500</v>
          </cell>
          <cell r="F188" t="str">
            <v>Limit Fed</v>
          </cell>
          <cell r="G188" t="str">
            <v>Weight</v>
          </cell>
          <cell r="H188" t="str">
            <v>Rebecca Sjostrand</v>
          </cell>
          <cell r="I188">
            <v>622</v>
          </cell>
        </row>
        <row r="189">
          <cell r="E189">
            <v>4501</v>
          </cell>
          <cell r="F189" t="str">
            <v>Limit Fed</v>
          </cell>
          <cell r="G189" t="str">
            <v>Weight</v>
          </cell>
          <cell r="H189" t="str">
            <v>Rebecca Sjostrand</v>
          </cell>
          <cell r="I189">
            <v>570</v>
          </cell>
        </row>
        <row r="190">
          <cell r="E190">
            <v>4502</v>
          </cell>
          <cell r="F190" t="str">
            <v>Limit Fed</v>
          </cell>
          <cell r="G190" t="str">
            <v>Weight</v>
          </cell>
          <cell r="H190" t="str">
            <v>Rebecca Sjostrand</v>
          </cell>
          <cell r="I190">
            <v>558</v>
          </cell>
        </row>
        <row r="191">
          <cell r="E191">
            <v>4503</v>
          </cell>
          <cell r="F191" t="str">
            <v>Limit Fed</v>
          </cell>
          <cell r="G191" t="str">
            <v>Weight</v>
          </cell>
          <cell r="H191" t="str">
            <v>Rebecca Sjostrand</v>
          </cell>
          <cell r="I191">
            <v>572</v>
          </cell>
        </row>
        <row r="192">
          <cell r="E192">
            <v>4504</v>
          </cell>
          <cell r="F192" t="str">
            <v>Limit Fed</v>
          </cell>
          <cell r="G192" t="str">
            <v>Weight</v>
          </cell>
          <cell r="H192" t="str">
            <v>Rebecca Sjostrand</v>
          </cell>
          <cell r="I192">
            <v>582</v>
          </cell>
        </row>
        <row r="193">
          <cell r="E193">
            <v>4505</v>
          </cell>
          <cell r="F193" t="str">
            <v>Limit Fed</v>
          </cell>
          <cell r="G193" t="str">
            <v>Weight</v>
          </cell>
          <cell r="H193" t="str">
            <v>Rebecca Sjostrand</v>
          </cell>
          <cell r="I193">
            <v>698</v>
          </cell>
        </row>
        <row r="194">
          <cell r="E194">
            <v>4506</v>
          </cell>
          <cell r="F194" t="str">
            <v>Limit Fed</v>
          </cell>
          <cell r="G194" t="str">
            <v>Weight</v>
          </cell>
          <cell r="H194" t="str">
            <v>Rebecca Sjostrand</v>
          </cell>
          <cell r="I194">
            <v>644</v>
          </cell>
        </row>
        <row r="195">
          <cell r="E195">
            <v>4507</v>
          </cell>
          <cell r="F195" t="str">
            <v>Limit Fed</v>
          </cell>
          <cell r="G195" t="str">
            <v>Weight</v>
          </cell>
          <cell r="H195" t="str">
            <v>Rebecca Sjostrand</v>
          </cell>
          <cell r="I195">
            <v>666</v>
          </cell>
        </row>
        <row r="196">
          <cell r="E196">
            <v>4508</v>
          </cell>
          <cell r="F196" t="str">
            <v>Limit Fed</v>
          </cell>
          <cell r="G196" t="str">
            <v>Weight</v>
          </cell>
          <cell r="H196" t="str">
            <v>Rebecca Sjostrand</v>
          </cell>
          <cell r="I196">
            <v>532</v>
          </cell>
        </row>
        <row r="197">
          <cell r="E197">
            <v>4509</v>
          </cell>
          <cell r="F197" t="str">
            <v>Limit Fed</v>
          </cell>
          <cell r="G197" t="str">
            <v>Weight</v>
          </cell>
          <cell r="H197" t="str">
            <v>Rebecca Sjostrand</v>
          </cell>
          <cell r="I197">
            <v>648</v>
          </cell>
        </row>
        <row r="198">
          <cell r="E198">
            <v>4510</v>
          </cell>
          <cell r="F198" t="str">
            <v>Limit Fed</v>
          </cell>
          <cell r="G198" t="str">
            <v>Weight</v>
          </cell>
          <cell r="H198" t="str">
            <v>Rebecca Sjostrand</v>
          </cell>
          <cell r="I198">
            <v>648</v>
          </cell>
        </row>
        <row r="199">
          <cell r="E199">
            <v>4511</v>
          </cell>
          <cell r="F199" t="str">
            <v>Limit Fed</v>
          </cell>
          <cell r="G199" t="str">
            <v>Weight</v>
          </cell>
          <cell r="H199" t="str">
            <v>Rebecca Sjostrand</v>
          </cell>
          <cell r="I199">
            <v>620</v>
          </cell>
        </row>
        <row r="200">
          <cell r="E200">
            <v>4512</v>
          </cell>
          <cell r="F200" t="str">
            <v>Limit Fed</v>
          </cell>
          <cell r="G200" t="str">
            <v>Weight</v>
          </cell>
          <cell r="H200" t="str">
            <v>Rebecca Sjostrand</v>
          </cell>
          <cell r="I200">
            <v>608</v>
          </cell>
        </row>
        <row r="201">
          <cell r="E201">
            <v>4513</v>
          </cell>
          <cell r="F201" t="str">
            <v>Limit Fed</v>
          </cell>
          <cell r="G201" t="str">
            <v>Weight</v>
          </cell>
          <cell r="H201" t="str">
            <v>Rebecca Sjostrand</v>
          </cell>
          <cell r="I201">
            <v>626</v>
          </cell>
        </row>
        <row r="202">
          <cell r="E202">
            <v>4514</v>
          </cell>
          <cell r="F202" t="str">
            <v>Limit Fed</v>
          </cell>
          <cell r="G202" t="str">
            <v>Weight</v>
          </cell>
          <cell r="H202" t="str">
            <v>Rebecca Sjostrand</v>
          </cell>
          <cell r="I202">
            <v>670</v>
          </cell>
        </row>
        <row r="203">
          <cell r="E203">
            <v>4515</v>
          </cell>
          <cell r="F203" t="str">
            <v>Limit Fed</v>
          </cell>
          <cell r="G203" t="str">
            <v>Weight</v>
          </cell>
          <cell r="H203" t="str">
            <v>Rebecca Sjostrand</v>
          </cell>
          <cell r="I203">
            <v>674</v>
          </cell>
        </row>
        <row r="204">
          <cell r="E204">
            <v>4516</v>
          </cell>
          <cell r="F204" t="str">
            <v>Limit Fed</v>
          </cell>
          <cell r="G204" t="str">
            <v>Weight</v>
          </cell>
          <cell r="H204" t="str">
            <v>Rebecca Sjostrand</v>
          </cell>
          <cell r="I204">
            <v>550</v>
          </cell>
        </row>
        <row r="205">
          <cell r="E205">
            <v>4517</v>
          </cell>
          <cell r="F205" t="str">
            <v>Limit Fed</v>
          </cell>
          <cell r="G205" t="str">
            <v>Weight</v>
          </cell>
          <cell r="H205" t="str">
            <v>Rebecca Sjostrand</v>
          </cell>
          <cell r="I205">
            <v>610</v>
          </cell>
        </row>
        <row r="206">
          <cell r="E206">
            <v>4518</v>
          </cell>
          <cell r="F206" t="str">
            <v>Limit Fed</v>
          </cell>
          <cell r="G206" t="str">
            <v>Weight</v>
          </cell>
          <cell r="H206" t="str">
            <v>Rebecca Sjostrand</v>
          </cell>
          <cell r="I206">
            <v>572</v>
          </cell>
        </row>
        <row r="207">
          <cell r="E207">
            <v>4519</v>
          </cell>
          <cell r="F207" t="str">
            <v>Limit Fed</v>
          </cell>
          <cell r="G207" t="str">
            <v>Weight</v>
          </cell>
          <cell r="H207" t="str">
            <v>Rebecca Sjostrand</v>
          </cell>
          <cell r="I207">
            <v>550</v>
          </cell>
        </row>
        <row r="208">
          <cell r="E208">
            <v>4520</v>
          </cell>
          <cell r="F208" t="str">
            <v>Limit Fed</v>
          </cell>
          <cell r="G208" t="str">
            <v>Weight</v>
          </cell>
          <cell r="H208" t="str">
            <v>Rebecca Sjostrand</v>
          </cell>
          <cell r="I208">
            <v>672</v>
          </cell>
        </row>
        <row r="209">
          <cell r="E209">
            <v>4521</v>
          </cell>
          <cell r="F209" t="str">
            <v>Limit Fed</v>
          </cell>
          <cell r="G209" t="str">
            <v>Weight</v>
          </cell>
          <cell r="H209" t="str">
            <v>Rebecca Sjostrand</v>
          </cell>
          <cell r="I209">
            <v>686</v>
          </cell>
        </row>
        <row r="210">
          <cell r="E210">
            <v>4522</v>
          </cell>
          <cell r="F210" t="str">
            <v>Limit Fed</v>
          </cell>
          <cell r="G210" t="str">
            <v>Weight</v>
          </cell>
          <cell r="H210" t="str">
            <v>Rebecca Sjostrand</v>
          </cell>
          <cell r="I210">
            <v>618</v>
          </cell>
        </row>
        <row r="211">
          <cell r="E211">
            <v>4523</v>
          </cell>
          <cell r="F211" t="str">
            <v>Limit Fed</v>
          </cell>
          <cell r="G211" t="str">
            <v>Weight</v>
          </cell>
          <cell r="H211" t="str">
            <v>Rebecca Sjostrand</v>
          </cell>
          <cell r="I211">
            <v>620</v>
          </cell>
        </row>
        <row r="212">
          <cell r="E212">
            <v>4524</v>
          </cell>
          <cell r="F212" t="str">
            <v>Limit Fed</v>
          </cell>
          <cell r="G212" t="str">
            <v>Weight</v>
          </cell>
          <cell r="H212" t="str">
            <v>Rebecca Sjostrand</v>
          </cell>
          <cell r="I212">
            <v>602</v>
          </cell>
        </row>
        <row r="213">
          <cell r="E213">
            <v>4525</v>
          </cell>
          <cell r="F213" t="str">
            <v>Limit Fed</v>
          </cell>
          <cell r="G213" t="str">
            <v>Weight</v>
          </cell>
          <cell r="H213" t="str">
            <v>Rebecca Sjostrand</v>
          </cell>
          <cell r="I213">
            <v>646</v>
          </cell>
        </row>
        <row r="214">
          <cell r="E214">
            <v>4526</v>
          </cell>
          <cell r="F214" t="str">
            <v>Limit Fed</v>
          </cell>
          <cell r="G214" t="str">
            <v>Weight</v>
          </cell>
          <cell r="H214" t="str">
            <v>Rebecca Sjostrand</v>
          </cell>
          <cell r="I214">
            <v>714</v>
          </cell>
        </row>
        <row r="215">
          <cell r="E215">
            <v>4527</v>
          </cell>
          <cell r="F215" t="str">
            <v>Limit Fed</v>
          </cell>
          <cell r="G215" t="str">
            <v>Weight</v>
          </cell>
          <cell r="H215" t="str">
            <v>Rebecca Sjostrand</v>
          </cell>
          <cell r="I215">
            <v>620</v>
          </cell>
        </row>
        <row r="216">
          <cell r="E216">
            <v>4528</v>
          </cell>
          <cell r="F216" t="str">
            <v>Limit Fed</v>
          </cell>
          <cell r="G216" t="str">
            <v>Weight</v>
          </cell>
          <cell r="H216" t="str">
            <v>Rebecca Sjostrand</v>
          </cell>
          <cell r="I216">
            <v>626</v>
          </cell>
        </row>
        <row r="217">
          <cell r="E217">
            <v>4529</v>
          </cell>
          <cell r="F217" t="str">
            <v>Limit Fed</v>
          </cell>
          <cell r="G217" t="str">
            <v>Weight</v>
          </cell>
          <cell r="H217" t="str">
            <v>Rebecca Sjostrand</v>
          </cell>
          <cell r="I217">
            <v>682</v>
          </cell>
        </row>
        <row r="218">
          <cell r="E218">
            <v>4530</v>
          </cell>
          <cell r="F218" t="str">
            <v>Limit Fed</v>
          </cell>
          <cell r="G218" t="str">
            <v>Weight</v>
          </cell>
          <cell r="H218" t="str">
            <v>Rebecca Sjostrand</v>
          </cell>
          <cell r="I218">
            <v>544</v>
          </cell>
        </row>
        <row r="219">
          <cell r="E219">
            <v>4531</v>
          </cell>
          <cell r="F219" t="str">
            <v>Limit Fed</v>
          </cell>
          <cell r="G219" t="str">
            <v>Weight</v>
          </cell>
          <cell r="H219" t="str">
            <v>Rebecca Sjostrand</v>
          </cell>
          <cell r="I219">
            <v>624</v>
          </cell>
        </row>
        <row r="220">
          <cell r="E220">
            <v>4532</v>
          </cell>
          <cell r="F220" t="str">
            <v>Limit Fed</v>
          </cell>
          <cell r="G220" t="str">
            <v>Weight</v>
          </cell>
          <cell r="H220" t="str">
            <v>Rebecca Sjostrand</v>
          </cell>
          <cell r="I220">
            <v>548</v>
          </cell>
        </row>
        <row r="221">
          <cell r="E221">
            <v>4533</v>
          </cell>
          <cell r="F221" t="str">
            <v>Limit Fed</v>
          </cell>
          <cell r="G221" t="str">
            <v>Weight</v>
          </cell>
          <cell r="H221" t="str">
            <v>Rebecca Sjostrand</v>
          </cell>
          <cell r="I221">
            <v>550</v>
          </cell>
        </row>
        <row r="222">
          <cell r="E222">
            <v>4534</v>
          </cell>
          <cell r="F222" t="str">
            <v>Limit Fed</v>
          </cell>
          <cell r="G222" t="str">
            <v>Weight</v>
          </cell>
          <cell r="H222" t="str">
            <v>Rebecca Sjostrand</v>
          </cell>
          <cell r="I222">
            <v>678</v>
          </cell>
        </row>
        <row r="223">
          <cell r="E223">
            <v>4535</v>
          </cell>
          <cell r="F223" t="str">
            <v>Limit Fed</v>
          </cell>
          <cell r="G223" t="str">
            <v>Weight</v>
          </cell>
          <cell r="H223" t="str">
            <v>Rebecca Sjostrand</v>
          </cell>
          <cell r="I223">
            <v>580</v>
          </cell>
        </row>
        <row r="224">
          <cell r="E224">
            <v>4536</v>
          </cell>
          <cell r="F224" t="str">
            <v>Limit Fed</v>
          </cell>
          <cell r="G224" t="str">
            <v>Weight</v>
          </cell>
          <cell r="H224" t="str">
            <v>Rebecca Sjostrand</v>
          </cell>
          <cell r="I224">
            <v>674</v>
          </cell>
        </row>
        <row r="225">
          <cell r="E225">
            <v>4537</v>
          </cell>
          <cell r="F225" t="str">
            <v>Limit Fed</v>
          </cell>
          <cell r="G225" t="str">
            <v>Weight</v>
          </cell>
          <cell r="H225" t="str">
            <v>Rebecca Sjostrand</v>
          </cell>
          <cell r="I225">
            <v>592</v>
          </cell>
        </row>
        <row r="226">
          <cell r="E226">
            <v>4538</v>
          </cell>
          <cell r="F226" t="str">
            <v>Limit Fed</v>
          </cell>
          <cell r="G226" t="str">
            <v>Weight</v>
          </cell>
          <cell r="H226" t="str">
            <v>Rebecca Sjostrand</v>
          </cell>
          <cell r="I226">
            <v>710</v>
          </cell>
        </row>
        <row r="227">
          <cell r="E227">
            <v>4539</v>
          </cell>
          <cell r="F227" t="str">
            <v>Limit Fed</v>
          </cell>
          <cell r="G227" t="str">
            <v>Weight</v>
          </cell>
          <cell r="H227" t="str">
            <v>Rebecca Sjostrand</v>
          </cell>
          <cell r="I227">
            <v>756</v>
          </cell>
        </row>
        <row r="228">
          <cell r="E228">
            <v>4540</v>
          </cell>
          <cell r="F228" t="str">
            <v>Limit Fed</v>
          </cell>
          <cell r="G228" t="str">
            <v>Weight</v>
          </cell>
          <cell r="H228" t="str">
            <v>Rebecca Sjostrand</v>
          </cell>
          <cell r="I228">
            <v>630</v>
          </cell>
        </row>
        <row r="229">
          <cell r="E229">
            <v>4541</v>
          </cell>
          <cell r="F229" t="str">
            <v>Limit Fed</v>
          </cell>
          <cell r="G229" t="str">
            <v>Weight</v>
          </cell>
          <cell r="H229" t="str">
            <v>Rebecca Sjostrand</v>
          </cell>
          <cell r="I229">
            <v>636</v>
          </cell>
        </row>
        <row r="230">
          <cell r="E230">
            <v>4542</v>
          </cell>
          <cell r="F230" t="str">
            <v>Limit Fed</v>
          </cell>
          <cell r="G230" t="str">
            <v>Weight</v>
          </cell>
          <cell r="H230" t="str">
            <v>Rebecca Sjostrand</v>
          </cell>
          <cell r="I230">
            <v>690</v>
          </cell>
        </row>
        <row r="231">
          <cell r="E231">
            <v>4543</v>
          </cell>
          <cell r="F231" t="str">
            <v>Limit Fed</v>
          </cell>
          <cell r="G231" t="str">
            <v>Weight</v>
          </cell>
          <cell r="H231" t="str">
            <v>Rebecca Sjostrand</v>
          </cell>
          <cell r="I231">
            <v>624</v>
          </cell>
        </row>
        <row r="232">
          <cell r="E232">
            <v>4544</v>
          </cell>
          <cell r="F232" t="str">
            <v>Limit Fed</v>
          </cell>
          <cell r="G232" t="str">
            <v>Weight</v>
          </cell>
          <cell r="H232" t="str">
            <v>Rebecca Sjostrand</v>
          </cell>
          <cell r="I232">
            <v>518</v>
          </cell>
        </row>
        <row r="233">
          <cell r="E233">
            <v>4545</v>
          </cell>
          <cell r="F233" t="str">
            <v>Limit Fed</v>
          </cell>
          <cell r="G233" t="str">
            <v>Weight</v>
          </cell>
          <cell r="H233" t="str">
            <v>Rebecca Sjostrand</v>
          </cell>
          <cell r="I233">
            <v>584</v>
          </cell>
        </row>
        <row r="234">
          <cell r="E234">
            <v>4546</v>
          </cell>
          <cell r="F234" t="str">
            <v>Limit Fed</v>
          </cell>
          <cell r="G234" t="str">
            <v>Weight</v>
          </cell>
          <cell r="H234" t="str">
            <v>Rebecca Sjostrand</v>
          </cell>
          <cell r="I234">
            <v>570</v>
          </cell>
        </row>
        <row r="235">
          <cell r="E235">
            <v>4547</v>
          </cell>
          <cell r="F235" t="str">
            <v>Limit Fed</v>
          </cell>
          <cell r="G235" t="str">
            <v>Weight</v>
          </cell>
          <cell r="H235" t="str">
            <v>Rebecca Sjostrand</v>
          </cell>
          <cell r="I235">
            <v>618</v>
          </cell>
        </row>
        <row r="236">
          <cell r="E236">
            <v>4548</v>
          </cell>
          <cell r="F236" t="str">
            <v>Limit Fed</v>
          </cell>
          <cell r="G236" t="str">
            <v>Weight</v>
          </cell>
          <cell r="H236" t="str">
            <v>Rebecca Sjostrand</v>
          </cell>
          <cell r="I236">
            <v>626</v>
          </cell>
        </row>
        <row r="237">
          <cell r="E237">
            <v>4549</v>
          </cell>
          <cell r="F237" t="str">
            <v>Limit Fed</v>
          </cell>
          <cell r="G237" t="str">
            <v>Weight</v>
          </cell>
          <cell r="H237" t="str">
            <v>Rebecca Sjostrand</v>
          </cell>
          <cell r="I237">
            <v>580</v>
          </cell>
        </row>
        <row r="238">
          <cell r="E238">
            <v>4550</v>
          </cell>
          <cell r="F238" t="str">
            <v>Limit Fed</v>
          </cell>
          <cell r="G238" t="str">
            <v>Weight</v>
          </cell>
          <cell r="H238" t="str">
            <v>Rebecca Sjostrand</v>
          </cell>
          <cell r="I238">
            <v>612</v>
          </cell>
        </row>
        <row r="239">
          <cell r="E239">
            <v>4551</v>
          </cell>
          <cell r="F239" t="str">
            <v>Limit Fed</v>
          </cell>
          <cell r="G239" t="str">
            <v>Weight</v>
          </cell>
          <cell r="H239" t="str">
            <v>Rebecca Sjostrand</v>
          </cell>
          <cell r="I239">
            <v>494</v>
          </cell>
        </row>
        <row r="240">
          <cell r="E240">
            <v>4552</v>
          </cell>
          <cell r="F240" t="str">
            <v>Limit Fed</v>
          </cell>
          <cell r="G240" t="str">
            <v>Weight</v>
          </cell>
          <cell r="H240" t="str">
            <v>Rebecca Sjostrand</v>
          </cell>
          <cell r="I240">
            <v>692</v>
          </cell>
        </row>
        <row r="241">
          <cell r="E241">
            <v>4553</v>
          </cell>
          <cell r="F241" t="str">
            <v>Limit Fed</v>
          </cell>
          <cell r="G241" t="str">
            <v>Weight</v>
          </cell>
          <cell r="H241" t="str">
            <v>Rebecca Sjostrand</v>
          </cell>
          <cell r="I241">
            <v>532</v>
          </cell>
        </row>
        <row r="242">
          <cell r="E242">
            <v>4554</v>
          </cell>
          <cell r="F242" t="str">
            <v>Limit Fed</v>
          </cell>
          <cell r="G242" t="str">
            <v>Weight</v>
          </cell>
          <cell r="H242" t="str">
            <v>Rebecca Sjostrand</v>
          </cell>
          <cell r="I242">
            <v>654</v>
          </cell>
        </row>
        <row r="243">
          <cell r="E243">
            <v>4555</v>
          </cell>
          <cell r="F243" t="str">
            <v>Limit Fed</v>
          </cell>
          <cell r="G243" t="str">
            <v>Weight</v>
          </cell>
          <cell r="H243" t="str">
            <v>Rebecca Sjostrand</v>
          </cell>
          <cell r="I243">
            <v>676</v>
          </cell>
        </row>
        <row r="244">
          <cell r="E244">
            <v>4556</v>
          </cell>
          <cell r="F244" t="str">
            <v>Limit Fed</v>
          </cell>
          <cell r="G244" t="str">
            <v>Weight</v>
          </cell>
          <cell r="H244" t="str">
            <v>Rebecca Sjostrand</v>
          </cell>
          <cell r="I244">
            <v>636</v>
          </cell>
        </row>
        <row r="245">
          <cell r="E245">
            <v>4557</v>
          </cell>
          <cell r="F245" t="str">
            <v>Limit Fed</v>
          </cell>
          <cell r="G245" t="str">
            <v>Weight</v>
          </cell>
          <cell r="H245" t="str">
            <v>Rebecca Sjostrand</v>
          </cell>
          <cell r="I245">
            <v>546</v>
          </cell>
        </row>
        <row r="246">
          <cell r="E246">
            <v>4558</v>
          </cell>
          <cell r="F246" t="str">
            <v>Limit Fed</v>
          </cell>
          <cell r="G246" t="str">
            <v>Weight</v>
          </cell>
          <cell r="H246" t="str">
            <v>Rebecca Sjostrand</v>
          </cell>
          <cell r="I246">
            <v>536</v>
          </cell>
        </row>
        <row r="247">
          <cell r="E247">
            <v>4559</v>
          </cell>
          <cell r="F247" t="str">
            <v>Limit Fed</v>
          </cell>
          <cell r="G247" t="str">
            <v>Weight</v>
          </cell>
          <cell r="H247" t="str">
            <v>Rebecca Sjostrand</v>
          </cell>
          <cell r="I247">
            <v>616</v>
          </cell>
        </row>
        <row r="248">
          <cell r="E248">
            <v>4560</v>
          </cell>
          <cell r="F248" t="str">
            <v>Limit Fed</v>
          </cell>
          <cell r="G248" t="str">
            <v>Weight</v>
          </cell>
          <cell r="H248" t="str">
            <v>Rebecca Sjostrand</v>
          </cell>
          <cell r="I248">
            <v>626</v>
          </cell>
        </row>
        <row r="249">
          <cell r="E249">
            <v>4561</v>
          </cell>
          <cell r="F249" t="str">
            <v>Limit Fed</v>
          </cell>
          <cell r="G249" t="str">
            <v>Weight</v>
          </cell>
          <cell r="H249" t="str">
            <v>Rebecca Sjostrand</v>
          </cell>
          <cell r="I249">
            <v>536</v>
          </cell>
        </row>
        <row r="250">
          <cell r="E250">
            <v>4562</v>
          </cell>
          <cell r="F250" t="str">
            <v>Limit Fed</v>
          </cell>
          <cell r="G250" t="str">
            <v>Weight</v>
          </cell>
          <cell r="H250" t="str">
            <v>Rebecca Sjostrand</v>
          </cell>
          <cell r="I250">
            <v>696</v>
          </cell>
        </row>
        <row r="251">
          <cell r="E251">
            <v>4563</v>
          </cell>
          <cell r="F251" t="str">
            <v>Limit Fed</v>
          </cell>
          <cell r="G251" t="str">
            <v>Weight</v>
          </cell>
          <cell r="H251" t="str">
            <v>Rebecca Sjostrand</v>
          </cell>
          <cell r="I251">
            <v>648</v>
          </cell>
        </row>
        <row r="252">
          <cell r="E252">
            <v>4564</v>
          </cell>
          <cell r="F252" t="str">
            <v>Limit Fed</v>
          </cell>
          <cell r="G252" t="str">
            <v>Weight</v>
          </cell>
          <cell r="H252" t="str">
            <v>Rebecca Sjostrand</v>
          </cell>
          <cell r="I252">
            <v>662</v>
          </cell>
        </row>
        <row r="253">
          <cell r="E253">
            <v>4565</v>
          </cell>
          <cell r="F253" t="str">
            <v>Limit Fed</v>
          </cell>
          <cell r="G253" t="str">
            <v>Weight</v>
          </cell>
          <cell r="H253" t="str">
            <v>Rebecca Sjostrand</v>
          </cell>
          <cell r="I253">
            <v>576</v>
          </cell>
        </row>
        <row r="254">
          <cell r="E254">
            <v>4566</v>
          </cell>
          <cell r="F254" t="str">
            <v>Limit Fed</v>
          </cell>
          <cell r="G254" t="str">
            <v>Weight</v>
          </cell>
          <cell r="H254" t="str">
            <v>Rebecca Sjostrand</v>
          </cell>
          <cell r="I254">
            <v>688</v>
          </cell>
        </row>
        <row r="255">
          <cell r="E255">
            <v>4567</v>
          </cell>
          <cell r="F255" t="str">
            <v>Limit Fed</v>
          </cell>
          <cell r="G255" t="str">
            <v>Weight</v>
          </cell>
          <cell r="H255" t="str">
            <v>Rebecca Sjostrand</v>
          </cell>
          <cell r="I255">
            <v>702</v>
          </cell>
        </row>
        <row r="256">
          <cell r="E256">
            <v>4568</v>
          </cell>
          <cell r="F256" t="str">
            <v>Limit Fed</v>
          </cell>
          <cell r="G256" t="str">
            <v>Weight</v>
          </cell>
          <cell r="H256" t="str">
            <v>Rebecca Sjostrand</v>
          </cell>
          <cell r="I256">
            <v>670</v>
          </cell>
        </row>
        <row r="257">
          <cell r="E257">
            <v>4569</v>
          </cell>
          <cell r="F257" t="str">
            <v>Limit Fed</v>
          </cell>
          <cell r="G257" t="str">
            <v>Weight</v>
          </cell>
          <cell r="H257" t="str">
            <v>Rebecca Sjostrand</v>
          </cell>
          <cell r="I257">
            <v>690</v>
          </cell>
        </row>
        <row r="258">
          <cell r="E258">
            <v>4570</v>
          </cell>
          <cell r="F258" t="str">
            <v>Limit Fed</v>
          </cell>
          <cell r="G258" t="str">
            <v>Weight</v>
          </cell>
          <cell r="H258" t="str">
            <v>Rebecca Sjostrand</v>
          </cell>
          <cell r="I258">
            <v>666</v>
          </cell>
        </row>
        <row r="259">
          <cell r="E259">
            <v>4571</v>
          </cell>
          <cell r="F259" t="str">
            <v>Limit Fed</v>
          </cell>
          <cell r="G259" t="str">
            <v>Weight</v>
          </cell>
          <cell r="H259" t="str">
            <v>Rebecca Sjostrand</v>
          </cell>
          <cell r="I259">
            <v>688</v>
          </cell>
        </row>
        <row r="260">
          <cell r="E260">
            <v>4572</v>
          </cell>
          <cell r="F260" t="str">
            <v>Limit Fed</v>
          </cell>
          <cell r="G260" t="str">
            <v>Weight</v>
          </cell>
          <cell r="H260" t="str">
            <v>Rebecca Sjostrand</v>
          </cell>
          <cell r="I260">
            <v>588</v>
          </cell>
        </row>
        <row r="261">
          <cell r="E261">
            <v>4573</v>
          </cell>
          <cell r="F261" t="str">
            <v>Limit Fed</v>
          </cell>
          <cell r="G261" t="str">
            <v>Weight</v>
          </cell>
          <cell r="H261" t="str">
            <v>Rebecca Sjostrand</v>
          </cell>
          <cell r="I261">
            <v>650</v>
          </cell>
        </row>
        <row r="262">
          <cell r="E262">
            <v>4574</v>
          </cell>
          <cell r="F262" t="str">
            <v>Limit Fed</v>
          </cell>
          <cell r="G262" t="str">
            <v>Weight</v>
          </cell>
          <cell r="H262" t="str">
            <v>Rebecca Sjostrand</v>
          </cell>
          <cell r="I262">
            <v>650</v>
          </cell>
        </row>
        <row r="263">
          <cell r="E263">
            <v>4575</v>
          </cell>
          <cell r="F263" t="str">
            <v>Limit Fed</v>
          </cell>
          <cell r="G263" t="str">
            <v>Weight</v>
          </cell>
          <cell r="H263" t="str">
            <v>Rebecca Sjostrand</v>
          </cell>
          <cell r="I263">
            <v>622</v>
          </cell>
        </row>
        <row r="264">
          <cell r="E264">
            <v>4576</v>
          </cell>
          <cell r="F264" t="str">
            <v>Limit Fed</v>
          </cell>
          <cell r="G264" t="str">
            <v>Weight</v>
          </cell>
          <cell r="H264" t="str">
            <v>Rebecca Sjostrand</v>
          </cell>
          <cell r="I264">
            <v>586</v>
          </cell>
        </row>
        <row r="265">
          <cell r="E265">
            <v>4577</v>
          </cell>
          <cell r="F265" t="str">
            <v>Limit Fed</v>
          </cell>
          <cell r="G265" t="str">
            <v>Weight</v>
          </cell>
          <cell r="H265" t="str">
            <v>Rebecca Sjostrand</v>
          </cell>
          <cell r="I265">
            <v>526</v>
          </cell>
        </row>
        <row r="266">
          <cell r="E266">
            <v>4578</v>
          </cell>
          <cell r="F266" t="str">
            <v>Limit Fed</v>
          </cell>
          <cell r="G266" t="str">
            <v>Weight</v>
          </cell>
          <cell r="H266" t="str">
            <v>Rebecca Sjostrand</v>
          </cell>
          <cell r="I266">
            <v>572</v>
          </cell>
        </row>
        <row r="267">
          <cell r="E267">
            <v>4579</v>
          </cell>
          <cell r="F267" t="str">
            <v>Limit Fed</v>
          </cell>
          <cell r="G267" t="str">
            <v>Weight</v>
          </cell>
          <cell r="H267" t="str">
            <v>Rebecca Sjostrand</v>
          </cell>
          <cell r="I267">
            <v>646</v>
          </cell>
        </row>
        <row r="268">
          <cell r="E268">
            <v>4580</v>
          </cell>
          <cell r="F268" t="str">
            <v>Limit Fed</v>
          </cell>
          <cell r="G268" t="str">
            <v>Weight</v>
          </cell>
          <cell r="H268" t="str">
            <v>Rebecca Sjostrand</v>
          </cell>
          <cell r="I268">
            <v>692</v>
          </cell>
        </row>
        <row r="269">
          <cell r="E269">
            <v>4581</v>
          </cell>
          <cell r="F269" t="str">
            <v>Limit Fed</v>
          </cell>
          <cell r="G269" t="str">
            <v>Weight</v>
          </cell>
          <cell r="H269" t="str">
            <v>Rebecca Sjostrand</v>
          </cell>
          <cell r="I269">
            <v>516</v>
          </cell>
        </row>
        <row r="270">
          <cell r="E270">
            <v>4582</v>
          </cell>
          <cell r="F270" t="str">
            <v>Limit Fed</v>
          </cell>
          <cell r="G270" t="str">
            <v>Weight</v>
          </cell>
          <cell r="H270" t="str">
            <v>Rebecca Sjostrand</v>
          </cell>
          <cell r="I270">
            <v>680</v>
          </cell>
        </row>
        <row r="271">
          <cell r="E271">
            <v>4583</v>
          </cell>
          <cell r="F271" t="str">
            <v>Limit Fed</v>
          </cell>
          <cell r="G271" t="str">
            <v>Weight</v>
          </cell>
          <cell r="H271" t="str">
            <v>Rebecca Sjostrand</v>
          </cell>
          <cell r="I271">
            <v>576</v>
          </cell>
        </row>
        <row r="272">
          <cell r="E272">
            <v>4584</v>
          </cell>
          <cell r="F272" t="str">
            <v>Limit Fed</v>
          </cell>
          <cell r="G272" t="str">
            <v>Weight</v>
          </cell>
          <cell r="H272" t="str">
            <v>Rebecca Sjostrand</v>
          </cell>
          <cell r="I272">
            <v>668</v>
          </cell>
        </row>
        <row r="273">
          <cell r="E273">
            <v>4585</v>
          </cell>
          <cell r="F273" t="str">
            <v>Limit Fed</v>
          </cell>
          <cell r="G273" t="str">
            <v>Weight</v>
          </cell>
          <cell r="H273" t="str">
            <v>Rebecca Sjostrand</v>
          </cell>
          <cell r="I273">
            <v>652</v>
          </cell>
        </row>
        <row r="274">
          <cell r="E274">
            <v>4586</v>
          </cell>
          <cell r="F274" t="str">
            <v>Limit Fed</v>
          </cell>
          <cell r="G274" t="str">
            <v>Weight</v>
          </cell>
          <cell r="H274" t="str">
            <v>Rebecca Sjostrand</v>
          </cell>
          <cell r="I274">
            <v>614</v>
          </cell>
        </row>
        <row r="275">
          <cell r="E275">
            <v>4587</v>
          </cell>
          <cell r="F275" t="str">
            <v>Limit Fed</v>
          </cell>
          <cell r="G275" t="str">
            <v>Weight</v>
          </cell>
          <cell r="H275" t="str">
            <v>Rebecca Sjostrand</v>
          </cell>
          <cell r="I275">
            <v>626</v>
          </cell>
        </row>
        <row r="276">
          <cell r="E276">
            <v>4588</v>
          </cell>
          <cell r="F276" t="str">
            <v>Limit Fed</v>
          </cell>
          <cell r="G276" t="str">
            <v>Weight</v>
          </cell>
          <cell r="H276" t="str">
            <v>Rebecca Sjostrand</v>
          </cell>
          <cell r="I276">
            <v>682</v>
          </cell>
        </row>
        <row r="277">
          <cell r="E277">
            <v>4589</v>
          </cell>
          <cell r="F277" t="str">
            <v>Limit Fed</v>
          </cell>
          <cell r="G277" t="str">
            <v>Weight</v>
          </cell>
          <cell r="H277" t="str">
            <v>Rebecca Sjostrand</v>
          </cell>
          <cell r="I277">
            <v>608</v>
          </cell>
        </row>
        <row r="278">
          <cell r="E278">
            <v>4590</v>
          </cell>
          <cell r="F278" t="str">
            <v>Limit Fed</v>
          </cell>
          <cell r="G278" t="str">
            <v>Weight</v>
          </cell>
          <cell r="H278" t="str">
            <v>Rebecca Sjostrand</v>
          </cell>
          <cell r="I278">
            <v>658</v>
          </cell>
        </row>
        <row r="279">
          <cell r="E279">
            <v>4591</v>
          </cell>
          <cell r="F279" t="str">
            <v>Limit Fed</v>
          </cell>
          <cell r="G279" t="str">
            <v>Weight</v>
          </cell>
          <cell r="H279" t="str">
            <v>Rebecca Sjostrand</v>
          </cell>
          <cell r="I279">
            <v>528</v>
          </cell>
        </row>
        <row r="280">
          <cell r="E280">
            <v>4592</v>
          </cell>
          <cell r="F280" t="str">
            <v>Limit Fed</v>
          </cell>
          <cell r="G280" t="str">
            <v>Weight</v>
          </cell>
          <cell r="H280" t="str">
            <v>Rebecca Sjostrand</v>
          </cell>
          <cell r="I280">
            <v>638</v>
          </cell>
        </row>
        <row r="281">
          <cell r="E281">
            <v>4593</v>
          </cell>
          <cell r="F281" t="str">
            <v>Limit Fed</v>
          </cell>
          <cell r="G281" t="str">
            <v>Weight</v>
          </cell>
          <cell r="H281" t="str">
            <v>Rebecca Sjostrand</v>
          </cell>
          <cell r="I281">
            <v>582</v>
          </cell>
        </row>
        <row r="282">
          <cell r="E282">
            <v>4594</v>
          </cell>
          <cell r="F282" t="str">
            <v>Limit Fed</v>
          </cell>
          <cell r="G282" t="str">
            <v>Weight</v>
          </cell>
          <cell r="H282" t="str">
            <v>Rebecca Sjostrand</v>
          </cell>
          <cell r="I282">
            <v>542</v>
          </cell>
        </row>
        <row r="283">
          <cell r="E283">
            <v>4595</v>
          </cell>
          <cell r="F283" t="str">
            <v>Limit Fed</v>
          </cell>
          <cell r="G283" t="str">
            <v>Weight</v>
          </cell>
          <cell r="H283" t="str">
            <v>Rebecca Sjostrand</v>
          </cell>
          <cell r="I283">
            <v>658</v>
          </cell>
        </row>
        <row r="284">
          <cell r="E284">
            <v>4596</v>
          </cell>
          <cell r="F284" t="str">
            <v>Limit Fed</v>
          </cell>
          <cell r="G284" t="str">
            <v>Weight</v>
          </cell>
          <cell r="H284" t="str">
            <v>Rebecca Sjostrand</v>
          </cell>
          <cell r="I284">
            <v>636</v>
          </cell>
        </row>
        <row r="285">
          <cell r="E285">
            <v>4597</v>
          </cell>
          <cell r="F285" t="str">
            <v>Limit Fed</v>
          </cell>
          <cell r="G285" t="str">
            <v>Weight</v>
          </cell>
          <cell r="H285" t="str">
            <v>Rebecca Sjostrand</v>
          </cell>
          <cell r="I285">
            <v>634</v>
          </cell>
        </row>
        <row r="286">
          <cell r="E286">
            <v>4598</v>
          </cell>
          <cell r="F286" t="str">
            <v>Limit Fed</v>
          </cell>
          <cell r="G286" t="str">
            <v>Weight</v>
          </cell>
          <cell r="H286" t="str">
            <v>Rebecca Sjostrand</v>
          </cell>
          <cell r="I286">
            <v>602</v>
          </cell>
        </row>
        <row r="287">
          <cell r="E287">
            <v>4599</v>
          </cell>
          <cell r="F287" t="str">
            <v>Limit Fed</v>
          </cell>
          <cell r="G287" t="str">
            <v>Weight</v>
          </cell>
          <cell r="H287" t="str">
            <v>Rebecca Sjostrand</v>
          </cell>
          <cell r="I287">
            <v>576</v>
          </cell>
        </row>
        <row r="288">
          <cell r="E288">
            <v>4600</v>
          </cell>
          <cell r="F288" t="str">
            <v>Limit Fed</v>
          </cell>
          <cell r="G288" t="str">
            <v>Weight</v>
          </cell>
          <cell r="H288" t="str">
            <v>Rebecca Sjostrand</v>
          </cell>
          <cell r="I288">
            <v>596</v>
          </cell>
        </row>
        <row r="289">
          <cell r="E289">
            <v>4601</v>
          </cell>
          <cell r="F289" t="str">
            <v>Limit Fed</v>
          </cell>
          <cell r="G289" t="str">
            <v>Weight</v>
          </cell>
          <cell r="H289" t="str">
            <v>Rebecca Sjostrand</v>
          </cell>
          <cell r="I289">
            <v>668</v>
          </cell>
        </row>
        <row r="290">
          <cell r="E290">
            <v>4602</v>
          </cell>
          <cell r="F290" t="str">
            <v>Limit Fed</v>
          </cell>
          <cell r="G290" t="str">
            <v>Weight</v>
          </cell>
          <cell r="H290" t="str">
            <v>Rebecca Sjostrand</v>
          </cell>
          <cell r="I290">
            <v>582</v>
          </cell>
        </row>
        <row r="291">
          <cell r="E291">
            <v>4603</v>
          </cell>
          <cell r="F291" t="str">
            <v>Limit Fed</v>
          </cell>
          <cell r="G291" t="str">
            <v>Weight</v>
          </cell>
          <cell r="H291" t="str">
            <v>Rebecca Sjostrand</v>
          </cell>
          <cell r="I291">
            <v>554</v>
          </cell>
        </row>
        <row r="292">
          <cell r="E292">
            <v>4604</v>
          </cell>
          <cell r="F292" t="str">
            <v>Limit Fed</v>
          </cell>
          <cell r="G292" t="str">
            <v>Weight</v>
          </cell>
          <cell r="H292" t="str">
            <v>Rebecca Sjostrand</v>
          </cell>
          <cell r="I292">
            <v>634</v>
          </cell>
        </row>
        <row r="293">
          <cell r="E293">
            <v>4605</v>
          </cell>
          <cell r="F293" t="str">
            <v>Limit Fed</v>
          </cell>
          <cell r="G293" t="str">
            <v>Weight</v>
          </cell>
          <cell r="H293" t="str">
            <v>Rebecca Sjostrand</v>
          </cell>
          <cell r="I293">
            <v>558</v>
          </cell>
        </row>
        <row r="294">
          <cell r="E294">
            <v>4606</v>
          </cell>
          <cell r="F294" t="str">
            <v>Limit Fed</v>
          </cell>
          <cell r="G294" t="str">
            <v>Weight</v>
          </cell>
          <cell r="H294" t="str">
            <v>Rebecca Sjostrand</v>
          </cell>
          <cell r="I294">
            <v>730</v>
          </cell>
        </row>
        <row r="295">
          <cell r="E295">
            <v>4607</v>
          </cell>
          <cell r="F295" t="str">
            <v>Limit Fed</v>
          </cell>
          <cell r="G295" t="str">
            <v>Weight</v>
          </cell>
          <cell r="H295" t="str">
            <v>Rebecca Sjostrand</v>
          </cell>
          <cell r="I295">
            <v>650</v>
          </cell>
        </row>
        <row r="296">
          <cell r="E296">
            <v>4608</v>
          </cell>
          <cell r="F296" t="str">
            <v>Limit Fed</v>
          </cell>
          <cell r="G296" t="str">
            <v>Weight</v>
          </cell>
          <cell r="H296" t="str">
            <v>Rebecca Sjostrand</v>
          </cell>
          <cell r="I296">
            <v>628</v>
          </cell>
        </row>
        <row r="297">
          <cell r="E297">
            <v>4609</v>
          </cell>
          <cell r="F297" t="str">
            <v>Limit Fed</v>
          </cell>
          <cell r="G297" t="str">
            <v>Weight</v>
          </cell>
          <cell r="H297" t="str">
            <v>Rebecca Sjostrand</v>
          </cell>
          <cell r="I297">
            <v>684</v>
          </cell>
        </row>
        <row r="298">
          <cell r="E298">
            <v>4610</v>
          </cell>
          <cell r="F298" t="str">
            <v>Limit Fed</v>
          </cell>
          <cell r="G298" t="str">
            <v>Weight</v>
          </cell>
          <cell r="H298" t="str">
            <v>Rebecca Sjostrand</v>
          </cell>
          <cell r="I298">
            <v>608</v>
          </cell>
        </row>
        <row r="299">
          <cell r="E299">
            <v>4611</v>
          </cell>
          <cell r="F299" t="str">
            <v>Limit Fed</v>
          </cell>
          <cell r="G299" t="str">
            <v>Weight</v>
          </cell>
          <cell r="H299" t="str">
            <v>Rebecca Sjostrand</v>
          </cell>
          <cell r="I299">
            <v>592</v>
          </cell>
        </row>
        <row r="300">
          <cell r="E300">
            <v>4612</v>
          </cell>
          <cell r="F300" t="str">
            <v>Limit Fed</v>
          </cell>
          <cell r="G300" t="str">
            <v>Weight</v>
          </cell>
          <cell r="H300" t="str">
            <v>Rebecca Sjostrand</v>
          </cell>
          <cell r="I300">
            <v>596</v>
          </cell>
        </row>
        <row r="301">
          <cell r="E301">
            <v>4613</v>
          </cell>
          <cell r="F301" t="str">
            <v>Limit Fed</v>
          </cell>
          <cell r="G301" t="str">
            <v>Weight</v>
          </cell>
          <cell r="H301" t="str">
            <v>Rebecca Sjostrand</v>
          </cell>
          <cell r="I301">
            <v>571</v>
          </cell>
        </row>
        <row r="302">
          <cell r="E302">
            <v>4614</v>
          </cell>
          <cell r="F302" t="str">
            <v>Limit Fed</v>
          </cell>
          <cell r="G302" t="str">
            <v>Weight</v>
          </cell>
          <cell r="H302" t="str">
            <v>Rebecca Sjostrand</v>
          </cell>
          <cell r="I302">
            <v>602</v>
          </cell>
        </row>
        <row r="303">
          <cell r="E303">
            <v>4615</v>
          </cell>
          <cell r="F303" t="str">
            <v>Limit Fed</v>
          </cell>
          <cell r="G303" t="str">
            <v>Weight</v>
          </cell>
          <cell r="H303" t="str">
            <v>Rebecca Sjostrand</v>
          </cell>
          <cell r="I303">
            <v>652</v>
          </cell>
        </row>
        <row r="304">
          <cell r="E304">
            <v>4616</v>
          </cell>
          <cell r="F304" t="str">
            <v>Limit Fed</v>
          </cell>
          <cell r="G304" t="str">
            <v>Weight</v>
          </cell>
          <cell r="H304" t="str">
            <v>Rebecca Sjostrand</v>
          </cell>
          <cell r="I304">
            <v>694</v>
          </cell>
        </row>
        <row r="305">
          <cell r="E305">
            <v>4617</v>
          </cell>
          <cell r="F305" t="str">
            <v>Limit Fed</v>
          </cell>
          <cell r="G305" t="str">
            <v>Weight</v>
          </cell>
          <cell r="H305" t="str">
            <v>Rebecca Sjostrand</v>
          </cell>
          <cell r="I305">
            <v>618</v>
          </cell>
        </row>
        <row r="306">
          <cell r="E306">
            <v>4618</v>
          </cell>
          <cell r="F306" t="str">
            <v>Limit Fed</v>
          </cell>
          <cell r="G306" t="str">
            <v>Weight</v>
          </cell>
          <cell r="H306" t="str">
            <v>Rebecca Sjostrand</v>
          </cell>
          <cell r="I306">
            <v>640</v>
          </cell>
        </row>
        <row r="307">
          <cell r="E307">
            <v>4619</v>
          </cell>
          <cell r="F307" t="str">
            <v>Limit Fed</v>
          </cell>
          <cell r="G307" t="str">
            <v>Weight</v>
          </cell>
          <cell r="H307" t="str">
            <v>Rebecca Sjostrand</v>
          </cell>
          <cell r="I307">
            <v>632</v>
          </cell>
        </row>
        <row r="308">
          <cell r="E308">
            <v>4620</v>
          </cell>
          <cell r="F308" t="str">
            <v>Limit Fed</v>
          </cell>
          <cell r="G308" t="str">
            <v>Weight</v>
          </cell>
          <cell r="H308" t="str">
            <v>Rebecca Sjostrand</v>
          </cell>
          <cell r="I308">
            <v>674</v>
          </cell>
        </row>
        <row r="309">
          <cell r="E309">
            <v>4621</v>
          </cell>
          <cell r="F309" t="str">
            <v>Limit Fed</v>
          </cell>
          <cell r="G309" t="str">
            <v>Weight</v>
          </cell>
          <cell r="H309" t="str">
            <v>Rebecca Sjostrand</v>
          </cell>
          <cell r="I309">
            <v>606</v>
          </cell>
        </row>
        <row r="310">
          <cell r="E310">
            <v>4622</v>
          </cell>
          <cell r="F310" t="str">
            <v>Limit Fed</v>
          </cell>
          <cell r="G310" t="str">
            <v>Weight</v>
          </cell>
          <cell r="H310" t="str">
            <v>Rebecca Sjostrand</v>
          </cell>
          <cell r="I310">
            <v>616</v>
          </cell>
        </row>
        <row r="311">
          <cell r="E311">
            <v>4623</v>
          </cell>
          <cell r="F311" t="str">
            <v>Limit Fed</v>
          </cell>
          <cell r="G311" t="str">
            <v>Weight</v>
          </cell>
          <cell r="H311" t="str">
            <v>Rebecca Sjostrand</v>
          </cell>
          <cell r="I311">
            <v>536</v>
          </cell>
        </row>
        <row r="312">
          <cell r="E312">
            <v>4624</v>
          </cell>
          <cell r="F312" t="str">
            <v>Limit Fed</v>
          </cell>
          <cell r="G312" t="str">
            <v>Weight</v>
          </cell>
          <cell r="H312" t="str">
            <v>Rebecca Sjostrand</v>
          </cell>
          <cell r="I312">
            <v>658</v>
          </cell>
        </row>
        <row r="313">
          <cell r="E313">
            <v>4625</v>
          </cell>
          <cell r="F313" t="str">
            <v>Limit Fed</v>
          </cell>
          <cell r="G313" t="str">
            <v>Weight</v>
          </cell>
          <cell r="H313" t="str">
            <v>Rebecca Sjostrand</v>
          </cell>
          <cell r="I313">
            <v>706</v>
          </cell>
        </row>
        <row r="314">
          <cell r="E314">
            <v>4626</v>
          </cell>
          <cell r="F314" t="str">
            <v>Limit Fed</v>
          </cell>
          <cell r="G314" t="str">
            <v>Weight</v>
          </cell>
          <cell r="H314" t="str">
            <v>Rebecca Sjostrand</v>
          </cell>
          <cell r="I314">
            <v>676</v>
          </cell>
        </row>
        <row r="315">
          <cell r="E315">
            <v>4627</v>
          </cell>
          <cell r="F315" t="str">
            <v>Limit Fed</v>
          </cell>
          <cell r="G315" t="str">
            <v>Weight</v>
          </cell>
          <cell r="H315" t="str">
            <v>Rebecca Sjostrand</v>
          </cell>
          <cell r="I315">
            <v>734</v>
          </cell>
        </row>
        <row r="316">
          <cell r="E316">
            <v>4628</v>
          </cell>
          <cell r="F316" t="str">
            <v>Limit Fed</v>
          </cell>
          <cell r="G316" t="str">
            <v>Weight</v>
          </cell>
          <cell r="H316" t="str">
            <v>Rebecca Sjostrand</v>
          </cell>
          <cell r="I316">
            <v>592</v>
          </cell>
        </row>
        <row r="317">
          <cell r="E317">
            <v>4629</v>
          </cell>
          <cell r="F317" t="str">
            <v>Limit Fed</v>
          </cell>
          <cell r="G317" t="str">
            <v>Weight</v>
          </cell>
          <cell r="H317" t="str">
            <v>Rebecca Sjostrand</v>
          </cell>
          <cell r="I317">
            <v>684</v>
          </cell>
        </row>
        <row r="318">
          <cell r="E318">
            <v>4630</v>
          </cell>
          <cell r="F318" t="str">
            <v>Limit Fed</v>
          </cell>
          <cell r="G318" t="str">
            <v>Weight</v>
          </cell>
          <cell r="H318" t="str">
            <v>Rebecca Sjostrand</v>
          </cell>
          <cell r="I318">
            <v>634</v>
          </cell>
        </row>
        <row r="319">
          <cell r="E319">
            <v>4631</v>
          </cell>
          <cell r="F319" t="str">
            <v>Limit Fed</v>
          </cell>
          <cell r="G319" t="str">
            <v>Weight</v>
          </cell>
          <cell r="H319" t="str">
            <v>Rebecca Sjostrand</v>
          </cell>
          <cell r="I319">
            <v>652</v>
          </cell>
        </row>
        <row r="320">
          <cell r="E320">
            <v>4632</v>
          </cell>
          <cell r="F320" t="str">
            <v>Limit Fed</v>
          </cell>
          <cell r="G320" t="str">
            <v>Weight</v>
          </cell>
          <cell r="H320" t="str">
            <v>Rebecca Sjostrand</v>
          </cell>
          <cell r="I320">
            <v>650</v>
          </cell>
        </row>
        <row r="321">
          <cell r="E321">
            <v>4633</v>
          </cell>
          <cell r="F321" t="str">
            <v>Limit Fed</v>
          </cell>
          <cell r="G321" t="str">
            <v>Weight</v>
          </cell>
          <cell r="H321" t="str">
            <v>Rebecca Sjostrand</v>
          </cell>
          <cell r="I321">
            <v>634</v>
          </cell>
        </row>
        <row r="322">
          <cell r="E322">
            <v>4634</v>
          </cell>
          <cell r="F322" t="str">
            <v>Limit Fed</v>
          </cell>
          <cell r="G322" t="str">
            <v>Weight</v>
          </cell>
          <cell r="H322" t="str">
            <v>Rebecca Sjostrand</v>
          </cell>
          <cell r="I322">
            <v>594</v>
          </cell>
        </row>
        <row r="323">
          <cell r="E323">
            <v>4635</v>
          </cell>
          <cell r="F323" t="str">
            <v>Limit Fed</v>
          </cell>
          <cell r="G323" t="str">
            <v>Weight</v>
          </cell>
          <cell r="H323" t="str">
            <v>Rebecca Sjostrand</v>
          </cell>
          <cell r="I323">
            <v>722</v>
          </cell>
        </row>
        <row r="324">
          <cell r="E324">
            <v>4636</v>
          </cell>
          <cell r="F324" t="str">
            <v>Limit Fed</v>
          </cell>
          <cell r="G324" t="str">
            <v>Weight</v>
          </cell>
          <cell r="H324" t="str">
            <v>Rebecca Sjostrand</v>
          </cell>
          <cell r="I324">
            <v>604</v>
          </cell>
        </row>
        <row r="325">
          <cell r="E325">
            <v>4637</v>
          </cell>
          <cell r="F325" t="str">
            <v>Limit Fed</v>
          </cell>
          <cell r="G325" t="str">
            <v>Weight</v>
          </cell>
          <cell r="H325" t="str">
            <v>Rebecca Sjostrand</v>
          </cell>
          <cell r="I325">
            <v>548</v>
          </cell>
        </row>
        <row r="326">
          <cell r="E326">
            <v>4638</v>
          </cell>
          <cell r="F326" t="str">
            <v>Limit Fed</v>
          </cell>
          <cell r="G326" t="str">
            <v>Weight</v>
          </cell>
          <cell r="H326" t="str">
            <v>Rebecca Sjostrand</v>
          </cell>
          <cell r="I326">
            <v>584</v>
          </cell>
        </row>
        <row r="327">
          <cell r="E327">
            <v>4639</v>
          </cell>
          <cell r="F327" t="str">
            <v>Limit Fed</v>
          </cell>
          <cell r="G327" t="str">
            <v>Weight</v>
          </cell>
          <cell r="H327" t="str">
            <v>Rebecca Sjostrand</v>
          </cell>
          <cell r="I327">
            <v>592</v>
          </cell>
        </row>
        <row r="328">
          <cell r="E328">
            <v>4640</v>
          </cell>
          <cell r="F328" t="str">
            <v>Limit Fed</v>
          </cell>
          <cell r="G328" t="str">
            <v>Weight</v>
          </cell>
          <cell r="H328" t="str">
            <v>Rebecca Sjostrand</v>
          </cell>
          <cell r="I328">
            <v>590</v>
          </cell>
        </row>
        <row r="329">
          <cell r="E329">
            <v>4641</v>
          </cell>
          <cell r="F329" t="str">
            <v>Limit Fed</v>
          </cell>
          <cell r="G329" t="str">
            <v>Weight</v>
          </cell>
          <cell r="H329" t="str">
            <v>Rebecca Sjostrand</v>
          </cell>
          <cell r="I329">
            <v>742</v>
          </cell>
        </row>
        <row r="330">
          <cell r="E330">
            <v>4642</v>
          </cell>
          <cell r="F330" t="str">
            <v>Limit Fed</v>
          </cell>
          <cell r="G330" t="str">
            <v>Weight</v>
          </cell>
          <cell r="H330" t="str">
            <v>Rebecca Sjostrand</v>
          </cell>
          <cell r="I330">
            <v>618</v>
          </cell>
        </row>
        <row r="331">
          <cell r="E331">
            <v>4643</v>
          </cell>
          <cell r="F331" t="str">
            <v>Limit Fed</v>
          </cell>
          <cell r="G331" t="str">
            <v>Weight</v>
          </cell>
          <cell r="H331" t="str">
            <v>Rebecca Sjostrand</v>
          </cell>
          <cell r="I331">
            <v>642</v>
          </cell>
        </row>
        <row r="332">
          <cell r="E332">
            <v>4644</v>
          </cell>
          <cell r="F332" t="str">
            <v>Limit Fed</v>
          </cell>
          <cell r="G332" t="str">
            <v>Weight</v>
          </cell>
          <cell r="H332" t="str">
            <v>Rebecca Sjostrand</v>
          </cell>
          <cell r="I332">
            <v>632</v>
          </cell>
        </row>
        <row r="333">
          <cell r="E333">
            <v>4645</v>
          </cell>
          <cell r="F333" t="str">
            <v>Limit Fed</v>
          </cell>
          <cell r="G333" t="str">
            <v>Weight</v>
          </cell>
          <cell r="H333" t="str">
            <v>Rebecca Sjostrand</v>
          </cell>
          <cell r="I333">
            <v>478</v>
          </cell>
        </row>
        <row r="334">
          <cell r="E334">
            <v>4646</v>
          </cell>
          <cell r="F334" t="str">
            <v>Limit Fed</v>
          </cell>
          <cell r="G334" t="str">
            <v>Weight</v>
          </cell>
          <cell r="H334" t="str">
            <v>Rebecca Sjostrand</v>
          </cell>
          <cell r="I334">
            <v>624</v>
          </cell>
        </row>
        <row r="335">
          <cell r="E335">
            <v>4647</v>
          </cell>
          <cell r="F335" t="str">
            <v>Limit Fed</v>
          </cell>
          <cell r="G335" t="str">
            <v>Weight</v>
          </cell>
          <cell r="H335" t="str">
            <v>Rebecca Sjostrand</v>
          </cell>
          <cell r="I335">
            <v>628</v>
          </cell>
        </row>
        <row r="336">
          <cell r="E336">
            <v>4648</v>
          </cell>
          <cell r="F336" t="str">
            <v>Limit Fed</v>
          </cell>
          <cell r="G336" t="str">
            <v>Weight</v>
          </cell>
          <cell r="H336" t="str">
            <v>Rebecca Sjostrand</v>
          </cell>
          <cell r="I336">
            <v>536</v>
          </cell>
        </row>
        <row r="337">
          <cell r="E337">
            <v>4649</v>
          </cell>
          <cell r="F337" t="str">
            <v>Limit Fed</v>
          </cell>
          <cell r="G337" t="str">
            <v>Weight</v>
          </cell>
          <cell r="H337" t="str">
            <v>Rebecca Sjostrand</v>
          </cell>
          <cell r="I337">
            <v>588</v>
          </cell>
        </row>
        <row r="338">
          <cell r="E338">
            <v>4650</v>
          </cell>
          <cell r="F338" t="str">
            <v>Limit Fed</v>
          </cell>
          <cell r="G338" t="str">
            <v>Weight</v>
          </cell>
          <cell r="H338" t="str">
            <v>Rebecca Sjostrand</v>
          </cell>
          <cell r="I338">
            <v>550</v>
          </cell>
        </row>
        <row r="339">
          <cell r="E339">
            <v>4651</v>
          </cell>
          <cell r="F339" t="str">
            <v>Limit Fed</v>
          </cell>
          <cell r="G339" t="str">
            <v>Weight</v>
          </cell>
          <cell r="H339" t="str">
            <v>Rebecca Sjostrand</v>
          </cell>
          <cell r="I339">
            <v>590</v>
          </cell>
        </row>
        <row r="340">
          <cell r="E340">
            <v>4652</v>
          </cell>
          <cell r="F340" t="str">
            <v>Limit Fed</v>
          </cell>
          <cell r="G340" t="str">
            <v>Weight</v>
          </cell>
          <cell r="H340" t="str">
            <v>Rebecca Sjostrand</v>
          </cell>
          <cell r="I340">
            <v>648</v>
          </cell>
        </row>
        <row r="341">
          <cell r="E341">
            <v>4653</v>
          </cell>
          <cell r="F341" t="str">
            <v>Limit Fed</v>
          </cell>
          <cell r="G341" t="str">
            <v>Weight</v>
          </cell>
          <cell r="H341" t="str">
            <v>Rebecca Sjostrand</v>
          </cell>
          <cell r="I341">
            <v>570</v>
          </cell>
        </row>
        <row r="342">
          <cell r="E342">
            <v>4654</v>
          </cell>
          <cell r="F342" t="str">
            <v>Limit Fed</v>
          </cell>
          <cell r="G342" t="str">
            <v>Weight</v>
          </cell>
          <cell r="H342" t="str">
            <v>Rebecca Sjostrand</v>
          </cell>
          <cell r="I342">
            <v>732</v>
          </cell>
        </row>
        <row r="343">
          <cell r="E343">
            <v>4655</v>
          </cell>
          <cell r="F343" t="str">
            <v>Limit Fed</v>
          </cell>
          <cell r="G343" t="str">
            <v>Weight</v>
          </cell>
          <cell r="H343" t="str">
            <v>Rebecca Sjostrand</v>
          </cell>
          <cell r="I343">
            <v>674</v>
          </cell>
        </row>
        <row r="344">
          <cell r="E344">
            <v>4656</v>
          </cell>
          <cell r="F344" t="str">
            <v>Limit Fed</v>
          </cell>
          <cell r="G344" t="str">
            <v>Weight</v>
          </cell>
          <cell r="H344" t="str">
            <v>Rebecca Sjostrand</v>
          </cell>
          <cell r="I344">
            <v>744</v>
          </cell>
        </row>
        <row r="345">
          <cell r="E345">
            <v>4657</v>
          </cell>
          <cell r="F345" t="str">
            <v>Limit Fed</v>
          </cell>
          <cell r="G345" t="str">
            <v>Weight</v>
          </cell>
          <cell r="H345" t="str">
            <v>Rebecca Sjostrand</v>
          </cell>
          <cell r="I345">
            <v>544</v>
          </cell>
        </row>
        <row r="346">
          <cell r="E346">
            <v>4658</v>
          </cell>
          <cell r="F346" t="str">
            <v>Limit Fed</v>
          </cell>
          <cell r="G346" t="str">
            <v>Weight</v>
          </cell>
          <cell r="H346" t="str">
            <v>Rebecca Sjostrand</v>
          </cell>
          <cell r="I346">
            <v>652</v>
          </cell>
        </row>
        <row r="347">
          <cell r="E347">
            <v>4659</v>
          </cell>
          <cell r="F347" t="str">
            <v>Limit Fed</v>
          </cell>
          <cell r="G347" t="str">
            <v>Weight</v>
          </cell>
          <cell r="H347" t="str">
            <v>Rebecca Sjostrand</v>
          </cell>
          <cell r="I347">
            <v>580</v>
          </cell>
        </row>
        <row r="348">
          <cell r="E348">
            <v>4660</v>
          </cell>
          <cell r="F348" t="str">
            <v>Limit Fed</v>
          </cell>
          <cell r="G348" t="str">
            <v>Weight</v>
          </cell>
          <cell r="H348" t="str">
            <v>Rebecca Sjostrand</v>
          </cell>
          <cell r="I348">
            <v>580</v>
          </cell>
        </row>
        <row r="349">
          <cell r="E349">
            <v>4661</v>
          </cell>
          <cell r="F349" t="str">
            <v>Limit Fed</v>
          </cell>
          <cell r="G349" t="str">
            <v>Weight</v>
          </cell>
          <cell r="H349" t="str">
            <v>Rebecca Sjostrand</v>
          </cell>
          <cell r="I349">
            <v>628</v>
          </cell>
        </row>
        <row r="350">
          <cell r="E350">
            <v>4662</v>
          </cell>
          <cell r="F350" t="str">
            <v>Limit Fed</v>
          </cell>
          <cell r="G350" t="str">
            <v>Weight</v>
          </cell>
          <cell r="H350" t="str">
            <v>Rebecca Sjostrand</v>
          </cell>
          <cell r="I350">
            <v>660</v>
          </cell>
        </row>
        <row r="351">
          <cell r="E351">
            <v>4663</v>
          </cell>
          <cell r="F351" t="str">
            <v>Limit Fed</v>
          </cell>
          <cell r="G351" t="str">
            <v>Weight</v>
          </cell>
          <cell r="H351" t="str">
            <v>Rebecca Sjostrand</v>
          </cell>
          <cell r="I351">
            <v>542</v>
          </cell>
        </row>
        <row r="352">
          <cell r="E352">
            <v>4664</v>
          </cell>
          <cell r="F352" t="str">
            <v>Limit Fed</v>
          </cell>
          <cell r="G352" t="str">
            <v>Weight</v>
          </cell>
          <cell r="H352" t="str">
            <v>Rebecca Sjostrand</v>
          </cell>
          <cell r="I352">
            <v>532</v>
          </cell>
        </row>
        <row r="353">
          <cell r="E353">
            <v>4665</v>
          </cell>
          <cell r="F353" t="str">
            <v>Limit Fed</v>
          </cell>
          <cell r="G353" t="str">
            <v>Weight</v>
          </cell>
          <cell r="H353" t="str">
            <v>Rebecca Sjostrand</v>
          </cell>
          <cell r="I353">
            <v>618</v>
          </cell>
        </row>
        <row r="354">
          <cell r="E354">
            <v>4666</v>
          </cell>
          <cell r="F354" t="str">
            <v>Limit Fed</v>
          </cell>
          <cell r="G354" t="str">
            <v>Weight</v>
          </cell>
          <cell r="H354" t="str">
            <v>Rebecca Sjostrand</v>
          </cell>
          <cell r="I354">
            <v>626</v>
          </cell>
        </row>
        <row r="355">
          <cell r="E355">
            <v>4667</v>
          </cell>
          <cell r="F355" t="str">
            <v>Limit Fed</v>
          </cell>
          <cell r="G355" t="str">
            <v>Weight</v>
          </cell>
          <cell r="H355" t="str">
            <v>Rebecca Sjostrand</v>
          </cell>
          <cell r="I355">
            <v>552</v>
          </cell>
        </row>
        <row r="356">
          <cell r="E356">
            <v>4668</v>
          </cell>
          <cell r="F356" t="str">
            <v>Limit Fed</v>
          </cell>
          <cell r="G356" t="str">
            <v>Weight</v>
          </cell>
          <cell r="H356" t="str">
            <v>Rebecca Sjostrand</v>
          </cell>
          <cell r="I356">
            <v>604</v>
          </cell>
        </row>
        <row r="357">
          <cell r="E357">
            <v>4669</v>
          </cell>
          <cell r="F357" t="str">
            <v>Limit Fed</v>
          </cell>
          <cell r="G357" t="str">
            <v>Weight</v>
          </cell>
          <cell r="H357" t="str">
            <v>Rebecca Sjostrand</v>
          </cell>
          <cell r="I357">
            <v>720</v>
          </cell>
        </row>
        <row r="358">
          <cell r="E358">
            <v>4670</v>
          </cell>
          <cell r="F358" t="str">
            <v>Limit Fed</v>
          </cell>
          <cell r="G358" t="str">
            <v>Weight</v>
          </cell>
          <cell r="H358" t="str">
            <v>Rebecca Sjostrand</v>
          </cell>
          <cell r="I358">
            <v>786</v>
          </cell>
        </row>
        <row r="359">
          <cell r="E359">
            <v>4671</v>
          </cell>
          <cell r="F359" t="str">
            <v>Limit Fed</v>
          </cell>
          <cell r="G359" t="str">
            <v>Weight</v>
          </cell>
          <cell r="H359" t="str">
            <v>Rebecca Sjostrand</v>
          </cell>
          <cell r="I359">
            <v>674</v>
          </cell>
        </row>
        <row r="360">
          <cell r="E360">
            <v>4672</v>
          </cell>
          <cell r="F360" t="str">
            <v>Limit Fed</v>
          </cell>
          <cell r="G360" t="str">
            <v>Weight</v>
          </cell>
          <cell r="H360" t="str">
            <v>Rebecca Sjostrand</v>
          </cell>
          <cell r="I360">
            <v>636</v>
          </cell>
        </row>
        <row r="361">
          <cell r="E361">
            <v>4673</v>
          </cell>
          <cell r="F361" t="str">
            <v>Limit Fed</v>
          </cell>
          <cell r="G361" t="str">
            <v>Weight</v>
          </cell>
          <cell r="H361" t="str">
            <v>Rebecca Sjostrand</v>
          </cell>
          <cell r="I361">
            <v>636</v>
          </cell>
        </row>
        <row r="362">
          <cell r="E362">
            <v>4674</v>
          </cell>
          <cell r="F362" t="str">
            <v>Limit Fed</v>
          </cell>
          <cell r="G362" t="str">
            <v>Weight</v>
          </cell>
          <cell r="H362" t="str">
            <v>Rebecca Sjostrand</v>
          </cell>
          <cell r="I362">
            <v>592</v>
          </cell>
        </row>
        <row r="363">
          <cell r="E363">
            <v>4675</v>
          </cell>
          <cell r="F363" t="str">
            <v>Limit Fed</v>
          </cell>
          <cell r="G363" t="str">
            <v>Weight</v>
          </cell>
          <cell r="H363" t="str">
            <v>Rebecca Sjostrand</v>
          </cell>
          <cell r="I363">
            <v>588</v>
          </cell>
        </row>
        <row r="364">
          <cell r="E364">
            <v>4676</v>
          </cell>
          <cell r="F364" t="str">
            <v>Limit Fed</v>
          </cell>
          <cell r="G364" t="str">
            <v>Weight</v>
          </cell>
          <cell r="H364" t="str">
            <v>Rebecca Sjostrand</v>
          </cell>
          <cell r="I364">
            <v>638</v>
          </cell>
        </row>
        <row r="365">
          <cell r="E365">
            <v>4677</v>
          </cell>
          <cell r="F365" t="str">
            <v>Limit Fed</v>
          </cell>
          <cell r="G365" t="str">
            <v>Weight</v>
          </cell>
          <cell r="H365" t="str">
            <v>Rebecca Sjostrand</v>
          </cell>
          <cell r="I365">
            <v>706</v>
          </cell>
        </row>
        <row r="366">
          <cell r="E366">
            <v>4678</v>
          </cell>
          <cell r="F366" t="str">
            <v>Limit Fed</v>
          </cell>
          <cell r="G366" t="str">
            <v>Weight</v>
          </cell>
          <cell r="H366" t="str">
            <v>Rebecca Sjostrand</v>
          </cell>
          <cell r="I366">
            <v>586</v>
          </cell>
        </row>
        <row r="367">
          <cell r="E367">
            <v>4679</v>
          </cell>
          <cell r="F367" t="str">
            <v>Limit Fed</v>
          </cell>
          <cell r="G367" t="str">
            <v>Weight</v>
          </cell>
          <cell r="H367" t="str">
            <v>Rebecca Sjostrand</v>
          </cell>
          <cell r="I367">
            <v>530</v>
          </cell>
        </row>
        <row r="368">
          <cell r="E368">
            <v>4680</v>
          </cell>
          <cell r="F368" t="str">
            <v>Limit Fed</v>
          </cell>
          <cell r="G368" t="str">
            <v>Weight</v>
          </cell>
          <cell r="H368" t="str">
            <v>Rebecca Sjostrand</v>
          </cell>
          <cell r="I368">
            <v>700</v>
          </cell>
        </row>
        <row r="369">
          <cell r="E369">
            <v>4681</v>
          </cell>
          <cell r="F369" t="str">
            <v>Limit Fed</v>
          </cell>
          <cell r="G369" t="str">
            <v>Weight</v>
          </cell>
          <cell r="H369" t="str">
            <v>Rebecca Sjostrand</v>
          </cell>
          <cell r="I369">
            <v>624</v>
          </cell>
        </row>
        <row r="370">
          <cell r="E370">
            <v>4682</v>
          </cell>
          <cell r="F370" t="str">
            <v>Limit Fed</v>
          </cell>
          <cell r="G370" t="str">
            <v>Weight</v>
          </cell>
          <cell r="H370" t="str">
            <v>Rebecca Sjostrand</v>
          </cell>
          <cell r="I370">
            <v>582</v>
          </cell>
        </row>
        <row r="371">
          <cell r="E371">
            <v>4683</v>
          </cell>
          <cell r="F371" t="str">
            <v>Limit Fed</v>
          </cell>
          <cell r="G371" t="str">
            <v>Weight</v>
          </cell>
          <cell r="H371" t="str">
            <v>Rebecca Sjostrand</v>
          </cell>
          <cell r="I371">
            <v>558</v>
          </cell>
        </row>
        <row r="372">
          <cell r="E372">
            <v>4684</v>
          </cell>
          <cell r="F372" t="str">
            <v>Limit Fed</v>
          </cell>
          <cell r="G372" t="str">
            <v>Weight</v>
          </cell>
          <cell r="H372" t="str">
            <v>Rebecca Sjostrand</v>
          </cell>
          <cell r="I372">
            <v>660</v>
          </cell>
        </row>
        <row r="373">
          <cell r="E373">
            <v>4685</v>
          </cell>
          <cell r="F373" t="str">
            <v>Limit Fed</v>
          </cell>
          <cell r="G373" t="str">
            <v>Weight</v>
          </cell>
          <cell r="H373" t="str">
            <v>Rebecca Sjostrand</v>
          </cell>
          <cell r="I373">
            <v>706</v>
          </cell>
        </row>
        <row r="374">
          <cell r="E374">
            <v>4686</v>
          </cell>
          <cell r="F374" t="str">
            <v>Limit Fed</v>
          </cell>
          <cell r="G374" t="str">
            <v>Weight</v>
          </cell>
          <cell r="H374" t="str">
            <v>Rebecca Sjostrand</v>
          </cell>
          <cell r="I374">
            <v>680</v>
          </cell>
        </row>
        <row r="375">
          <cell r="E375">
            <v>4687</v>
          </cell>
          <cell r="F375" t="str">
            <v>Limit Fed</v>
          </cell>
          <cell r="G375" t="str">
            <v>Weight</v>
          </cell>
          <cell r="H375" t="str">
            <v>Rebecca Sjostrand</v>
          </cell>
          <cell r="I375">
            <v>740</v>
          </cell>
        </row>
        <row r="376">
          <cell r="E376">
            <v>4688</v>
          </cell>
          <cell r="F376" t="str">
            <v>Limit Fed</v>
          </cell>
          <cell r="G376" t="str">
            <v>Weight</v>
          </cell>
          <cell r="H376" t="str">
            <v>Rebecca Sjostrand</v>
          </cell>
          <cell r="I376">
            <v>708</v>
          </cell>
        </row>
        <row r="377">
          <cell r="E377">
            <v>4689</v>
          </cell>
          <cell r="F377" t="str">
            <v>Limit Fed</v>
          </cell>
          <cell r="G377" t="str">
            <v>Weight</v>
          </cell>
          <cell r="H377" t="str">
            <v>Rebecca Sjostrand</v>
          </cell>
          <cell r="I377">
            <v>654</v>
          </cell>
        </row>
        <row r="378">
          <cell r="E378">
            <v>4690</v>
          </cell>
          <cell r="F378" t="str">
            <v>Limit Fed</v>
          </cell>
          <cell r="G378" t="str">
            <v>Weight</v>
          </cell>
          <cell r="H378" t="str">
            <v>Rebecca Sjostrand</v>
          </cell>
          <cell r="I378">
            <v>592</v>
          </cell>
        </row>
        <row r="379">
          <cell r="E379">
            <v>4691</v>
          </cell>
          <cell r="F379" t="str">
            <v>Limit Fed</v>
          </cell>
          <cell r="G379" t="str">
            <v>Weight</v>
          </cell>
          <cell r="H379" t="str">
            <v>Rebecca Sjostrand</v>
          </cell>
          <cell r="I379">
            <v>560</v>
          </cell>
        </row>
        <row r="380">
          <cell r="E380">
            <v>4692</v>
          </cell>
          <cell r="F380" t="str">
            <v>Limit Fed</v>
          </cell>
          <cell r="G380" t="str">
            <v>Weight</v>
          </cell>
          <cell r="H380" t="str">
            <v>Rebecca Sjostrand</v>
          </cell>
          <cell r="I380">
            <v>652</v>
          </cell>
        </row>
        <row r="381">
          <cell r="E381">
            <v>4693</v>
          </cell>
          <cell r="F381" t="str">
            <v>Limit Fed</v>
          </cell>
          <cell r="G381" t="str">
            <v>Weight</v>
          </cell>
          <cell r="H381" t="str">
            <v>Rebecca Sjostrand</v>
          </cell>
          <cell r="I381">
            <v>636</v>
          </cell>
        </row>
        <row r="382">
          <cell r="E382">
            <v>4694</v>
          </cell>
          <cell r="F382" t="str">
            <v>Limit Fed</v>
          </cell>
          <cell r="G382" t="str">
            <v>Weight</v>
          </cell>
          <cell r="H382" t="str">
            <v>Rebecca Sjostrand</v>
          </cell>
          <cell r="I382">
            <v>638</v>
          </cell>
        </row>
        <row r="383">
          <cell r="E383">
            <v>4695</v>
          </cell>
          <cell r="F383" t="str">
            <v>Limit Fed</v>
          </cell>
          <cell r="G383" t="str">
            <v>Weight</v>
          </cell>
          <cell r="H383" t="str">
            <v>Rebecca Sjostrand</v>
          </cell>
          <cell r="I383">
            <v>576</v>
          </cell>
        </row>
        <row r="384">
          <cell r="E384">
            <v>4696</v>
          </cell>
          <cell r="F384" t="str">
            <v>Limit Fed</v>
          </cell>
          <cell r="G384" t="str">
            <v>Weight</v>
          </cell>
          <cell r="H384" t="str">
            <v>Rebecca Sjostrand</v>
          </cell>
          <cell r="I384">
            <v>594</v>
          </cell>
        </row>
        <row r="385">
          <cell r="E385">
            <v>4697</v>
          </cell>
          <cell r="F385" t="str">
            <v>Limit Fed</v>
          </cell>
          <cell r="G385" t="str">
            <v>Weight</v>
          </cell>
          <cell r="H385" t="str">
            <v>Rebecca Sjostrand</v>
          </cell>
          <cell r="I385">
            <v>536</v>
          </cell>
        </row>
        <row r="386">
          <cell r="E386">
            <v>4698</v>
          </cell>
          <cell r="F386" t="str">
            <v>Limit Fed</v>
          </cell>
          <cell r="G386" t="str">
            <v>Weight</v>
          </cell>
          <cell r="H386" t="str">
            <v>Rebecca Sjostrand</v>
          </cell>
          <cell r="I386">
            <v>632</v>
          </cell>
        </row>
        <row r="387">
          <cell r="E387">
            <v>4699</v>
          </cell>
          <cell r="F387" t="str">
            <v>Limit Fed</v>
          </cell>
          <cell r="G387" t="str">
            <v>Weight</v>
          </cell>
          <cell r="H387" t="str">
            <v>Rebecca Sjostrand</v>
          </cell>
          <cell r="I387">
            <v>684</v>
          </cell>
        </row>
        <row r="388">
          <cell r="E388">
            <v>4700</v>
          </cell>
          <cell r="F388" t="str">
            <v>Limit Fed</v>
          </cell>
          <cell r="G388" t="str">
            <v>Weight</v>
          </cell>
          <cell r="H388" t="str">
            <v>Rebecca Sjostrand</v>
          </cell>
          <cell r="I388">
            <v>564</v>
          </cell>
        </row>
        <row r="389">
          <cell r="E389">
            <v>4701</v>
          </cell>
          <cell r="F389" t="str">
            <v>Limit Fed</v>
          </cell>
          <cell r="G389" t="str">
            <v>Weight</v>
          </cell>
          <cell r="H389" t="str">
            <v>Rebecca Sjostrand</v>
          </cell>
          <cell r="I389">
            <v>598</v>
          </cell>
        </row>
        <row r="390">
          <cell r="E390">
            <v>4702</v>
          </cell>
          <cell r="F390" t="str">
            <v>Limit Fed</v>
          </cell>
          <cell r="G390" t="str">
            <v>Weight</v>
          </cell>
          <cell r="H390" t="str">
            <v>Rebecca Sjostrand</v>
          </cell>
          <cell r="I390">
            <v>560</v>
          </cell>
        </row>
        <row r="391">
          <cell r="E391">
            <v>4703</v>
          </cell>
          <cell r="F391" t="str">
            <v>Limit Fed</v>
          </cell>
          <cell r="G391" t="str">
            <v>Weight</v>
          </cell>
          <cell r="H391" t="str">
            <v>Rebecca Sjostrand</v>
          </cell>
          <cell r="I391">
            <v>618</v>
          </cell>
        </row>
        <row r="392">
          <cell r="E392">
            <v>4704</v>
          </cell>
          <cell r="F392" t="str">
            <v>Limit Fed</v>
          </cell>
          <cell r="G392" t="str">
            <v>Weight</v>
          </cell>
          <cell r="H392" t="str">
            <v>Rebecca Sjostrand</v>
          </cell>
          <cell r="I392">
            <v>616</v>
          </cell>
        </row>
        <row r="393">
          <cell r="E393">
            <v>4705</v>
          </cell>
          <cell r="F393" t="str">
            <v>Limit Fed</v>
          </cell>
          <cell r="G393" t="str">
            <v>Weight</v>
          </cell>
          <cell r="H393" t="str">
            <v>Rebecca Sjostrand</v>
          </cell>
          <cell r="I393">
            <v>548</v>
          </cell>
        </row>
        <row r="394">
          <cell r="E394">
            <v>4706</v>
          </cell>
          <cell r="F394" t="str">
            <v>Limit Fed</v>
          </cell>
          <cell r="G394" t="str">
            <v>Weight</v>
          </cell>
          <cell r="H394" t="str">
            <v>Rebecca Sjostrand</v>
          </cell>
          <cell r="I394">
            <v>656</v>
          </cell>
        </row>
        <row r="395">
          <cell r="E395">
            <v>4707</v>
          </cell>
          <cell r="F395" t="str">
            <v>Limit Fed</v>
          </cell>
          <cell r="G395" t="str">
            <v>Weight</v>
          </cell>
          <cell r="H395" t="str">
            <v>Rebecca Sjostrand</v>
          </cell>
          <cell r="I395">
            <v>750</v>
          </cell>
        </row>
        <row r="396">
          <cell r="E396">
            <v>4708</v>
          </cell>
          <cell r="F396" t="str">
            <v>Limit Fed</v>
          </cell>
          <cell r="G396" t="str">
            <v>Weight</v>
          </cell>
          <cell r="H396" t="str">
            <v>Rebecca Sjostrand</v>
          </cell>
          <cell r="I396">
            <v>632</v>
          </cell>
        </row>
        <row r="397">
          <cell r="E397">
            <v>4709</v>
          </cell>
          <cell r="F397" t="str">
            <v>Limit Fed</v>
          </cell>
          <cell r="G397" t="str">
            <v>Weight</v>
          </cell>
          <cell r="H397" t="str">
            <v>Rebecca Sjostrand</v>
          </cell>
          <cell r="I397">
            <v>600</v>
          </cell>
        </row>
        <row r="398">
          <cell r="E398">
            <v>4710</v>
          </cell>
          <cell r="F398" t="str">
            <v>Limit Fed</v>
          </cell>
          <cell r="G398" t="str">
            <v>Weight</v>
          </cell>
          <cell r="H398" t="str">
            <v>Rebecca Sjostrand</v>
          </cell>
          <cell r="I398">
            <v>582</v>
          </cell>
        </row>
        <row r="399">
          <cell r="E399">
            <v>4711</v>
          </cell>
          <cell r="F399" t="str">
            <v>Limit Fed</v>
          </cell>
          <cell r="G399" t="str">
            <v>Weight</v>
          </cell>
          <cell r="H399" t="str">
            <v>Rebecca Sjostrand</v>
          </cell>
          <cell r="I399">
            <v>624</v>
          </cell>
        </row>
        <row r="400">
          <cell r="E400">
            <v>4712</v>
          </cell>
          <cell r="F400" t="str">
            <v>Limit Fed</v>
          </cell>
          <cell r="G400" t="str">
            <v>Weight</v>
          </cell>
          <cell r="H400" t="str">
            <v>Rebecca Sjostrand</v>
          </cell>
          <cell r="I400">
            <v>552</v>
          </cell>
        </row>
        <row r="401">
          <cell r="E401">
            <v>4713</v>
          </cell>
          <cell r="F401" t="str">
            <v>Limit Fed</v>
          </cell>
          <cell r="G401" t="str">
            <v>Weight</v>
          </cell>
          <cell r="H401" t="str">
            <v>Rebecca Sjostrand</v>
          </cell>
          <cell r="I401">
            <v>632</v>
          </cell>
        </row>
        <row r="402">
          <cell r="E402">
            <v>4714</v>
          </cell>
          <cell r="F402" t="str">
            <v>Limit Fed</v>
          </cell>
          <cell r="G402" t="str">
            <v>Weight</v>
          </cell>
          <cell r="H402" t="str">
            <v>Rebecca Sjostrand</v>
          </cell>
          <cell r="I402">
            <v>604</v>
          </cell>
        </row>
        <row r="403">
          <cell r="E403">
            <v>4715</v>
          </cell>
          <cell r="F403" t="str">
            <v>Limit Fed</v>
          </cell>
          <cell r="G403" t="str">
            <v>Weight</v>
          </cell>
          <cell r="H403" t="str">
            <v>Rebecca Sjostrand</v>
          </cell>
          <cell r="I403">
            <v>652</v>
          </cell>
        </row>
        <row r="404">
          <cell r="E404">
            <v>4716</v>
          </cell>
          <cell r="F404" t="str">
            <v>Limit Fed</v>
          </cell>
          <cell r="G404" t="str">
            <v>Weight</v>
          </cell>
          <cell r="H404" t="str">
            <v>Rebecca Sjostrand</v>
          </cell>
          <cell r="I404">
            <v>564</v>
          </cell>
        </row>
        <row r="405">
          <cell r="E405">
            <v>4717</v>
          </cell>
          <cell r="F405" t="str">
            <v>Limit Fed</v>
          </cell>
          <cell r="G405" t="str">
            <v>Weight</v>
          </cell>
          <cell r="H405" t="str">
            <v>Rebecca Sjostrand</v>
          </cell>
          <cell r="I405">
            <v>500</v>
          </cell>
        </row>
        <row r="406">
          <cell r="E406">
            <v>4718</v>
          </cell>
          <cell r="F406" t="str">
            <v>Limit Fed</v>
          </cell>
          <cell r="G406" t="str">
            <v>Weight</v>
          </cell>
          <cell r="H406" t="str">
            <v>Rebecca Sjostrand</v>
          </cell>
          <cell r="I406">
            <v>598</v>
          </cell>
        </row>
        <row r="407">
          <cell r="E407">
            <v>4719</v>
          </cell>
          <cell r="F407" t="str">
            <v>Limit Fed</v>
          </cell>
          <cell r="G407" t="str">
            <v>Weight</v>
          </cell>
          <cell r="H407" t="str">
            <v>Rebecca Sjostrand</v>
          </cell>
          <cell r="I407">
            <v>526</v>
          </cell>
        </row>
        <row r="408">
          <cell r="E408">
            <v>4720</v>
          </cell>
          <cell r="F408" t="str">
            <v>Limit Fed</v>
          </cell>
          <cell r="G408" t="str">
            <v>Weight</v>
          </cell>
          <cell r="H408" t="str">
            <v>Rebecca Sjostrand</v>
          </cell>
          <cell r="I408">
            <v>686</v>
          </cell>
        </row>
        <row r="409">
          <cell r="E409">
            <v>4721</v>
          </cell>
          <cell r="F409" t="str">
            <v>Limit Fed</v>
          </cell>
          <cell r="G409" t="str">
            <v>Weight</v>
          </cell>
          <cell r="H409" t="str">
            <v>Rebecca Sjostrand</v>
          </cell>
          <cell r="I409">
            <v>570</v>
          </cell>
        </row>
        <row r="410">
          <cell r="E410">
            <v>4722</v>
          </cell>
          <cell r="F410" t="str">
            <v>Limit Fed</v>
          </cell>
          <cell r="G410" t="str">
            <v>Weight</v>
          </cell>
          <cell r="H410" t="str">
            <v>Rebecca Sjostrand</v>
          </cell>
          <cell r="I410">
            <v>526</v>
          </cell>
        </row>
        <row r="411">
          <cell r="E411">
            <v>4723</v>
          </cell>
          <cell r="F411" t="str">
            <v>Limit Fed</v>
          </cell>
          <cell r="G411" t="str">
            <v>Weight</v>
          </cell>
          <cell r="H411" t="str">
            <v>Rebecca Sjostrand</v>
          </cell>
          <cell r="I411">
            <v>738</v>
          </cell>
        </row>
        <row r="412">
          <cell r="E412">
            <v>4724</v>
          </cell>
          <cell r="F412" t="str">
            <v>Limit Fed</v>
          </cell>
          <cell r="G412" t="str">
            <v>Weight</v>
          </cell>
          <cell r="H412" t="str">
            <v>Rebecca Sjostrand</v>
          </cell>
          <cell r="I412">
            <v>700</v>
          </cell>
        </row>
        <row r="413">
          <cell r="E413">
            <v>4725</v>
          </cell>
          <cell r="F413" t="str">
            <v>Limit Fed</v>
          </cell>
          <cell r="G413" t="str">
            <v>Weight</v>
          </cell>
          <cell r="H413" t="str">
            <v>Rebecca Sjostrand</v>
          </cell>
          <cell r="I413">
            <v>680</v>
          </cell>
        </row>
        <row r="414">
          <cell r="E414">
            <v>4726</v>
          </cell>
          <cell r="F414" t="str">
            <v>Limit Fed</v>
          </cell>
          <cell r="G414" t="str">
            <v>Weight</v>
          </cell>
          <cell r="H414" t="str">
            <v>Rebecca Sjostrand</v>
          </cell>
          <cell r="I414">
            <v>608</v>
          </cell>
        </row>
        <row r="415">
          <cell r="E415">
            <v>4727</v>
          </cell>
          <cell r="F415" t="str">
            <v>Limit Fed</v>
          </cell>
          <cell r="G415" t="str">
            <v>Weight</v>
          </cell>
          <cell r="H415" t="str">
            <v>Rebecca Sjostrand</v>
          </cell>
          <cell r="I415">
            <v>602</v>
          </cell>
        </row>
        <row r="416">
          <cell r="E416">
            <v>4728</v>
          </cell>
          <cell r="F416" t="str">
            <v>Limit Fed</v>
          </cell>
          <cell r="G416" t="str">
            <v>Weight</v>
          </cell>
          <cell r="H416" t="str">
            <v>Rebecca Sjostrand</v>
          </cell>
          <cell r="I416">
            <v>680</v>
          </cell>
        </row>
        <row r="417">
          <cell r="E417">
            <v>4729</v>
          </cell>
          <cell r="F417" t="str">
            <v>Limit Fed</v>
          </cell>
          <cell r="G417" t="str">
            <v>Weight</v>
          </cell>
          <cell r="H417" t="str">
            <v>Rebecca Sjostrand</v>
          </cell>
          <cell r="I417">
            <v>680</v>
          </cell>
        </row>
        <row r="418">
          <cell r="E418">
            <v>4730</v>
          </cell>
          <cell r="F418" t="str">
            <v>Limit Fed</v>
          </cell>
          <cell r="G418" t="str">
            <v>Weight</v>
          </cell>
          <cell r="H418" t="str">
            <v>Rebecca Sjostrand</v>
          </cell>
          <cell r="I418">
            <v>724</v>
          </cell>
        </row>
        <row r="419">
          <cell r="E419">
            <v>4731</v>
          </cell>
          <cell r="F419" t="str">
            <v>Limit Fed</v>
          </cell>
          <cell r="G419" t="str">
            <v>Weight</v>
          </cell>
          <cell r="H419" t="str">
            <v>Rebecca Sjostrand</v>
          </cell>
          <cell r="I419">
            <v>668</v>
          </cell>
        </row>
        <row r="420">
          <cell r="E420">
            <v>4732</v>
          </cell>
          <cell r="F420" t="str">
            <v>Limit Fed</v>
          </cell>
          <cell r="G420" t="str">
            <v>Weight</v>
          </cell>
          <cell r="H420" t="str">
            <v>Rebecca Sjostrand</v>
          </cell>
          <cell r="I420">
            <v>636</v>
          </cell>
        </row>
        <row r="421">
          <cell r="E421">
            <v>4733</v>
          </cell>
          <cell r="F421" t="str">
            <v>Limit Fed</v>
          </cell>
          <cell r="G421" t="str">
            <v>Weight</v>
          </cell>
          <cell r="H421" t="str">
            <v>Rebecca Sjostrand</v>
          </cell>
          <cell r="I421">
            <v>656</v>
          </cell>
        </row>
        <row r="422">
          <cell r="E422">
            <v>4734</v>
          </cell>
          <cell r="F422" t="str">
            <v>Limit Fed</v>
          </cell>
          <cell r="G422" t="str">
            <v>Weight</v>
          </cell>
          <cell r="H422" t="str">
            <v>Rebecca Sjostrand</v>
          </cell>
          <cell r="I422">
            <v>652</v>
          </cell>
        </row>
        <row r="423">
          <cell r="E423">
            <v>4735</v>
          </cell>
          <cell r="F423" t="str">
            <v>Limit Fed</v>
          </cell>
          <cell r="G423" t="str">
            <v>Weight</v>
          </cell>
          <cell r="H423" t="str">
            <v>Rebecca Sjostrand</v>
          </cell>
          <cell r="I423">
            <v>504</v>
          </cell>
        </row>
        <row r="424">
          <cell r="E424">
            <v>4736</v>
          </cell>
          <cell r="F424" t="str">
            <v>Limit Fed</v>
          </cell>
          <cell r="G424" t="str">
            <v>Weight</v>
          </cell>
          <cell r="H424" t="str">
            <v>Rebecca Sjostrand</v>
          </cell>
          <cell r="I424">
            <v>580</v>
          </cell>
        </row>
        <row r="425">
          <cell r="E425">
            <v>4737</v>
          </cell>
          <cell r="F425" t="str">
            <v>Limit Fed</v>
          </cell>
          <cell r="G425" t="str">
            <v>Weight</v>
          </cell>
          <cell r="H425" t="str">
            <v>Rebecca Sjostrand</v>
          </cell>
          <cell r="I425">
            <v>644</v>
          </cell>
        </row>
        <row r="426">
          <cell r="E426">
            <v>4738</v>
          </cell>
          <cell r="F426" t="str">
            <v>Limit Fed</v>
          </cell>
          <cell r="G426" t="str">
            <v>Weight</v>
          </cell>
          <cell r="H426" t="str">
            <v>Rebecca Sjostrand</v>
          </cell>
          <cell r="I426">
            <v>632</v>
          </cell>
        </row>
        <row r="427">
          <cell r="E427">
            <v>4739</v>
          </cell>
          <cell r="F427" t="str">
            <v>Limit Fed</v>
          </cell>
          <cell r="G427" t="str">
            <v>Weight</v>
          </cell>
          <cell r="H427" t="str">
            <v>Rebecca Sjostrand</v>
          </cell>
          <cell r="I427">
            <v>556</v>
          </cell>
        </row>
        <row r="428">
          <cell r="E428">
            <v>4740</v>
          </cell>
          <cell r="F428" t="str">
            <v>Limit Fed</v>
          </cell>
          <cell r="G428" t="str">
            <v>Weight</v>
          </cell>
          <cell r="H428" t="str">
            <v>Rebecca Sjostrand</v>
          </cell>
          <cell r="I428">
            <v>628</v>
          </cell>
        </row>
        <row r="429">
          <cell r="E429">
            <v>4741</v>
          </cell>
          <cell r="F429" t="str">
            <v>Limit Fed</v>
          </cell>
          <cell r="G429" t="str">
            <v>Weight</v>
          </cell>
          <cell r="H429" t="str">
            <v>Rebecca Sjostrand</v>
          </cell>
          <cell r="I429">
            <v>646</v>
          </cell>
        </row>
        <row r="430">
          <cell r="E430">
            <v>4742</v>
          </cell>
          <cell r="F430" t="str">
            <v>Limit Fed</v>
          </cell>
          <cell r="G430" t="str">
            <v>Weight</v>
          </cell>
          <cell r="H430" t="str">
            <v>Rebecca Sjostrand</v>
          </cell>
          <cell r="I430">
            <v>626</v>
          </cell>
        </row>
        <row r="431">
          <cell r="E431">
            <v>4743</v>
          </cell>
          <cell r="F431" t="str">
            <v>Limit Fed</v>
          </cell>
          <cell r="G431" t="str">
            <v>Weight</v>
          </cell>
          <cell r="H431" t="str">
            <v>Rebecca Sjostrand</v>
          </cell>
          <cell r="I431">
            <v>556</v>
          </cell>
        </row>
        <row r="432">
          <cell r="E432">
            <v>4744</v>
          </cell>
          <cell r="F432" t="str">
            <v>Limit Fed</v>
          </cell>
          <cell r="G432" t="str">
            <v>Weight</v>
          </cell>
          <cell r="H432" t="str">
            <v>Rebecca Sjostrand</v>
          </cell>
          <cell r="I432">
            <v>556</v>
          </cell>
        </row>
        <row r="433">
          <cell r="E433">
            <v>4745</v>
          </cell>
          <cell r="F433" t="str">
            <v>Limit Fed</v>
          </cell>
          <cell r="G433" t="str">
            <v>Weight</v>
          </cell>
          <cell r="H433" t="str">
            <v>Rebecca Sjostrand</v>
          </cell>
          <cell r="I433">
            <v>718</v>
          </cell>
        </row>
        <row r="434">
          <cell r="E434">
            <v>4746</v>
          </cell>
          <cell r="F434" t="str">
            <v>Limit Fed</v>
          </cell>
          <cell r="G434" t="str">
            <v>Weight</v>
          </cell>
          <cell r="H434" t="str">
            <v>Rebecca Sjostrand</v>
          </cell>
          <cell r="I434">
            <v>680</v>
          </cell>
        </row>
        <row r="435">
          <cell r="E435">
            <v>4747</v>
          </cell>
          <cell r="F435" t="str">
            <v>Limit Fed</v>
          </cell>
          <cell r="G435" t="str">
            <v>Weight</v>
          </cell>
          <cell r="H435" t="str">
            <v>Rebecca Sjostrand</v>
          </cell>
          <cell r="I435">
            <v>586</v>
          </cell>
        </row>
        <row r="436">
          <cell r="E436">
            <v>4748</v>
          </cell>
          <cell r="F436" t="str">
            <v>Limit Fed</v>
          </cell>
          <cell r="G436" t="str">
            <v>Weight</v>
          </cell>
          <cell r="H436" t="str">
            <v>Rebecca Sjostrand</v>
          </cell>
          <cell r="I436">
            <v>766</v>
          </cell>
        </row>
        <row r="437">
          <cell r="E437">
            <v>4749</v>
          </cell>
          <cell r="F437" t="str">
            <v>Limit Fed</v>
          </cell>
          <cell r="G437" t="str">
            <v>Weight</v>
          </cell>
          <cell r="H437" t="str">
            <v>Rebecca Sjostrand</v>
          </cell>
          <cell r="I437">
            <v>536</v>
          </cell>
        </row>
        <row r="438">
          <cell r="E438">
            <v>4750</v>
          </cell>
          <cell r="F438" t="str">
            <v>Limit Fed</v>
          </cell>
          <cell r="G438" t="str">
            <v>Weight</v>
          </cell>
          <cell r="H438" t="str">
            <v>Rebecca Sjostrand</v>
          </cell>
          <cell r="I438">
            <v>608</v>
          </cell>
        </row>
        <row r="439">
          <cell r="E439">
            <v>4751</v>
          </cell>
          <cell r="F439" t="str">
            <v>Limit Fed</v>
          </cell>
          <cell r="G439" t="str">
            <v>Weight</v>
          </cell>
          <cell r="H439" t="str">
            <v>Rebecca Sjostrand</v>
          </cell>
          <cell r="I439">
            <v>664</v>
          </cell>
        </row>
        <row r="440">
          <cell r="E440">
            <v>4752</v>
          </cell>
          <cell r="F440" t="str">
            <v>Limit Fed</v>
          </cell>
          <cell r="G440" t="str">
            <v>Weight</v>
          </cell>
          <cell r="H440" t="str">
            <v>Rebecca Sjostrand</v>
          </cell>
          <cell r="I440">
            <v>596</v>
          </cell>
        </row>
        <row r="441">
          <cell r="E441">
            <v>4753</v>
          </cell>
          <cell r="F441" t="str">
            <v>Limit Fed</v>
          </cell>
          <cell r="G441" t="str">
            <v>Weight</v>
          </cell>
          <cell r="H441" t="str">
            <v>Rebecca Sjostrand</v>
          </cell>
          <cell r="I441">
            <v>708</v>
          </cell>
        </row>
        <row r="442">
          <cell r="E442">
            <v>4754</v>
          </cell>
          <cell r="F442" t="str">
            <v>Limit Fed</v>
          </cell>
          <cell r="G442" t="str">
            <v>Weight</v>
          </cell>
          <cell r="H442" t="str">
            <v>Rebecca Sjostrand</v>
          </cell>
          <cell r="I442">
            <v>646</v>
          </cell>
        </row>
        <row r="443">
          <cell r="E443">
            <v>4755</v>
          </cell>
          <cell r="F443" t="str">
            <v>Limit Fed</v>
          </cell>
          <cell r="G443" t="str">
            <v>Weight</v>
          </cell>
          <cell r="H443" t="str">
            <v>Rebecca Sjostrand</v>
          </cell>
          <cell r="I443">
            <v>558</v>
          </cell>
        </row>
        <row r="444">
          <cell r="E444">
            <v>4756</v>
          </cell>
          <cell r="F444" t="str">
            <v>Limit Fed</v>
          </cell>
          <cell r="G444" t="str">
            <v>Weight</v>
          </cell>
          <cell r="H444" t="str">
            <v>Rebecca Sjostrand</v>
          </cell>
          <cell r="I444">
            <v>528</v>
          </cell>
        </row>
        <row r="445">
          <cell r="E445">
            <v>4757</v>
          </cell>
          <cell r="F445" t="str">
            <v>Limit Fed</v>
          </cell>
          <cell r="G445" t="str">
            <v>Weight</v>
          </cell>
          <cell r="H445" t="str">
            <v>Rebecca Sjostrand</v>
          </cell>
          <cell r="I445">
            <v>532</v>
          </cell>
        </row>
        <row r="446">
          <cell r="E446">
            <v>4758</v>
          </cell>
          <cell r="F446" t="str">
            <v>Limit Fed</v>
          </cell>
          <cell r="G446" t="str">
            <v>Weight</v>
          </cell>
          <cell r="H446" t="str">
            <v>Rebecca Sjostrand</v>
          </cell>
          <cell r="I446">
            <v>650</v>
          </cell>
        </row>
        <row r="447">
          <cell r="E447">
            <v>4759</v>
          </cell>
          <cell r="F447" t="str">
            <v>Limit Fed</v>
          </cell>
          <cell r="G447" t="str">
            <v>Weight</v>
          </cell>
          <cell r="H447" t="str">
            <v>Rebecca Sjostrand</v>
          </cell>
          <cell r="I447">
            <v>674</v>
          </cell>
        </row>
        <row r="448">
          <cell r="E448">
            <v>4760</v>
          </cell>
          <cell r="F448" t="str">
            <v>Limit Fed</v>
          </cell>
          <cell r="G448" t="str">
            <v>Weight</v>
          </cell>
          <cell r="H448" t="str">
            <v>Rebecca Sjostrand</v>
          </cell>
          <cell r="I448">
            <v>580</v>
          </cell>
        </row>
        <row r="449">
          <cell r="E449">
            <v>4761</v>
          </cell>
          <cell r="F449" t="str">
            <v>Limit Fed</v>
          </cell>
          <cell r="G449" t="str">
            <v>Weight</v>
          </cell>
          <cell r="H449" t="str">
            <v>Rebecca Sjostrand</v>
          </cell>
          <cell r="I449">
            <v>614</v>
          </cell>
        </row>
        <row r="450">
          <cell r="E450">
            <v>4762</v>
          </cell>
          <cell r="F450" t="str">
            <v>Limit Fed</v>
          </cell>
          <cell r="G450" t="str">
            <v>Weight</v>
          </cell>
          <cell r="H450" t="str">
            <v>Rebecca Sjostrand</v>
          </cell>
          <cell r="I450">
            <v>636</v>
          </cell>
        </row>
        <row r="451">
          <cell r="E451">
            <v>4763</v>
          </cell>
          <cell r="F451" t="str">
            <v>Limit Fed</v>
          </cell>
          <cell r="G451" t="str">
            <v>Weight</v>
          </cell>
          <cell r="H451" t="str">
            <v>Rebecca Sjostrand</v>
          </cell>
          <cell r="I451">
            <v>662</v>
          </cell>
        </row>
        <row r="452">
          <cell r="E452">
            <v>4764</v>
          </cell>
          <cell r="F452" t="str">
            <v>Limit Fed</v>
          </cell>
          <cell r="G452" t="str">
            <v>Weight</v>
          </cell>
          <cell r="H452" t="str">
            <v>Rebecca Sjostrand</v>
          </cell>
          <cell r="I452">
            <v>518</v>
          </cell>
        </row>
        <row r="453">
          <cell r="E453">
            <v>4765</v>
          </cell>
          <cell r="F453" t="str">
            <v>Limit Fed</v>
          </cell>
          <cell r="G453" t="str">
            <v>Weight</v>
          </cell>
          <cell r="H453" t="str">
            <v>Rebecca Sjostrand</v>
          </cell>
          <cell r="I453">
            <v>552</v>
          </cell>
        </row>
        <row r="454">
          <cell r="E454">
            <v>4766</v>
          </cell>
          <cell r="F454" t="str">
            <v>Limit Fed</v>
          </cell>
          <cell r="G454" t="str">
            <v>Weight</v>
          </cell>
          <cell r="H454" t="str">
            <v>Rebecca Sjostrand</v>
          </cell>
          <cell r="I454">
            <v>528</v>
          </cell>
        </row>
        <row r="455">
          <cell r="E455">
            <v>4767</v>
          </cell>
          <cell r="F455" t="str">
            <v>Limit Fed</v>
          </cell>
          <cell r="G455" t="str">
            <v>Weight</v>
          </cell>
          <cell r="H455" t="str">
            <v>Rebecca Sjostrand</v>
          </cell>
          <cell r="I455">
            <v>588</v>
          </cell>
        </row>
        <row r="456">
          <cell r="E456">
            <v>4768</v>
          </cell>
          <cell r="F456" t="str">
            <v>Limit Fed</v>
          </cell>
          <cell r="G456" t="str">
            <v>Weight</v>
          </cell>
          <cell r="H456" t="str">
            <v>Rebecca Sjostrand</v>
          </cell>
          <cell r="I456">
            <v>648</v>
          </cell>
        </row>
        <row r="457">
          <cell r="E457">
            <v>4769</v>
          </cell>
          <cell r="F457" t="str">
            <v>Limit Fed</v>
          </cell>
          <cell r="G457" t="str">
            <v>Weight</v>
          </cell>
          <cell r="H457" t="str">
            <v>Rebecca Sjostrand</v>
          </cell>
          <cell r="I457">
            <v>586</v>
          </cell>
        </row>
        <row r="458">
          <cell r="E458">
            <v>4770</v>
          </cell>
          <cell r="F458" t="str">
            <v>Limit Fed</v>
          </cell>
          <cell r="G458" t="str">
            <v>Weight</v>
          </cell>
          <cell r="H458" t="str">
            <v>Rebecca Sjostrand</v>
          </cell>
          <cell r="I458">
            <v>584</v>
          </cell>
        </row>
        <row r="459">
          <cell r="E459">
            <v>4771</v>
          </cell>
          <cell r="F459" t="str">
            <v>Limit Fed</v>
          </cell>
          <cell r="G459" t="str">
            <v>Weight</v>
          </cell>
          <cell r="H459" t="str">
            <v>Rebecca Sjostrand</v>
          </cell>
          <cell r="I459">
            <v>656</v>
          </cell>
        </row>
        <row r="460">
          <cell r="E460">
            <v>4772</v>
          </cell>
          <cell r="F460" t="str">
            <v>Limit Fed</v>
          </cell>
          <cell r="G460" t="str">
            <v>Weight</v>
          </cell>
          <cell r="H460" t="str">
            <v>Rebecca Sjostrand</v>
          </cell>
          <cell r="I460">
            <v>566</v>
          </cell>
        </row>
        <row r="461">
          <cell r="E461">
            <v>4773</v>
          </cell>
          <cell r="F461" t="str">
            <v>Limit Fed</v>
          </cell>
          <cell r="G461" t="str">
            <v>Weight</v>
          </cell>
          <cell r="H461" t="str">
            <v>Rebecca Sjostrand</v>
          </cell>
          <cell r="I461">
            <v>554</v>
          </cell>
        </row>
      </sheetData>
      <sheetData sheetId="1">
        <row r="1">
          <cell r="E1" t="str">
            <v>Lnk_AnID</v>
          </cell>
          <cell r="F1" t="str">
            <v>Type</v>
          </cell>
          <cell r="G1" t="str">
            <v>Description</v>
          </cell>
          <cell r="H1" t="str">
            <v>Who</v>
          </cell>
          <cell r="I1" t="str">
            <v>Value</v>
          </cell>
        </row>
        <row r="2">
          <cell r="E2">
            <v>4311</v>
          </cell>
          <cell r="F2" t="str">
            <v>Limit Fed</v>
          </cell>
          <cell r="G2" t="str">
            <v>Weight</v>
          </cell>
          <cell r="H2" t="str">
            <v>Rebecca Sjostrand</v>
          </cell>
          <cell r="I2">
            <v>596</v>
          </cell>
        </row>
        <row r="3">
          <cell r="E3">
            <v>4312</v>
          </cell>
          <cell r="F3" t="str">
            <v>Limit Fed</v>
          </cell>
          <cell r="G3" t="str">
            <v>Weight</v>
          </cell>
          <cell r="H3" t="str">
            <v>Rebecca Sjostrand</v>
          </cell>
          <cell r="I3">
            <v>650</v>
          </cell>
        </row>
        <row r="4">
          <cell r="E4">
            <v>4313</v>
          </cell>
          <cell r="F4" t="str">
            <v>Limit Fed</v>
          </cell>
          <cell r="G4" t="str">
            <v>Weight</v>
          </cell>
          <cell r="H4" t="str">
            <v>Rebecca Sjostrand</v>
          </cell>
          <cell r="I4">
            <v>560</v>
          </cell>
        </row>
        <row r="5">
          <cell r="E5">
            <v>4314</v>
          </cell>
          <cell r="F5" t="str">
            <v>Limit Fed</v>
          </cell>
          <cell r="G5" t="str">
            <v>Weight</v>
          </cell>
          <cell r="H5" t="str">
            <v>Rebecca Sjostrand</v>
          </cell>
          <cell r="I5">
            <v>630</v>
          </cell>
        </row>
        <row r="6">
          <cell r="E6">
            <v>4315</v>
          </cell>
          <cell r="F6" t="str">
            <v>Limit Fed</v>
          </cell>
          <cell r="G6" t="str">
            <v>Weight</v>
          </cell>
          <cell r="H6" t="str">
            <v>Rebecca Sjostrand</v>
          </cell>
          <cell r="I6">
            <v>554</v>
          </cell>
        </row>
        <row r="7">
          <cell r="E7">
            <v>4316</v>
          </cell>
          <cell r="F7" t="str">
            <v>Limit Fed</v>
          </cell>
          <cell r="G7" t="str">
            <v>Weight</v>
          </cell>
          <cell r="H7" t="str">
            <v>Rebecca Sjostrand</v>
          </cell>
          <cell r="I7">
            <v>578</v>
          </cell>
        </row>
        <row r="8">
          <cell r="E8">
            <v>4317</v>
          </cell>
          <cell r="F8" t="str">
            <v>Limit Fed</v>
          </cell>
          <cell r="G8" t="str">
            <v>Weight</v>
          </cell>
          <cell r="H8" t="str">
            <v>Rebecca Sjostrand</v>
          </cell>
          <cell r="I8">
            <v>564</v>
          </cell>
        </row>
        <row r="9">
          <cell r="E9">
            <v>4318</v>
          </cell>
          <cell r="F9" t="str">
            <v>Limit Fed</v>
          </cell>
          <cell r="G9" t="str">
            <v>Weight</v>
          </cell>
          <cell r="H9" t="str">
            <v>Rebecca Sjostrand</v>
          </cell>
          <cell r="I9">
            <v>616</v>
          </cell>
        </row>
        <row r="10">
          <cell r="E10">
            <v>4319</v>
          </cell>
          <cell r="F10" t="str">
            <v>Limit Fed</v>
          </cell>
          <cell r="G10" t="str">
            <v>Weight</v>
          </cell>
          <cell r="H10" t="str">
            <v>Rebecca Sjostrand</v>
          </cell>
          <cell r="I10">
            <v>558</v>
          </cell>
        </row>
        <row r="11">
          <cell r="E11">
            <v>4320</v>
          </cell>
          <cell r="F11" t="str">
            <v>Limit Fed</v>
          </cell>
          <cell r="G11" t="str">
            <v>Weight</v>
          </cell>
          <cell r="H11" t="str">
            <v>Rebecca Sjostrand</v>
          </cell>
          <cell r="I11">
            <v>624</v>
          </cell>
        </row>
        <row r="12">
          <cell r="E12">
            <v>4321</v>
          </cell>
          <cell r="F12" t="str">
            <v>Limit Fed</v>
          </cell>
          <cell r="G12" t="str">
            <v>Weight</v>
          </cell>
          <cell r="H12" t="str">
            <v>Rebecca Sjostrand</v>
          </cell>
          <cell r="I12">
            <v>640</v>
          </cell>
        </row>
        <row r="13">
          <cell r="E13">
            <v>4322</v>
          </cell>
          <cell r="F13" t="str">
            <v>Limit Fed</v>
          </cell>
          <cell r="G13" t="str">
            <v>Weight</v>
          </cell>
          <cell r="H13" t="str">
            <v>Rebecca Sjostrand</v>
          </cell>
          <cell r="I13">
            <v>576</v>
          </cell>
        </row>
        <row r="14">
          <cell r="E14">
            <v>4323</v>
          </cell>
          <cell r="F14" t="str">
            <v>Limit Fed</v>
          </cell>
          <cell r="G14" t="str">
            <v>Weight</v>
          </cell>
          <cell r="H14" t="str">
            <v>Rebecca Sjostrand</v>
          </cell>
          <cell r="I14">
            <v>626</v>
          </cell>
        </row>
        <row r="15">
          <cell r="E15">
            <v>4324</v>
          </cell>
          <cell r="F15" t="str">
            <v>Limit Fed</v>
          </cell>
          <cell r="G15" t="str">
            <v>Weight</v>
          </cell>
          <cell r="H15" t="str">
            <v>Rebecca Sjostrand</v>
          </cell>
          <cell r="I15">
            <v>688</v>
          </cell>
        </row>
        <row r="16">
          <cell r="E16">
            <v>4325</v>
          </cell>
          <cell r="F16" t="str">
            <v>Limit Fed</v>
          </cell>
          <cell r="G16" t="str">
            <v>Weight</v>
          </cell>
          <cell r="H16" t="str">
            <v>Rebecca Sjostrand</v>
          </cell>
          <cell r="I16">
            <v>522</v>
          </cell>
        </row>
        <row r="17">
          <cell r="E17">
            <v>4326</v>
          </cell>
          <cell r="F17" t="str">
            <v>Limit Fed</v>
          </cell>
          <cell r="G17" t="str">
            <v>Weight</v>
          </cell>
          <cell r="H17" t="str">
            <v>Rebecca Sjostrand</v>
          </cell>
          <cell r="I17">
            <v>670</v>
          </cell>
        </row>
        <row r="18">
          <cell r="E18">
            <v>4327</v>
          </cell>
          <cell r="F18" t="str">
            <v>Limit Fed</v>
          </cell>
          <cell r="G18" t="str">
            <v>Weight</v>
          </cell>
          <cell r="H18" t="str">
            <v>Rebecca Sjostrand</v>
          </cell>
          <cell r="I18">
            <v>650</v>
          </cell>
        </row>
        <row r="19">
          <cell r="E19">
            <v>4328</v>
          </cell>
          <cell r="F19" t="str">
            <v>Limit Fed</v>
          </cell>
          <cell r="G19" t="str">
            <v>Weight</v>
          </cell>
          <cell r="H19" t="str">
            <v>Rebecca Sjostrand</v>
          </cell>
          <cell r="I19">
            <v>556</v>
          </cell>
        </row>
        <row r="20">
          <cell r="E20">
            <v>4329</v>
          </cell>
          <cell r="F20" t="str">
            <v>Limit Fed</v>
          </cell>
          <cell r="G20" t="str">
            <v>Weight</v>
          </cell>
          <cell r="H20" t="str">
            <v>Rebecca Sjostrand</v>
          </cell>
          <cell r="I20">
            <v>598</v>
          </cell>
        </row>
        <row r="21">
          <cell r="E21">
            <v>4330</v>
          </cell>
          <cell r="F21" t="str">
            <v>Limit Fed</v>
          </cell>
          <cell r="G21" t="str">
            <v>Weight</v>
          </cell>
          <cell r="H21" t="str">
            <v>Rebecca Sjostrand</v>
          </cell>
          <cell r="I21">
            <v>678</v>
          </cell>
        </row>
        <row r="22">
          <cell r="E22">
            <v>4332</v>
          </cell>
          <cell r="F22" t="str">
            <v>Limit Fed</v>
          </cell>
          <cell r="G22" t="str">
            <v>Weight</v>
          </cell>
          <cell r="H22" t="str">
            <v>Rebecca Sjostrand</v>
          </cell>
          <cell r="I22">
            <v>604</v>
          </cell>
        </row>
        <row r="23">
          <cell r="E23">
            <v>4333</v>
          </cell>
          <cell r="F23" t="str">
            <v>Limit Fed</v>
          </cell>
          <cell r="G23" t="str">
            <v>Weight</v>
          </cell>
          <cell r="H23" t="str">
            <v>Rebecca Sjostrand</v>
          </cell>
          <cell r="I23">
            <v>570</v>
          </cell>
        </row>
        <row r="24">
          <cell r="E24">
            <v>4334</v>
          </cell>
          <cell r="F24" t="str">
            <v>Limit Fed</v>
          </cell>
          <cell r="G24" t="str">
            <v>Weight</v>
          </cell>
          <cell r="H24" t="str">
            <v>Rebecca Sjostrand</v>
          </cell>
          <cell r="I24">
            <v>610</v>
          </cell>
        </row>
        <row r="25">
          <cell r="E25">
            <v>4335</v>
          </cell>
          <cell r="F25" t="str">
            <v>Limit Fed</v>
          </cell>
          <cell r="G25" t="str">
            <v>Weight</v>
          </cell>
          <cell r="H25" t="str">
            <v>Rebecca Sjostrand</v>
          </cell>
          <cell r="I25">
            <v>708</v>
          </cell>
        </row>
        <row r="26">
          <cell r="E26">
            <v>4336</v>
          </cell>
          <cell r="F26" t="str">
            <v>Limit Fed</v>
          </cell>
          <cell r="G26" t="str">
            <v>Weight</v>
          </cell>
          <cell r="H26" t="str">
            <v>Rebecca Sjostrand</v>
          </cell>
          <cell r="I26">
            <v>606</v>
          </cell>
        </row>
        <row r="27">
          <cell r="E27">
            <v>4337</v>
          </cell>
          <cell r="F27" t="str">
            <v>Limit Fed</v>
          </cell>
          <cell r="G27" t="str">
            <v>Weight</v>
          </cell>
          <cell r="H27" t="str">
            <v>Rebecca Sjostrand</v>
          </cell>
          <cell r="I27">
            <v>574</v>
          </cell>
        </row>
        <row r="28">
          <cell r="E28">
            <v>4338</v>
          </cell>
          <cell r="F28" t="str">
            <v>Limit Fed</v>
          </cell>
          <cell r="G28" t="str">
            <v>Weight</v>
          </cell>
          <cell r="H28" t="str">
            <v>Rebecca Sjostrand</v>
          </cell>
          <cell r="I28">
            <v>704</v>
          </cell>
        </row>
        <row r="29">
          <cell r="E29">
            <v>4339</v>
          </cell>
          <cell r="F29" t="str">
            <v>Limit Fed</v>
          </cell>
          <cell r="G29" t="str">
            <v>Weight</v>
          </cell>
          <cell r="H29" t="str">
            <v>Rebecca Sjostrand</v>
          </cell>
          <cell r="I29">
            <v>586</v>
          </cell>
        </row>
        <row r="30">
          <cell r="E30">
            <v>4340</v>
          </cell>
          <cell r="F30" t="str">
            <v>Limit Fed</v>
          </cell>
          <cell r="G30" t="str">
            <v>Weight</v>
          </cell>
          <cell r="H30" t="str">
            <v>Rebecca Sjostrand</v>
          </cell>
          <cell r="I30">
            <v>670</v>
          </cell>
        </row>
        <row r="31">
          <cell r="E31">
            <v>4341</v>
          </cell>
          <cell r="F31" t="str">
            <v>Limit Fed</v>
          </cell>
          <cell r="G31" t="str">
            <v>Weight</v>
          </cell>
          <cell r="H31" t="str">
            <v>Rebecca Sjostrand</v>
          </cell>
          <cell r="I31">
            <v>584</v>
          </cell>
        </row>
        <row r="32">
          <cell r="E32">
            <v>4342</v>
          </cell>
          <cell r="F32" t="str">
            <v>Limit Fed</v>
          </cell>
          <cell r="G32" t="str">
            <v>Weight</v>
          </cell>
          <cell r="H32" t="str">
            <v>Rebecca Sjostrand</v>
          </cell>
          <cell r="I32">
            <v>520</v>
          </cell>
        </row>
        <row r="33">
          <cell r="E33">
            <v>4343</v>
          </cell>
          <cell r="F33" t="str">
            <v>Limit Fed</v>
          </cell>
          <cell r="G33" t="str">
            <v>Weight</v>
          </cell>
          <cell r="H33" t="str">
            <v>Rebecca Sjostrand</v>
          </cell>
          <cell r="I33">
            <v>622</v>
          </cell>
        </row>
        <row r="34">
          <cell r="E34">
            <v>4344</v>
          </cell>
          <cell r="F34" t="str">
            <v>Limit Fed</v>
          </cell>
          <cell r="G34" t="str">
            <v>Weight</v>
          </cell>
          <cell r="H34" t="str">
            <v>Rebecca Sjostrand</v>
          </cell>
          <cell r="I34">
            <v>608</v>
          </cell>
        </row>
        <row r="35">
          <cell r="E35">
            <v>4345</v>
          </cell>
          <cell r="F35" t="str">
            <v>Limit Fed</v>
          </cell>
          <cell r="G35" t="str">
            <v>Weight</v>
          </cell>
          <cell r="H35" t="str">
            <v>Rebecca Sjostrand</v>
          </cell>
          <cell r="I35">
            <v>584</v>
          </cell>
        </row>
        <row r="36">
          <cell r="E36">
            <v>4346</v>
          </cell>
          <cell r="F36" t="str">
            <v>Limit Fed</v>
          </cell>
          <cell r="G36" t="str">
            <v>Weight</v>
          </cell>
          <cell r="H36" t="str">
            <v>Rebecca Sjostrand</v>
          </cell>
          <cell r="I36">
            <v>700</v>
          </cell>
        </row>
        <row r="37">
          <cell r="E37">
            <v>4347</v>
          </cell>
          <cell r="F37" t="str">
            <v>Limit Fed</v>
          </cell>
          <cell r="G37" t="str">
            <v>Weight</v>
          </cell>
          <cell r="H37" t="str">
            <v>Rebecca Sjostrand</v>
          </cell>
          <cell r="I37">
            <v>602</v>
          </cell>
        </row>
        <row r="38">
          <cell r="E38">
            <v>4348</v>
          </cell>
          <cell r="F38" t="str">
            <v>Limit Fed</v>
          </cell>
          <cell r="G38" t="str">
            <v>Weight</v>
          </cell>
          <cell r="H38" t="str">
            <v>Rebecca Sjostrand</v>
          </cell>
          <cell r="I38">
            <v>564</v>
          </cell>
        </row>
        <row r="39">
          <cell r="E39">
            <v>4349</v>
          </cell>
          <cell r="F39" t="str">
            <v>Limit Fed</v>
          </cell>
          <cell r="G39" t="str">
            <v>Weight</v>
          </cell>
          <cell r="H39" t="str">
            <v>Rebecca Sjostrand</v>
          </cell>
          <cell r="I39">
            <v>542</v>
          </cell>
        </row>
        <row r="40">
          <cell r="E40">
            <v>4350</v>
          </cell>
          <cell r="F40" t="str">
            <v>Limit Fed</v>
          </cell>
          <cell r="G40" t="str">
            <v>Weight</v>
          </cell>
          <cell r="H40" t="str">
            <v>Rebecca Sjostrand</v>
          </cell>
          <cell r="I40">
            <v>620</v>
          </cell>
        </row>
        <row r="41">
          <cell r="E41">
            <v>4351</v>
          </cell>
          <cell r="F41" t="str">
            <v>Limit Fed</v>
          </cell>
          <cell r="G41" t="str">
            <v>Weight</v>
          </cell>
          <cell r="H41" t="str">
            <v>Rebecca Sjostrand</v>
          </cell>
          <cell r="I41">
            <v>612</v>
          </cell>
        </row>
        <row r="42">
          <cell r="E42">
            <v>4352</v>
          </cell>
          <cell r="F42" t="str">
            <v>Limit Fed</v>
          </cell>
          <cell r="G42" t="str">
            <v>Weight</v>
          </cell>
          <cell r="H42" t="str">
            <v>Rebecca Sjostrand</v>
          </cell>
          <cell r="I42">
            <v>646</v>
          </cell>
        </row>
        <row r="43">
          <cell r="E43">
            <v>4353</v>
          </cell>
          <cell r="F43" t="str">
            <v>Limit Fed</v>
          </cell>
          <cell r="G43" t="str">
            <v>Weight</v>
          </cell>
          <cell r="H43" t="str">
            <v>Rebecca Sjostrand</v>
          </cell>
          <cell r="I43">
            <v>616</v>
          </cell>
        </row>
        <row r="44">
          <cell r="E44">
            <v>4354</v>
          </cell>
          <cell r="F44" t="str">
            <v>Limit Fed</v>
          </cell>
          <cell r="G44" t="str">
            <v>Weight</v>
          </cell>
          <cell r="H44" t="str">
            <v>Rebecca Sjostrand</v>
          </cell>
          <cell r="I44">
            <v>540</v>
          </cell>
        </row>
        <row r="45">
          <cell r="E45">
            <v>4355</v>
          </cell>
          <cell r="F45" t="str">
            <v>Limit Fed</v>
          </cell>
          <cell r="G45" t="str">
            <v>Weight</v>
          </cell>
          <cell r="H45" t="str">
            <v>Rebecca Sjostrand</v>
          </cell>
          <cell r="I45">
            <v>600</v>
          </cell>
        </row>
        <row r="46">
          <cell r="E46">
            <v>4356</v>
          </cell>
          <cell r="F46" t="str">
            <v>Limit Fed</v>
          </cell>
          <cell r="G46" t="str">
            <v>Weight</v>
          </cell>
          <cell r="H46" t="str">
            <v>Rebecca Sjostrand</v>
          </cell>
          <cell r="I46">
            <v>598</v>
          </cell>
        </row>
        <row r="47">
          <cell r="E47">
            <v>4357</v>
          </cell>
          <cell r="F47" t="str">
            <v>Limit Fed</v>
          </cell>
          <cell r="G47" t="str">
            <v>Weight</v>
          </cell>
          <cell r="H47" t="str">
            <v>Rebecca Sjostrand</v>
          </cell>
          <cell r="I47">
            <v>556</v>
          </cell>
        </row>
        <row r="48">
          <cell r="E48">
            <v>4358</v>
          </cell>
          <cell r="F48" t="str">
            <v>Limit Fed</v>
          </cell>
          <cell r="G48" t="str">
            <v>Weight</v>
          </cell>
          <cell r="H48" t="str">
            <v>Rebecca Sjostrand</v>
          </cell>
          <cell r="I48">
            <v>650</v>
          </cell>
        </row>
        <row r="49">
          <cell r="E49">
            <v>4359</v>
          </cell>
          <cell r="F49" t="str">
            <v>Limit Fed</v>
          </cell>
          <cell r="G49" t="str">
            <v>Weight</v>
          </cell>
          <cell r="H49" t="str">
            <v>Rebecca Sjostrand</v>
          </cell>
          <cell r="I49">
            <v>620</v>
          </cell>
        </row>
        <row r="50">
          <cell r="E50">
            <v>4360</v>
          </cell>
          <cell r="F50" t="str">
            <v>Limit Fed</v>
          </cell>
          <cell r="G50" t="str">
            <v>Weight</v>
          </cell>
          <cell r="H50" t="str">
            <v>Rebecca Sjostrand</v>
          </cell>
          <cell r="I50">
            <v>536</v>
          </cell>
        </row>
        <row r="51">
          <cell r="E51">
            <v>4361</v>
          </cell>
          <cell r="F51" t="str">
            <v>Limit Fed</v>
          </cell>
          <cell r="G51" t="str">
            <v>Weight</v>
          </cell>
          <cell r="H51" t="str">
            <v>Rebecca Sjostrand</v>
          </cell>
          <cell r="I51">
            <v>592</v>
          </cell>
        </row>
        <row r="52">
          <cell r="E52">
            <v>4362</v>
          </cell>
          <cell r="F52" t="str">
            <v>Limit Fed</v>
          </cell>
          <cell r="G52" t="str">
            <v>Weight</v>
          </cell>
          <cell r="H52" t="str">
            <v>Rebecca Sjostrand</v>
          </cell>
          <cell r="I52">
            <v>542</v>
          </cell>
        </row>
        <row r="53">
          <cell r="E53">
            <v>4363</v>
          </cell>
          <cell r="F53" t="str">
            <v>Limit Fed</v>
          </cell>
          <cell r="G53" t="str">
            <v>Weight</v>
          </cell>
          <cell r="H53" t="str">
            <v>Rebecca Sjostrand</v>
          </cell>
          <cell r="I53">
            <v>560</v>
          </cell>
        </row>
        <row r="54">
          <cell r="E54">
            <v>4364</v>
          </cell>
          <cell r="F54" t="str">
            <v>Limit Fed</v>
          </cell>
          <cell r="G54" t="str">
            <v>Weight</v>
          </cell>
          <cell r="H54" t="str">
            <v>Rebecca Sjostrand</v>
          </cell>
          <cell r="I54">
            <v>746</v>
          </cell>
        </row>
        <row r="55">
          <cell r="E55">
            <v>4365</v>
          </cell>
          <cell r="F55" t="str">
            <v>Limit Fed</v>
          </cell>
          <cell r="G55" t="str">
            <v>Weight</v>
          </cell>
          <cell r="H55" t="str">
            <v>Rebecca Sjostrand</v>
          </cell>
          <cell r="I55">
            <v>574</v>
          </cell>
        </row>
        <row r="56">
          <cell r="E56">
            <v>4366</v>
          </cell>
          <cell r="F56" t="str">
            <v>Limit Fed</v>
          </cell>
          <cell r="G56" t="str">
            <v>Weight</v>
          </cell>
          <cell r="H56" t="str">
            <v>Rebecca Sjostrand</v>
          </cell>
          <cell r="I56">
            <v>646</v>
          </cell>
        </row>
        <row r="57">
          <cell r="E57">
            <v>4367</v>
          </cell>
          <cell r="F57" t="str">
            <v>Limit Fed</v>
          </cell>
          <cell r="G57" t="str">
            <v>Weight</v>
          </cell>
          <cell r="H57" t="str">
            <v>Rebecca Sjostrand</v>
          </cell>
          <cell r="I57">
            <v>710</v>
          </cell>
        </row>
        <row r="58">
          <cell r="E58">
            <v>4368</v>
          </cell>
          <cell r="F58" t="str">
            <v>Limit Fed</v>
          </cell>
          <cell r="G58" t="str">
            <v>Weight</v>
          </cell>
          <cell r="H58" t="str">
            <v>Rebecca Sjostrand</v>
          </cell>
          <cell r="I58">
            <v>618</v>
          </cell>
        </row>
        <row r="59">
          <cell r="E59">
            <v>4369</v>
          </cell>
          <cell r="F59" t="str">
            <v>Limit Fed</v>
          </cell>
          <cell r="G59" t="str">
            <v>Weight</v>
          </cell>
          <cell r="H59" t="str">
            <v>Rebecca Sjostrand</v>
          </cell>
          <cell r="I59">
            <v>660</v>
          </cell>
        </row>
        <row r="60">
          <cell r="E60">
            <v>4370</v>
          </cell>
          <cell r="F60" t="str">
            <v>Limit Fed</v>
          </cell>
          <cell r="G60" t="str">
            <v>Weight</v>
          </cell>
          <cell r="H60" t="str">
            <v>Rebecca Sjostrand</v>
          </cell>
          <cell r="I60">
            <v>630</v>
          </cell>
        </row>
        <row r="61">
          <cell r="E61">
            <v>4371</v>
          </cell>
          <cell r="F61" t="str">
            <v>Limit Fed</v>
          </cell>
          <cell r="G61" t="str">
            <v>Weight</v>
          </cell>
          <cell r="H61" t="str">
            <v>Rebecca Sjostrand</v>
          </cell>
          <cell r="I61">
            <v>490</v>
          </cell>
        </row>
        <row r="62">
          <cell r="E62">
            <v>4372</v>
          </cell>
          <cell r="F62" t="str">
            <v>Limit Fed</v>
          </cell>
          <cell r="G62" t="str">
            <v>Weight</v>
          </cell>
          <cell r="H62" t="str">
            <v>Rebecca Sjostrand</v>
          </cell>
          <cell r="I62">
            <v>656</v>
          </cell>
        </row>
        <row r="63">
          <cell r="E63">
            <v>4373</v>
          </cell>
          <cell r="F63" t="str">
            <v>Limit Fed</v>
          </cell>
          <cell r="G63" t="str">
            <v>Weight</v>
          </cell>
          <cell r="H63" t="str">
            <v>Rebecca Sjostrand</v>
          </cell>
          <cell r="I63">
            <v>680</v>
          </cell>
        </row>
        <row r="64">
          <cell r="E64">
            <v>4374</v>
          </cell>
          <cell r="F64" t="str">
            <v>Limit Fed</v>
          </cell>
          <cell r="G64" t="str">
            <v>Weight</v>
          </cell>
          <cell r="H64" t="str">
            <v>Rebecca Sjostrand</v>
          </cell>
          <cell r="I64">
            <v>640</v>
          </cell>
        </row>
        <row r="65">
          <cell r="E65">
            <v>4375</v>
          </cell>
          <cell r="F65" t="str">
            <v>Limit Fed</v>
          </cell>
          <cell r="G65" t="str">
            <v>Weight</v>
          </cell>
          <cell r="H65" t="str">
            <v>Rebecca Sjostrand</v>
          </cell>
          <cell r="I65">
            <v>680</v>
          </cell>
        </row>
        <row r="66">
          <cell r="E66">
            <v>4376</v>
          </cell>
          <cell r="F66" t="str">
            <v>Limit Fed</v>
          </cell>
          <cell r="G66" t="str">
            <v>Weight</v>
          </cell>
          <cell r="H66" t="str">
            <v>Rebecca Sjostrand</v>
          </cell>
          <cell r="I66">
            <v>580</v>
          </cell>
        </row>
        <row r="67">
          <cell r="E67">
            <v>4377</v>
          </cell>
          <cell r="F67" t="str">
            <v>Limit Fed</v>
          </cell>
          <cell r="G67" t="str">
            <v>Weight</v>
          </cell>
          <cell r="H67" t="str">
            <v>Rebecca Sjostrand</v>
          </cell>
          <cell r="I67">
            <v>714</v>
          </cell>
        </row>
        <row r="68">
          <cell r="E68">
            <v>4378</v>
          </cell>
          <cell r="F68" t="str">
            <v>Limit Fed</v>
          </cell>
          <cell r="G68" t="str">
            <v>Weight</v>
          </cell>
          <cell r="H68" t="str">
            <v>Rebecca Sjostrand</v>
          </cell>
          <cell r="I68">
            <v>614</v>
          </cell>
        </row>
        <row r="69">
          <cell r="E69">
            <v>4379</v>
          </cell>
          <cell r="F69" t="str">
            <v>Limit Fed</v>
          </cell>
          <cell r="G69" t="str">
            <v>Weight</v>
          </cell>
          <cell r="H69" t="str">
            <v>Rebecca Sjostrand</v>
          </cell>
          <cell r="I69">
            <v>716</v>
          </cell>
        </row>
        <row r="70">
          <cell r="E70">
            <v>4380</v>
          </cell>
          <cell r="F70" t="str">
            <v>Limit Fed</v>
          </cell>
          <cell r="G70" t="str">
            <v>Weight</v>
          </cell>
          <cell r="H70" t="str">
            <v>Rebecca Sjostrand</v>
          </cell>
          <cell r="I70">
            <v>602</v>
          </cell>
        </row>
        <row r="71">
          <cell r="E71">
            <v>4381</v>
          </cell>
          <cell r="F71" t="str">
            <v>Limit Fed</v>
          </cell>
          <cell r="G71" t="str">
            <v>Weight</v>
          </cell>
          <cell r="H71" t="str">
            <v>Rebecca Sjostrand</v>
          </cell>
          <cell r="I71">
            <v>678</v>
          </cell>
        </row>
        <row r="72">
          <cell r="E72">
            <v>4382</v>
          </cell>
          <cell r="F72" t="str">
            <v>Limit Fed</v>
          </cell>
          <cell r="G72" t="str">
            <v>Weight</v>
          </cell>
          <cell r="H72" t="str">
            <v>Rebecca Sjostrand</v>
          </cell>
          <cell r="I72">
            <v>658</v>
          </cell>
        </row>
        <row r="73">
          <cell r="E73">
            <v>4383</v>
          </cell>
          <cell r="F73" t="str">
            <v>Limit Fed</v>
          </cell>
          <cell r="G73" t="str">
            <v>Weight</v>
          </cell>
          <cell r="H73" t="str">
            <v>Rebecca Sjostrand</v>
          </cell>
          <cell r="I73">
            <v>570</v>
          </cell>
        </row>
        <row r="74">
          <cell r="E74">
            <v>4384</v>
          </cell>
          <cell r="F74" t="str">
            <v>Limit Fed</v>
          </cell>
          <cell r="G74" t="str">
            <v>Weight</v>
          </cell>
          <cell r="H74" t="str">
            <v>Rebecca Sjostrand</v>
          </cell>
          <cell r="I74">
            <v>636</v>
          </cell>
        </row>
        <row r="75">
          <cell r="E75">
            <v>4385</v>
          </cell>
          <cell r="F75" t="str">
            <v>Limit Fed</v>
          </cell>
          <cell r="G75" t="str">
            <v>Weight</v>
          </cell>
          <cell r="H75" t="str">
            <v>Rebecca Sjostrand</v>
          </cell>
          <cell r="I75">
            <v>608</v>
          </cell>
        </row>
        <row r="76">
          <cell r="E76">
            <v>4387</v>
          </cell>
          <cell r="F76" t="str">
            <v>Limit Fed</v>
          </cell>
          <cell r="G76" t="str">
            <v>Weight</v>
          </cell>
          <cell r="H76" t="str">
            <v>Rebecca Sjostrand</v>
          </cell>
          <cell r="I76">
            <v>556</v>
          </cell>
        </row>
        <row r="77">
          <cell r="E77">
            <v>4388</v>
          </cell>
          <cell r="F77" t="str">
            <v>Limit Fed</v>
          </cell>
          <cell r="G77" t="str">
            <v>Weight</v>
          </cell>
          <cell r="H77" t="str">
            <v>Rebecca Sjostrand</v>
          </cell>
          <cell r="I77">
            <v>638</v>
          </cell>
        </row>
        <row r="78">
          <cell r="E78">
            <v>4389</v>
          </cell>
          <cell r="F78" t="str">
            <v>Limit Fed</v>
          </cell>
          <cell r="G78" t="str">
            <v>Weight</v>
          </cell>
          <cell r="H78" t="str">
            <v>Rebecca Sjostrand</v>
          </cell>
          <cell r="I78">
            <v>588</v>
          </cell>
        </row>
        <row r="79">
          <cell r="E79">
            <v>4390</v>
          </cell>
          <cell r="F79" t="str">
            <v>Limit Fed</v>
          </cell>
          <cell r="G79" t="str">
            <v>Weight</v>
          </cell>
          <cell r="H79" t="str">
            <v>Rebecca Sjostrand</v>
          </cell>
          <cell r="I79">
            <v>708</v>
          </cell>
        </row>
        <row r="80">
          <cell r="E80">
            <v>4391</v>
          </cell>
          <cell r="F80" t="str">
            <v>Limit Fed</v>
          </cell>
          <cell r="G80" t="str">
            <v>Weight</v>
          </cell>
          <cell r="H80" t="str">
            <v>Rebecca Sjostrand</v>
          </cell>
          <cell r="I80">
            <v>590</v>
          </cell>
        </row>
        <row r="81">
          <cell r="E81">
            <v>4392</v>
          </cell>
          <cell r="F81" t="str">
            <v>Limit Fed</v>
          </cell>
          <cell r="G81" t="str">
            <v>Weight</v>
          </cell>
          <cell r="H81" t="str">
            <v>Rebecca Sjostrand</v>
          </cell>
          <cell r="I81">
            <v>696</v>
          </cell>
        </row>
        <row r="82">
          <cell r="E82">
            <v>4393</v>
          </cell>
          <cell r="F82" t="str">
            <v>Limit Fed</v>
          </cell>
          <cell r="G82" t="str">
            <v>Weight</v>
          </cell>
          <cell r="H82" t="str">
            <v>Rebecca Sjostrand</v>
          </cell>
          <cell r="I82">
            <v>626</v>
          </cell>
        </row>
        <row r="83">
          <cell r="E83">
            <v>4394</v>
          </cell>
          <cell r="F83" t="str">
            <v>Limit Fed</v>
          </cell>
          <cell r="G83" t="str">
            <v>Weight</v>
          </cell>
          <cell r="H83" t="str">
            <v>Rebecca Sjostrand</v>
          </cell>
          <cell r="I83">
            <v>604</v>
          </cell>
        </row>
        <row r="84">
          <cell r="E84">
            <v>4395</v>
          </cell>
          <cell r="F84" t="str">
            <v>Limit Fed</v>
          </cell>
          <cell r="G84" t="str">
            <v>Weight</v>
          </cell>
          <cell r="H84" t="str">
            <v>Rebecca Sjostrand</v>
          </cell>
          <cell r="I84">
            <v>570</v>
          </cell>
        </row>
        <row r="85">
          <cell r="E85">
            <v>4396</v>
          </cell>
          <cell r="F85" t="str">
            <v>Limit Fed</v>
          </cell>
          <cell r="G85" t="str">
            <v>Weight</v>
          </cell>
          <cell r="H85" t="str">
            <v>Rebecca Sjostrand</v>
          </cell>
          <cell r="I85">
            <v>632</v>
          </cell>
        </row>
        <row r="86">
          <cell r="E86">
            <v>4397</v>
          </cell>
          <cell r="F86" t="str">
            <v>Limit Fed</v>
          </cell>
          <cell r="G86" t="str">
            <v>Weight</v>
          </cell>
          <cell r="H86" t="str">
            <v>Rebecca Sjostrand</v>
          </cell>
          <cell r="I86">
            <v>688</v>
          </cell>
        </row>
        <row r="87">
          <cell r="E87">
            <v>4398</v>
          </cell>
          <cell r="F87" t="str">
            <v>Limit Fed</v>
          </cell>
          <cell r="G87" t="str">
            <v>Weight</v>
          </cell>
          <cell r="H87" t="str">
            <v>Rebecca Sjostrand</v>
          </cell>
          <cell r="I87">
            <v>658</v>
          </cell>
        </row>
        <row r="88">
          <cell r="E88">
            <v>4399</v>
          </cell>
          <cell r="F88" t="str">
            <v>Limit Fed</v>
          </cell>
          <cell r="G88" t="str">
            <v>Weight</v>
          </cell>
          <cell r="H88" t="str">
            <v>Rebecca Sjostrand</v>
          </cell>
          <cell r="I88">
            <v>572</v>
          </cell>
        </row>
        <row r="89">
          <cell r="E89">
            <v>4400</v>
          </cell>
          <cell r="F89" t="str">
            <v>Limit Fed</v>
          </cell>
          <cell r="G89" t="str">
            <v>Weight</v>
          </cell>
          <cell r="H89" t="str">
            <v>Rebecca Sjostrand</v>
          </cell>
          <cell r="I89">
            <v>628</v>
          </cell>
        </row>
        <row r="90">
          <cell r="E90">
            <v>4401</v>
          </cell>
          <cell r="F90" t="str">
            <v>Limit Fed</v>
          </cell>
          <cell r="G90" t="str">
            <v>Weight</v>
          </cell>
          <cell r="H90" t="str">
            <v>Rebecca Sjostrand</v>
          </cell>
          <cell r="I90">
            <v>676</v>
          </cell>
        </row>
        <row r="91">
          <cell r="E91">
            <v>4402</v>
          </cell>
          <cell r="F91" t="str">
            <v>Limit Fed</v>
          </cell>
          <cell r="G91" t="str">
            <v>Weight</v>
          </cell>
          <cell r="H91" t="str">
            <v>Rebecca Sjostrand</v>
          </cell>
          <cell r="I91">
            <v>684</v>
          </cell>
        </row>
        <row r="92">
          <cell r="E92">
            <v>4403</v>
          </cell>
          <cell r="F92" t="str">
            <v>Limit Fed</v>
          </cell>
          <cell r="G92" t="str">
            <v>Weight</v>
          </cell>
          <cell r="H92" t="str">
            <v>Rebecca Sjostrand</v>
          </cell>
          <cell r="I92">
            <v>716</v>
          </cell>
        </row>
        <row r="93">
          <cell r="E93">
            <v>4404</v>
          </cell>
          <cell r="F93" t="str">
            <v>Limit Fed</v>
          </cell>
          <cell r="G93" t="str">
            <v>Weight</v>
          </cell>
          <cell r="H93" t="str">
            <v>Rebecca Sjostrand</v>
          </cell>
          <cell r="I93">
            <v>606</v>
          </cell>
        </row>
        <row r="94">
          <cell r="E94">
            <v>4405</v>
          </cell>
          <cell r="F94" t="str">
            <v>Limit Fed</v>
          </cell>
          <cell r="G94" t="str">
            <v>Weight</v>
          </cell>
          <cell r="H94" t="str">
            <v>Rebecca Sjostrand</v>
          </cell>
          <cell r="I94">
            <v>704</v>
          </cell>
        </row>
        <row r="95">
          <cell r="E95">
            <v>4406</v>
          </cell>
          <cell r="F95" t="str">
            <v>Limit Fed</v>
          </cell>
          <cell r="G95" t="str">
            <v>Weight</v>
          </cell>
          <cell r="H95" t="str">
            <v>Rebecca Sjostrand</v>
          </cell>
          <cell r="I95">
            <v>626</v>
          </cell>
        </row>
        <row r="96">
          <cell r="E96">
            <v>4407</v>
          </cell>
          <cell r="F96" t="str">
            <v>Limit Fed</v>
          </cell>
          <cell r="G96" t="str">
            <v>Weight</v>
          </cell>
          <cell r="H96" t="str">
            <v>Rebecca Sjostrand</v>
          </cell>
          <cell r="I96">
            <v>576</v>
          </cell>
        </row>
        <row r="97">
          <cell r="E97">
            <v>4408</v>
          </cell>
          <cell r="F97" t="str">
            <v>Limit Fed</v>
          </cell>
          <cell r="G97" t="str">
            <v>Weight</v>
          </cell>
          <cell r="H97" t="str">
            <v>Rebecca Sjostrand</v>
          </cell>
          <cell r="I97">
            <v>596</v>
          </cell>
        </row>
        <row r="98">
          <cell r="E98">
            <v>4409</v>
          </cell>
          <cell r="F98" t="str">
            <v>Limit Fed</v>
          </cell>
          <cell r="G98" t="str">
            <v>Weight</v>
          </cell>
          <cell r="H98" t="str">
            <v>Rebecca Sjostrand</v>
          </cell>
          <cell r="I98">
            <v>482</v>
          </cell>
        </row>
        <row r="99">
          <cell r="E99">
            <v>4410</v>
          </cell>
          <cell r="F99" t="str">
            <v>Limit Fed</v>
          </cell>
          <cell r="G99" t="str">
            <v>Weight</v>
          </cell>
          <cell r="H99" t="str">
            <v>Rebecca Sjostrand</v>
          </cell>
          <cell r="I99">
            <v>636</v>
          </cell>
        </row>
        <row r="100">
          <cell r="E100">
            <v>4411</v>
          </cell>
          <cell r="F100" t="str">
            <v>Limit Fed</v>
          </cell>
          <cell r="G100" t="str">
            <v>Weight</v>
          </cell>
          <cell r="H100" t="str">
            <v>Rebecca Sjostrand</v>
          </cell>
          <cell r="I100">
            <v>604</v>
          </cell>
        </row>
        <row r="101">
          <cell r="E101">
            <v>4412</v>
          </cell>
          <cell r="F101" t="str">
            <v>Limit Fed</v>
          </cell>
          <cell r="G101" t="str">
            <v>Weight</v>
          </cell>
          <cell r="H101" t="str">
            <v>Rebecca Sjostrand</v>
          </cell>
          <cell r="I101">
            <v>724</v>
          </cell>
        </row>
        <row r="102">
          <cell r="E102">
            <v>4413</v>
          </cell>
          <cell r="F102" t="str">
            <v>Limit Fed</v>
          </cell>
          <cell r="G102" t="str">
            <v>Weight</v>
          </cell>
          <cell r="H102" t="str">
            <v>Rebecca Sjostrand</v>
          </cell>
          <cell r="I102">
            <v>626</v>
          </cell>
        </row>
        <row r="103">
          <cell r="E103">
            <v>4414</v>
          </cell>
          <cell r="F103" t="str">
            <v>Limit Fed</v>
          </cell>
          <cell r="G103" t="str">
            <v>Weight</v>
          </cell>
          <cell r="H103" t="str">
            <v>Rebecca Sjostrand</v>
          </cell>
          <cell r="I103">
            <v>474</v>
          </cell>
        </row>
        <row r="104">
          <cell r="E104">
            <v>4415</v>
          </cell>
          <cell r="F104" t="str">
            <v>Limit Fed</v>
          </cell>
          <cell r="G104" t="str">
            <v>Weight</v>
          </cell>
          <cell r="H104" t="str">
            <v>Rebecca Sjostrand</v>
          </cell>
          <cell r="I104">
            <v>586</v>
          </cell>
        </row>
        <row r="105">
          <cell r="E105">
            <v>4416</v>
          </cell>
          <cell r="F105" t="str">
            <v>Limit Fed</v>
          </cell>
          <cell r="G105" t="str">
            <v>Weight</v>
          </cell>
          <cell r="H105" t="str">
            <v>Rebecca Sjostrand</v>
          </cell>
          <cell r="I105">
            <v>650</v>
          </cell>
        </row>
        <row r="106">
          <cell r="E106">
            <v>4417</v>
          </cell>
          <cell r="F106" t="str">
            <v>Limit Fed</v>
          </cell>
          <cell r="G106" t="str">
            <v>Weight</v>
          </cell>
          <cell r="H106" t="str">
            <v>Rebecca Sjostrand</v>
          </cell>
          <cell r="I106">
            <v>632</v>
          </cell>
        </row>
        <row r="107">
          <cell r="E107">
            <v>4418</v>
          </cell>
          <cell r="F107" t="str">
            <v>Limit Fed</v>
          </cell>
          <cell r="G107" t="str">
            <v>Weight</v>
          </cell>
          <cell r="H107" t="str">
            <v>Rebecca Sjostrand</v>
          </cell>
          <cell r="I107">
            <v>586</v>
          </cell>
        </row>
        <row r="108">
          <cell r="E108">
            <v>4419</v>
          </cell>
          <cell r="F108" t="str">
            <v>Limit Fed</v>
          </cell>
          <cell r="G108" t="str">
            <v>Weight</v>
          </cell>
          <cell r="H108" t="str">
            <v>Rebecca Sjostrand</v>
          </cell>
          <cell r="I108">
            <v>542</v>
          </cell>
        </row>
        <row r="109">
          <cell r="E109">
            <v>4420</v>
          </cell>
          <cell r="F109" t="str">
            <v>Limit Fed</v>
          </cell>
          <cell r="G109" t="str">
            <v>Weight</v>
          </cell>
          <cell r="H109" t="str">
            <v>Rebecca Sjostrand</v>
          </cell>
          <cell r="I109">
            <v>516</v>
          </cell>
        </row>
        <row r="110">
          <cell r="E110">
            <v>4421</v>
          </cell>
          <cell r="F110" t="str">
            <v>Limit Fed</v>
          </cell>
          <cell r="G110" t="str">
            <v>Weight</v>
          </cell>
          <cell r="H110" t="str">
            <v>Rebecca Sjostrand</v>
          </cell>
          <cell r="I110">
            <v>588</v>
          </cell>
        </row>
        <row r="111">
          <cell r="E111">
            <v>4422</v>
          </cell>
          <cell r="F111" t="str">
            <v>Limit Fed</v>
          </cell>
          <cell r="G111" t="str">
            <v>Weight</v>
          </cell>
          <cell r="H111" t="str">
            <v>Rebecca Sjostrand</v>
          </cell>
          <cell r="I111">
            <v>536</v>
          </cell>
        </row>
        <row r="112">
          <cell r="E112">
            <v>4423</v>
          </cell>
          <cell r="F112" t="str">
            <v>Limit Fed</v>
          </cell>
          <cell r="G112" t="str">
            <v>Weight</v>
          </cell>
          <cell r="H112" t="str">
            <v>Rebecca Sjostrand</v>
          </cell>
          <cell r="I112">
            <v>580</v>
          </cell>
        </row>
        <row r="113">
          <cell r="E113">
            <v>4424</v>
          </cell>
          <cell r="F113" t="str">
            <v>Limit Fed</v>
          </cell>
          <cell r="G113" t="str">
            <v>Weight</v>
          </cell>
          <cell r="H113" t="str">
            <v>Rebecca Sjostrand</v>
          </cell>
          <cell r="I113">
            <v>582</v>
          </cell>
        </row>
        <row r="114">
          <cell r="E114">
            <v>4425</v>
          </cell>
          <cell r="F114" t="str">
            <v>Limit Fed</v>
          </cell>
          <cell r="G114" t="str">
            <v>Weight</v>
          </cell>
          <cell r="H114" t="str">
            <v>Rebecca Sjostrand</v>
          </cell>
          <cell r="I114">
            <v>580</v>
          </cell>
        </row>
        <row r="115">
          <cell r="E115">
            <v>4426</v>
          </cell>
          <cell r="F115" t="str">
            <v>Limit Fed</v>
          </cell>
          <cell r="G115" t="str">
            <v>Weight</v>
          </cell>
          <cell r="H115" t="str">
            <v>Rebecca Sjostrand</v>
          </cell>
          <cell r="I115">
            <v>658</v>
          </cell>
        </row>
        <row r="116">
          <cell r="E116">
            <v>4427</v>
          </cell>
          <cell r="F116" t="str">
            <v>Limit Fed</v>
          </cell>
          <cell r="G116" t="str">
            <v>Weight</v>
          </cell>
          <cell r="H116" t="str">
            <v>Rebecca Sjostrand</v>
          </cell>
          <cell r="I116">
            <v>598</v>
          </cell>
        </row>
        <row r="117">
          <cell r="E117">
            <v>4428</v>
          </cell>
          <cell r="F117" t="str">
            <v>Limit Fed</v>
          </cell>
          <cell r="G117" t="str">
            <v>Weight</v>
          </cell>
          <cell r="H117" t="str">
            <v>Rebecca Sjostrand</v>
          </cell>
          <cell r="I117">
            <v>604</v>
          </cell>
        </row>
        <row r="118">
          <cell r="E118">
            <v>4429</v>
          </cell>
          <cell r="F118" t="str">
            <v>Limit Fed</v>
          </cell>
          <cell r="G118" t="str">
            <v>Weight</v>
          </cell>
          <cell r="H118" t="str">
            <v>Rebecca Sjostrand</v>
          </cell>
          <cell r="I118">
            <v>638</v>
          </cell>
        </row>
        <row r="119">
          <cell r="E119">
            <v>4430</v>
          </cell>
          <cell r="F119" t="str">
            <v>Limit Fed</v>
          </cell>
          <cell r="G119" t="str">
            <v>Weight</v>
          </cell>
          <cell r="H119" t="str">
            <v>Rebecca Sjostrand</v>
          </cell>
          <cell r="I119">
            <v>638</v>
          </cell>
        </row>
        <row r="120">
          <cell r="E120">
            <v>4431</v>
          </cell>
          <cell r="F120" t="str">
            <v>Limit Fed</v>
          </cell>
          <cell r="G120" t="str">
            <v>Weight</v>
          </cell>
          <cell r="H120" t="str">
            <v>Rebecca Sjostrand</v>
          </cell>
          <cell r="I120">
            <v>558</v>
          </cell>
        </row>
        <row r="121">
          <cell r="E121">
            <v>4432</v>
          </cell>
          <cell r="F121" t="str">
            <v>Limit Fed</v>
          </cell>
          <cell r="G121" t="str">
            <v>Weight</v>
          </cell>
          <cell r="H121" t="str">
            <v>Rebecca Sjostrand</v>
          </cell>
          <cell r="I121">
            <v>610</v>
          </cell>
        </row>
        <row r="122">
          <cell r="E122">
            <v>4433</v>
          </cell>
          <cell r="F122" t="str">
            <v>Limit Fed</v>
          </cell>
          <cell r="G122" t="str">
            <v>Weight</v>
          </cell>
          <cell r="H122" t="str">
            <v>Rebecca Sjostrand</v>
          </cell>
          <cell r="I122">
            <v>604</v>
          </cell>
        </row>
        <row r="123">
          <cell r="E123">
            <v>4434</v>
          </cell>
          <cell r="F123" t="str">
            <v>Limit Fed</v>
          </cell>
          <cell r="G123" t="str">
            <v>Weight</v>
          </cell>
          <cell r="H123" t="str">
            <v>Rebecca Sjostrand</v>
          </cell>
          <cell r="I123">
            <v>462</v>
          </cell>
        </row>
        <row r="124">
          <cell r="E124">
            <v>4435</v>
          </cell>
          <cell r="F124" t="str">
            <v>Limit Fed</v>
          </cell>
          <cell r="G124" t="str">
            <v>Weight</v>
          </cell>
          <cell r="H124" t="str">
            <v>Rebecca Sjostrand</v>
          </cell>
          <cell r="I124">
            <v>636</v>
          </cell>
        </row>
        <row r="125">
          <cell r="E125">
            <v>4436</v>
          </cell>
          <cell r="F125" t="str">
            <v>Limit Fed</v>
          </cell>
          <cell r="G125" t="str">
            <v>Weight</v>
          </cell>
          <cell r="H125" t="str">
            <v>Rebecca Sjostrand</v>
          </cell>
          <cell r="I125">
            <v>746</v>
          </cell>
        </row>
        <row r="126">
          <cell r="E126">
            <v>4437</v>
          </cell>
          <cell r="F126" t="str">
            <v>Limit Fed</v>
          </cell>
          <cell r="G126" t="str">
            <v>Weight</v>
          </cell>
          <cell r="H126" t="str">
            <v>Rebecca Sjostrand</v>
          </cell>
          <cell r="I126">
            <v>568</v>
          </cell>
        </row>
        <row r="127">
          <cell r="E127">
            <v>4438</v>
          </cell>
          <cell r="F127" t="str">
            <v>Limit Fed</v>
          </cell>
          <cell r="G127" t="str">
            <v>Weight</v>
          </cell>
          <cell r="H127" t="str">
            <v>Rebecca Sjostrand</v>
          </cell>
          <cell r="I127">
            <v>562</v>
          </cell>
        </row>
        <row r="128">
          <cell r="E128">
            <v>4439</v>
          </cell>
          <cell r="F128" t="str">
            <v>Limit Fed</v>
          </cell>
          <cell r="G128" t="str">
            <v>Weight</v>
          </cell>
          <cell r="H128" t="str">
            <v>Rebecca Sjostrand</v>
          </cell>
          <cell r="I128">
            <v>614</v>
          </cell>
        </row>
        <row r="129">
          <cell r="E129">
            <v>4440</v>
          </cell>
          <cell r="F129" t="str">
            <v>Limit Fed</v>
          </cell>
          <cell r="G129" t="str">
            <v>Weight</v>
          </cell>
          <cell r="H129" t="str">
            <v>Rebecca Sjostrand</v>
          </cell>
          <cell r="I129">
            <v>650</v>
          </cell>
        </row>
        <row r="130">
          <cell r="E130">
            <v>4441</v>
          </cell>
          <cell r="F130" t="str">
            <v>Limit Fed</v>
          </cell>
          <cell r="G130" t="str">
            <v>Weight</v>
          </cell>
          <cell r="H130" t="str">
            <v>Rebecca Sjostrand</v>
          </cell>
          <cell r="I130">
            <v>768</v>
          </cell>
        </row>
        <row r="131">
          <cell r="E131">
            <v>4442</v>
          </cell>
          <cell r="F131" t="str">
            <v>Limit Fed</v>
          </cell>
          <cell r="G131" t="str">
            <v>Weight</v>
          </cell>
          <cell r="H131" t="str">
            <v>Rebecca Sjostrand</v>
          </cell>
          <cell r="I131">
            <v>660</v>
          </cell>
        </row>
        <row r="132">
          <cell r="E132">
            <v>4443</v>
          </cell>
          <cell r="F132" t="str">
            <v>Limit Fed</v>
          </cell>
          <cell r="G132" t="str">
            <v>Weight</v>
          </cell>
          <cell r="H132" t="str">
            <v>Rebecca Sjostrand</v>
          </cell>
          <cell r="I132">
            <v>576</v>
          </cell>
        </row>
        <row r="133">
          <cell r="E133">
            <v>4444</v>
          </cell>
          <cell r="F133" t="str">
            <v>Limit Fed</v>
          </cell>
          <cell r="G133" t="str">
            <v>Weight</v>
          </cell>
          <cell r="H133" t="str">
            <v>Rebecca Sjostrand</v>
          </cell>
          <cell r="I133">
            <v>576</v>
          </cell>
        </row>
        <row r="134">
          <cell r="E134">
            <v>4445</v>
          </cell>
          <cell r="F134" t="str">
            <v>Limit Fed</v>
          </cell>
          <cell r="G134" t="str">
            <v>Weight</v>
          </cell>
          <cell r="H134" t="str">
            <v>Rebecca Sjostrand</v>
          </cell>
          <cell r="I134">
            <v>572</v>
          </cell>
        </row>
        <row r="135">
          <cell r="E135">
            <v>4446</v>
          </cell>
          <cell r="F135" t="str">
            <v>Limit Fed</v>
          </cell>
          <cell r="G135" t="str">
            <v>Weight</v>
          </cell>
          <cell r="H135" t="str">
            <v>Rebecca Sjostrand</v>
          </cell>
          <cell r="I135">
            <v>626</v>
          </cell>
        </row>
        <row r="136">
          <cell r="E136">
            <v>4447</v>
          </cell>
          <cell r="F136" t="str">
            <v>Limit Fed</v>
          </cell>
          <cell r="G136" t="str">
            <v>Weight</v>
          </cell>
          <cell r="H136" t="str">
            <v>Rebecca Sjostrand</v>
          </cell>
          <cell r="I136">
            <v>742</v>
          </cell>
        </row>
        <row r="137">
          <cell r="E137">
            <v>4448</v>
          </cell>
          <cell r="F137" t="str">
            <v>Limit Fed</v>
          </cell>
          <cell r="G137" t="str">
            <v>Weight</v>
          </cell>
          <cell r="H137" t="str">
            <v>Rebecca Sjostrand</v>
          </cell>
          <cell r="I137">
            <v>656</v>
          </cell>
        </row>
        <row r="138">
          <cell r="E138">
            <v>4449</v>
          </cell>
          <cell r="F138" t="str">
            <v>Limit Fed</v>
          </cell>
          <cell r="G138" t="str">
            <v>Weight</v>
          </cell>
          <cell r="H138" t="str">
            <v>Rebecca Sjostrand</v>
          </cell>
          <cell r="I138">
            <v>748</v>
          </cell>
        </row>
        <row r="139">
          <cell r="E139">
            <v>4450</v>
          </cell>
          <cell r="F139" t="str">
            <v>Limit Fed</v>
          </cell>
          <cell r="G139" t="str">
            <v>Weight</v>
          </cell>
          <cell r="H139" t="str">
            <v>Rebecca Sjostrand</v>
          </cell>
          <cell r="I139">
            <v>570</v>
          </cell>
        </row>
        <row r="140">
          <cell r="E140">
            <v>4451</v>
          </cell>
          <cell r="F140" t="str">
            <v>Limit Fed</v>
          </cell>
          <cell r="G140" t="str">
            <v>Weight</v>
          </cell>
          <cell r="H140" t="str">
            <v>Rebecca Sjostrand</v>
          </cell>
          <cell r="I140">
            <v>744</v>
          </cell>
        </row>
        <row r="141">
          <cell r="E141">
            <v>4452</v>
          </cell>
          <cell r="F141" t="str">
            <v>Limit Fed</v>
          </cell>
          <cell r="G141" t="str">
            <v>Weight</v>
          </cell>
          <cell r="H141" t="str">
            <v>Rebecca Sjostrand</v>
          </cell>
          <cell r="I141">
            <v>650</v>
          </cell>
        </row>
        <row r="142">
          <cell r="E142">
            <v>4453</v>
          </cell>
          <cell r="F142" t="str">
            <v>Limit Fed</v>
          </cell>
          <cell r="G142" t="str">
            <v>Weight</v>
          </cell>
          <cell r="H142" t="str">
            <v>Rebecca Sjostrand</v>
          </cell>
          <cell r="I142">
            <v>646</v>
          </cell>
        </row>
        <row r="143">
          <cell r="E143">
            <v>4454</v>
          </cell>
          <cell r="F143" t="str">
            <v>Limit Fed</v>
          </cell>
          <cell r="G143" t="str">
            <v>Weight</v>
          </cell>
          <cell r="H143" t="str">
            <v>Rebecca Sjostrand</v>
          </cell>
          <cell r="I143">
            <v>564</v>
          </cell>
        </row>
        <row r="144">
          <cell r="E144">
            <v>4455</v>
          </cell>
          <cell r="F144" t="str">
            <v>Limit Fed</v>
          </cell>
          <cell r="G144" t="str">
            <v>Weight</v>
          </cell>
          <cell r="H144" t="str">
            <v>Rebecca Sjostrand</v>
          </cell>
          <cell r="I144">
            <v>540</v>
          </cell>
        </row>
        <row r="145">
          <cell r="E145">
            <v>4456</v>
          </cell>
          <cell r="F145" t="str">
            <v>Limit Fed</v>
          </cell>
          <cell r="G145" t="str">
            <v>Weight</v>
          </cell>
          <cell r="H145" t="str">
            <v>Rebecca Sjostrand</v>
          </cell>
          <cell r="I145">
            <v>630</v>
          </cell>
        </row>
        <row r="146">
          <cell r="E146">
            <v>4457</v>
          </cell>
          <cell r="F146" t="str">
            <v>Limit Fed</v>
          </cell>
          <cell r="G146" t="str">
            <v>Weight</v>
          </cell>
          <cell r="H146" t="str">
            <v>Rebecca Sjostrand</v>
          </cell>
          <cell r="I146">
            <v>556</v>
          </cell>
        </row>
        <row r="147">
          <cell r="E147">
            <v>4458</v>
          </cell>
          <cell r="F147" t="str">
            <v>Limit Fed</v>
          </cell>
          <cell r="G147" t="str">
            <v>Weight</v>
          </cell>
          <cell r="H147" t="str">
            <v>Rebecca Sjostrand</v>
          </cell>
          <cell r="I147">
            <v>662</v>
          </cell>
        </row>
        <row r="148">
          <cell r="E148">
            <v>4459</v>
          </cell>
          <cell r="F148" t="str">
            <v>Limit Fed</v>
          </cell>
          <cell r="G148" t="str">
            <v>Weight</v>
          </cell>
          <cell r="H148" t="str">
            <v>Rebecca Sjostrand</v>
          </cell>
          <cell r="I148">
            <v>614</v>
          </cell>
        </row>
        <row r="149">
          <cell r="E149">
            <v>4460</v>
          </cell>
          <cell r="F149" t="str">
            <v>Limit Fed</v>
          </cell>
          <cell r="G149" t="str">
            <v>Weight</v>
          </cell>
          <cell r="H149" t="str">
            <v>Rebecca Sjostrand</v>
          </cell>
          <cell r="I149">
            <v>552</v>
          </cell>
        </row>
        <row r="150">
          <cell r="E150">
            <v>4461</v>
          </cell>
          <cell r="F150" t="str">
            <v>Limit Fed</v>
          </cell>
          <cell r="G150" t="str">
            <v>Weight</v>
          </cell>
          <cell r="H150" t="str">
            <v>Rebecca Sjostrand</v>
          </cell>
          <cell r="I150">
            <v>680</v>
          </cell>
        </row>
        <row r="151">
          <cell r="E151">
            <v>4462</v>
          </cell>
          <cell r="F151" t="str">
            <v>Limit Fed</v>
          </cell>
          <cell r="G151" t="str">
            <v>Weight</v>
          </cell>
          <cell r="H151" t="str">
            <v>Rebecca Sjostrand</v>
          </cell>
          <cell r="I151">
            <v>674</v>
          </cell>
        </row>
        <row r="152">
          <cell r="E152">
            <v>4463</v>
          </cell>
          <cell r="F152" t="str">
            <v>Limit Fed</v>
          </cell>
          <cell r="G152" t="str">
            <v>Weight</v>
          </cell>
          <cell r="H152" t="str">
            <v>Rebecca Sjostrand</v>
          </cell>
          <cell r="I152">
            <v>588</v>
          </cell>
        </row>
        <row r="153">
          <cell r="E153">
            <v>4464</v>
          </cell>
          <cell r="F153" t="str">
            <v>Limit Fed</v>
          </cell>
          <cell r="G153" t="str">
            <v>Weight</v>
          </cell>
          <cell r="H153" t="str">
            <v>Rebecca Sjostrand</v>
          </cell>
          <cell r="I153">
            <v>606</v>
          </cell>
        </row>
        <row r="154">
          <cell r="E154">
            <v>4465</v>
          </cell>
          <cell r="F154" t="str">
            <v>Limit Fed</v>
          </cell>
          <cell r="G154" t="str">
            <v>Weight</v>
          </cell>
          <cell r="H154" t="str">
            <v>Rebecca Sjostrand</v>
          </cell>
          <cell r="I154">
            <v>608</v>
          </cell>
        </row>
        <row r="155">
          <cell r="E155">
            <v>4466</v>
          </cell>
          <cell r="F155" t="str">
            <v>Limit Fed</v>
          </cell>
          <cell r="G155" t="str">
            <v>Weight</v>
          </cell>
          <cell r="H155" t="str">
            <v>Rebecca Sjostrand</v>
          </cell>
          <cell r="I155">
            <v>600</v>
          </cell>
        </row>
        <row r="156">
          <cell r="E156">
            <v>4467</v>
          </cell>
          <cell r="F156" t="str">
            <v>Limit Fed</v>
          </cell>
          <cell r="G156" t="str">
            <v>Weight</v>
          </cell>
          <cell r="H156" t="str">
            <v>Rebecca Sjostrand</v>
          </cell>
          <cell r="I156">
            <v>606</v>
          </cell>
        </row>
        <row r="157">
          <cell r="E157">
            <v>4468</v>
          </cell>
          <cell r="F157" t="str">
            <v>Limit Fed</v>
          </cell>
          <cell r="G157" t="str">
            <v>Weight</v>
          </cell>
          <cell r="H157" t="str">
            <v>Rebecca Sjostrand</v>
          </cell>
          <cell r="I157">
            <v>572</v>
          </cell>
        </row>
        <row r="158">
          <cell r="E158">
            <v>4469</v>
          </cell>
          <cell r="F158" t="str">
            <v>Limit Fed</v>
          </cell>
          <cell r="G158" t="str">
            <v>Weight</v>
          </cell>
          <cell r="H158" t="str">
            <v>Rebecca Sjostrand</v>
          </cell>
          <cell r="I158">
            <v>574</v>
          </cell>
        </row>
        <row r="159">
          <cell r="E159">
            <v>4470</v>
          </cell>
          <cell r="F159" t="str">
            <v>Limit Fed</v>
          </cell>
          <cell r="G159" t="str">
            <v>Weight</v>
          </cell>
          <cell r="H159" t="str">
            <v>Rebecca Sjostrand</v>
          </cell>
          <cell r="I159">
            <v>640</v>
          </cell>
        </row>
        <row r="160">
          <cell r="E160">
            <v>4471</v>
          </cell>
          <cell r="F160" t="str">
            <v>Limit Fed</v>
          </cell>
          <cell r="G160" t="str">
            <v>Weight</v>
          </cell>
          <cell r="H160" t="str">
            <v>Rebecca Sjostrand</v>
          </cell>
          <cell r="I160">
            <v>604</v>
          </cell>
        </row>
        <row r="161">
          <cell r="E161">
            <v>4472</v>
          </cell>
          <cell r="F161" t="str">
            <v>Limit Fed</v>
          </cell>
          <cell r="G161" t="str">
            <v>Weight</v>
          </cell>
          <cell r="H161" t="str">
            <v>Rebecca Sjostrand</v>
          </cell>
          <cell r="I161">
            <v>604</v>
          </cell>
        </row>
        <row r="162">
          <cell r="E162">
            <v>4473</v>
          </cell>
          <cell r="F162" t="str">
            <v>Limit Fed</v>
          </cell>
          <cell r="G162" t="str">
            <v>Weight</v>
          </cell>
          <cell r="H162" t="str">
            <v>Rebecca Sjostrand</v>
          </cell>
          <cell r="I162">
            <v>602</v>
          </cell>
        </row>
        <row r="163">
          <cell r="E163">
            <v>4474</v>
          </cell>
          <cell r="F163" t="str">
            <v>Limit Fed</v>
          </cell>
          <cell r="G163" t="str">
            <v>Weight</v>
          </cell>
          <cell r="H163" t="str">
            <v>Rebecca Sjostrand</v>
          </cell>
          <cell r="I163">
            <v>738</v>
          </cell>
        </row>
        <row r="164">
          <cell r="E164">
            <v>4475</v>
          </cell>
          <cell r="F164" t="str">
            <v>Limit Fed</v>
          </cell>
          <cell r="G164" t="str">
            <v>Weight</v>
          </cell>
          <cell r="H164" t="str">
            <v>Rebecca Sjostrand</v>
          </cell>
          <cell r="I164">
            <v>650</v>
          </cell>
        </row>
        <row r="165">
          <cell r="E165">
            <v>4476</v>
          </cell>
          <cell r="F165" t="str">
            <v>Limit Fed</v>
          </cell>
          <cell r="G165" t="str">
            <v>Weight</v>
          </cell>
          <cell r="H165" t="str">
            <v>Rebecca Sjostrand</v>
          </cell>
          <cell r="I165">
            <v>526</v>
          </cell>
        </row>
        <row r="166">
          <cell r="E166">
            <v>4477</v>
          </cell>
          <cell r="F166" t="str">
            <v>Limit Fed</v>
          </cell>
          <cell r="G166" t="str">
            <v>Weight</v>
          </cell>
          <cell r="H166" t="str">
            <v>Rebecca Sjostrand</v>
          </cell>
          <cell r="I166">
            <v>614</v>
          </cell>
        </row>
        <row r="167">
          <cell r="E167">
            <v>4478</v>
          </cell>
          <cell r="F167" t="str">
            <v>Limit Fed</v>
          </cell>
          <cell r="G167" t="str">
            <v>Weight</v>
          </cell>
          <cell r="H167" t="str">
            <v>Rebecca Sjostrand</v>
          </cell>
          <cell r="I167">
            <v>700</v>
          </cell>
        </row>
        <row r="168">
          <cell r="E168">
            <v>4479</v>
          </cell>
          <cell r="F168" t="str">
            <v>Limit Fed</v>
          </cell>
          <cell r="G168" t="str">
            <v>Weight</v>
          </cell>
          <cell r="H168" t="str">
            <v>Rebecca Sjostrand</v>
          </cell>
          <cell r="I168">
            <v>600</v>
          </cell>
        </row>
        <row r="169">
          <cell r="E169">
            <v>4480</v>
          </cell>
          <cell r="F169" t="str">
            <v>Limit Fed</v>
          </cell>
          <cell r="G169" t="str">
            <v>Weight</v>
          </cell>
          <cell r="H169" t="str">
            <v>Rebecca Sjostrand</v>
          </cell>
          <cell r="I169">
            <v>550</v>
          </cell>
        </row>
        <row r="170">
          <cell r="E170">
            <v>4481</v>
          </cell>
          <cell r="F170" t="str">
            <v>Limit Fed</v>
          </cell>
          <cell r="G170" t="str">
            <v>Weight</v>
          </cell>
          <cell r="H170" t="str">
            <v>Rebecca Sjostrand</v>
          </cell>
          <cell r="I170">
            <v>630</v>
          </cell>
        </row>
        <row r="171">
          <cell r="E171">
            <v>4482</v>
          </cell>
          <cell r="F171" t="str">
            <v>Limit Fed</v>
          </cell>
          <cell r="G171" t="str">
            <v>Weight</v>
          </cell>
          <cell r="H171" t="str">
            <v>Rebecca Sjostrand</v>
          </cell>
          <cell r="I171">
            <v>676</v>
          </cell>
        </row>
        <row r="172">
          <cell r="E172">
            <v>4483</v>
          </cell>
          <cell r="F172" t="str">
            <v>Limit Fed</v>
          </cell>
          <cell r="G172" t="str">
            <v>Weight</v>
          </cell>
          <cell r="H172" t="str">
            <v>Rebecca Sjostrand</v>
          </cell>
          <cell r="I172">
            <v>572</v>
          </cell>
        </row>
        <row r="173">
          <cell r="E173">
            <v>4484</v>
          </cell>
          <cell r="F173" t="str">
            <v>Limit Fed</v>
          </cell>
          <cell r="G173" t="str">
            <v>Weight</v>
          </cell>
          <cell r="H173" t="str">
            <v>Rebecca Sjostrand</v>
          </cell>
          <cell r="I173">
            <v>644</v>
          </cell>
        </row>
        <row r="174">
          <cell r="E174">
            <v>4485</v>
          </cell>
          <cell r="F174" t="str">
            <v>Limit Fed</v>
          </cell>
          <cell r="G174" t="str">
            <v>Weight</v>
          </cell>
          <cell r="H174" t="str">
            <v>Rebecca Sjostrand</v>
          </cell>
          <cell r="I174">
            <v>558</v>
          </cell>
        </row>
        <row r="175">
          <cell r="E175">
            <v>4486</v>
          </cell>
          <cell r="F175" t="str">
            <v>Limit Fed</v>
          </cell>
          <cell r="G175" t="str">
            <v>Weight</v>
          </cell>
          <cell r="H175" t="str">
            <v>Rebecca Sjostrand</v>
          </cell>
          <cell r="I175">
            <v>584</v>
          </cell>
        </row>
        <row r="176">
          <cell r="E176">
            <v>4487</v>
          </cell>
          <cell r="F176" t="str">
            <v>Limit Fed</v>
          </cell>
          <cell r="G176" t="str">
            <v>Weight</v>
          </cell>
          <cell r="H176" t="str">
            <v>Rebecca Sjostrand</v>
          </cell>
          <cell r="I176">
            <v>634</v>
          </cell>
        </row>
        <row r="177">
          <cell r="E177">
            <v>4488</v>
          </cell>
          <cell r="F177" t="str">
            <v>Limit Fed</v>
          </cell>
          <cell r="G177" t="str">
            <v>Weight</v>
          </cell>
          <cell r="H177" t="str">
            <v>Rebecca Sjostrand</v>
          </cell>
          <cell r="I177">
            <v>608</v>
          </cell>
        </row>
        <row r="178">
          <cell r="E178">
            <v>4489</v>
          </cell>
          <cell r="F178" t="str">
            <v>Limit Fed</v>
          </cell>
          <cell r="G178" t="str">
            <v>Weight</v>
          </cell>
          <cell r="H178" t="str">
            <v>Rebecca Sjostrand</v>
          </cell>
          <cell r="I178">
            <v>660</v>
          </cell>
        </row>
        <row r="179">
          <cell r="E179">
            <v>4490</v>
          </cell>
          <cell r="F179" t="str">
            <v>Limit Fed</v>
          </cell>
          <cell r="G179" t="str">
            <v>Weight</v>
          </cell>
          <cell r="H179" t="str">
            <v>Rebecca Sjostrand</v>
          </cell>
          <cell r="I179">
            <v>612</v>
          </cell>
        </row>
        <row r="180">
          <cell r="E180">
            <v>4491</v>
          </cell>
          <cell r="F180" t="str">
            <v>Limit Fed</v>
          </cell>
          <cell r="G180" t="str">
            <v>Weight</v>
          </cell>
          <cell r="H180" t="str">
            <v>Rebecca Sjostrand</v>
          </cell>
          <cell r="I180">
            <v>652</v>
          </cell>
        </row>
        <row r="181">
          <cell r="E181">
            <v>4492</v>
          </cell>
          <cell r="F181" t="str">
            <v>Limit Fed</v>
          </cell>
          <cell r="G181" t="str">
            <v>Weight</v>
          </cell>
          <cell r="H181" t="str">
            <v>Rebecca Sjostrand</v>
          </cell>
          <cell r="I181">
            <v>488</v>
          </cell>
        </row>
        <row r="182">
          <cell r="E182">
            <v>4493</v>
          </cell>
          <cell r="F182" t="str">
            <v>Limit Fed</v>
          </cell>
          <cell r="G182" t="str">
            <v>Weight</v>
          </cell>
          <cell r="H182" t="str">
            <v>Rebecca Sjostrand</v>
          </cell>
          <cell r="I182">
            <v>660</v>
          </cell>
        </row>
        <row r="183">
          <cell r="E183">
            <v>4494</v>
          </cell>
          <cell r="F183" t="str">
            <v>Limit Fed</v>
          </cell>
          <cell r="G183" t="str">
            <v>Weight</v>
          </cell>
          <cell r="H183" t="str">
            <v>Rebecca Sjostrand</v>
          </cell>
          <cell r="I183">
            <v>658</v>
          </cell>
        </row>
        <row r="184">
          <cell r="E184">
            <v>4495</v>
          </cell>
          <cell r="F184" t="str">
            <v>Limit Fed</v>
          </cell>
          <cell r="G184" t="str">
            <v>Weight</v>
          </cell>
          <cell r="H184" t="str">
            <v>Rebecca Sjostrand</v>
          </cell>
          <cell r="I184">
            <v>678</v>
          </cell>
        </row>
        <row r="185">
          <cell r="E185">
            <v>4496</v>
          </cell>
          <cell r="F185" t="str">
            <v>Limit Fed</v>
          </cell>
          <cell r="G185" t="str">
            <v>Weight</v>
          </cell>
          <cell r="H185" t="str">
            <v>Rebecca Sjostrand</v>
          </cell>
          <cell r="I185">
            <v>592</v>
          </cell>
        </row>
        <row r="186">
          <cell r="E186">
            <v>4497</v>
          </cell>
          <cell r="F186" t="str">
            <v>Limit Fed</v>
          </cell>
          <cell r="G186" t="str">
            <v>Weight</v>
          </cell>
          <cell r="H186" t="str">
            <v>Rebecca Sjostrand</v>
          </cell>
          <cell r="I186">
            <v>550</v>
          </cell>
        </row>
        <row r="187">
          <cell r="E187">
            <v>4498</v>
          </cell>
          <cell r="F187" t="str">
            <v>Limit Fed</v>
          </cell>
          <cell r="G187" t="str">
            <v>Weight</v>
          </cell>
          <cell r="H187" t="str">
            <v>Rebecca Sjostrand</v>
          </cell>
          <cell r="I187">
            <v>576</v>
          </cell>
        </row>
        <row r="188">
          <cell r="E188">
            <v>4499</v>
          </cell>
          <cell r="F188" t="str">
            <v>Limit Fed</v>
          </cell>
          <cell r="G188" t="str">
            <v>Weight</v>
          </cell>
          <cell r="H188" t="str">
            <v>Rebecca Sjostrand</v>
          </cell>
          <cell r="I188">
            <v>680</v>
          </cell>
        </row>
        <row r="189">
          <cell r="E189">
            <v>4500</v>
          </cell>
          <cell r="F189" t="str">
            <v>Limit Fed</v>
          </cell>
          <cell r="G189" t="str">
            <v>Weight</v>
          </cell>
          <cell r="H189" t="str">
            <v>Rebecca Sjostrand</v>
          </cell>
          <cell r="I189">
            <v>612</v>
          </cell>
        </row>
        <row r="190">
          <cell r="E190">
            <v>4501</v>
          </cell>
          <cell r="F190" t="str">
            <v>Limit Fed</v>
          </cell>
          <cell r="G190" t="str">
            <v>Weight</v>
          </cell>
          <cell r="H190" t="str">
            <v>Rebecca Sjostrand</v>
          </cell>
          <cell r="I190">
            <v>576</v>
          </cell>
        </row>
        <row r="191">
          <cell r="E191">
            <v>4502</v>
          </cell>
          <cell r="F191" t="str">
            <v>Limit Fed</v>
          </cell>
          <cell r="G191" t="str">
            <v>Weight</v>
          </cell>
          <cell r="H191" t="str">
            <v>Rebecca Sjostrand</v>
          </cell>
          <cell r="I191">
            <v>570</v>
          </cell>
        </row>
        <row r="192">
          <cell r="E192">
            <v>4503</v>
          </cell>
          <cell r="F192" t="str">
            <v>Limit Fed</v>
          </cell>
          <cell r="G192" t="str">
            <v>Weight</v>
          </cell>
          <cell r="H192" t="str">
            <v>Rebecca Sjostrand</v>
          </cell>
          <cell r="I192">
            <v>578</v>
          </cell>
        </row>
        <row r="193">
          <cell r="E193">
            <v>4504</v>
          </cell>
          <cell r="F193" t="str">
            <v>Limit Fed</v>
          </cell>
          <cell r="G193" t="str">
            <v>Weight</v>
          </cell>
          <cell r="H193" t="str">
            <v>Rebecca Sjostrand</v>
          </cell>
          <cell r="I193">
            <v>574</v>
          </cell>
        </row>
        <row r="194">
          <cell r="E194">
            <v>4505</v>
          </cell>
          <cell r="F194" t="str">
            <v>Limit Fed</v>
          </cell>
          <cell r="G194" t="str">
            <v>Weight</v>
          </cell>
          <cell r="H194" t="str">
            <v>Rebecca Sjostrand</v>
          </cell>
          <cell r="I194">
            <v>702</v>
          </cell>
        </row>
        <row r="195">
          <cell r="E195">
            <v>4506</v>
          </cell>
          <cell r="F195" t="str">
            <v>Limit Fed</v>
          </cell>
          <cell r="G195" t="str">
            <v>Weight</v>
          </cell>
          <cell r="H195" t="str">
            <v>Rebecca Sjostrand</v>
          </cell>
          <cell r="I195">
            <v>660</v>
          </cell>
        </row>
        <row r="196">
          <cell r="E196">
            <v>4507</v>
          </cell>
          <cell r="F196" t="str">
            <v>Limit Fed</v>
          </cell>
          <cell r="G196" t="str">
            <v>Weight</v>
          </cell>
          <cell r="H196" t="str">
            <v>Rebecca Sjostrand</v>
          </cell>
          <cell r="I196">
            <v>662</v>
          </cell>
        </row>
        <row r="197">
          <cell r="E197">
            <v>4508</v>
          </cell>
          <cell r="F197" t="str">
            <v>Limit Fed</v>
          </cell>
          <cell r="G197" t="str">
            <v>Weight</v>
          </cell>
          <cell r="H197" t="str">
            <v>Rebecca Sjostrand</v>
          </cell>
          <cell r="I197">
            <v>538</v>
          </cell>
        </row>
        <row r="198">
          <cell r="E198">
            <v>4509</v>
          </cell>
          <cell r="F198" t="str">
            <v>Limit Fed</v>
          </cell>
          <cell r="G198" t="str">
            <v>Weight</v>
          </cell>
          <cell r="H198" t="str">
            <v>Rebecca Sjostrand</v>
          </cell>
          <cell r="I198">
            <v>634</v>
          </cell>
        </row>
        <row r="199">
          <cell r="E199">
            <v>4510</v>
          </cell>
          <cell r="F199" t="str">
            <v>Limit Fed</v>
          </cell>
          <cell r="G199" t="str">
            <v>Weight</v>
          </cell>
          <cell r="H199" t="str">
            <v>Rebecca Sjostrand</v>
          </cell>
          <cell r="I199">
            <v>644</v>
          </cell>
        </row>
        <row r="200">
          <cell r="E200">
            <v>4511</v>
          </cell>
          <cell r="F200" t="str">
            <v>Limit Fed</v>
          </cell>
          <cell r="G200" t="str">
            <v>Weight</v>
          </cell>
          <cell r="H200" t="str">
            <v>Rebecca Sjostrand</v>
          </cell>
          <cell r="I200">
            <v>602</v>
          </cell>
        </row>
        <row r="201">
          <cell r="E201">
            <v>4512</v>
          </cell>
          <cell r="F201" t="str">
            <v>Limit Fed</v>
          </cell>
          <cell r="G201" t="str">
            <v>Weight</v>
          </cell>
          <cell r="H201" t="str">
            <v>Rebecca Sjostrand</v>
          </cell>
          <cell r="I201">
            <v>624</v>
          </cell>
        </row>
        <row r="202">
          <cell r="E202">
            <v>4513</v>
          </cell>
          <cell r="F202" t="str">
            <v>Limit Fed</v>
          </cell>
          <cell r="G202" t="str">
            <v>Weight</v>
          </cell>
          <cell r="H202" t="str">
            <v>Rebecca Sjostrand</v>
          </cell>
          <cell r="I202">
            <v>630</v>
          </cell>
        </row>
        <row r="203">
          <cell r="E203">
            <v>4514</v>
          </cell>
          <cell r="F203" t="str">
            <v>Limit Fed</v>
          </cell>
          <cell r="G203" t="str">
            <v>Weight</v>
          </cell>
          <cell r="H203" t="str">
            <v>Rebecca Sjostrand</v>
          </cell>
          <cell r="I203">
            <v>668</v>
          </cell>
        </row>
        <row r="204">
          <cell r="E204">
            <v>4515</v>
          </cell>
          <cell r="F204" t="str">
            <v>Limit Fed</v>
          </cell>
          <cell r="G204" t="str">
            <v>Weight</v>
          </cell>
          <cell r="H204" t="str">
            <v>Rebecca Sjostrand</v>
          </cell>
          <cell r="I204">
            <v>664</v>
          </cell>
        </row>
        <row r="205">
          <cell r="E205">
            <v>4516</v>
          </cell>
          <cell r="F205" t="str">
            <v>Limit Fed</v>
          </cell>
          <cell r="G205" t="str">
            <v>Weight</v>
          </cell>
          <cell r="H205" t="str">
            <v>Rebecca Sjostrand</v>
          </cell>
          <cell r="I205">
            <v>570</v>
          </cell>
        </row>
        <row r="206">
          <cell r="E206">
            <v>4517</v>
          </cell>
          <cell r="F206" t="str">
            <v>Limit Fed</v>
          </cell>
          <cell r="G206" t="str">
            <v>Weight</v>
          </cell>
          <cell r="H206" t="str">
            <v>Rebecca Sjostrand</v>
          </cell>
          <cell r="I206">
            <v>600</v>
          </cell>
        </row>
        <row r="207">
          <cell r="E207">
            <v>4518</v>
          </cell>
          <cell r="F207" t="str">
            <v>Limit Fed</v>
          </cell>
          <cell r="G207" t="str">
            <v>Weight</v>
          </cell>
          <cell r="H207" t="str">
            <v>Rebecca Sjostrand</v>
          </cell>
          <cell r="I207">
            <v>566</v>
          </cell>
        </row>
        <row r="208">
          <cell r="E208">
            <v>4519</v>
          </cell>
          <cell r="F208" t="str">
            <v>Limit Fed</v>
          </cell>
          <cell r="G208" t="str">
            <v>Weight</v>
          </cell>
          <cell r="H208" t="str">
            <v>Rebecca Sjostrand</v>
          </cell>
          <cell r="I208">
            <v>568</v>
          </cell>
        </row>
        <row r="209">
          <cell r="E209">
            <v>4520</v>
          </cell>
          <cell r="F209" t="str">
            <v>Limit Fed</v>
          </cell>
          <cell r="G209" t="str">
            <v>Weight</v>
          </cell>
          <cell r="H209" t="str">
            <v>Rebecca Sjostrand</v>
          </cell>
          <cell r="I209">
            <v>682</v>
          </cell>
        </row>
        <row r="210">
          <cell r="E210">
            <v>4521</v>
          </cell>
          <cell r="F210" t="str">
            <v>Limit Fed</v>
          </cell>
          <cell r="G210" t="str">
            <v>Weight</v>
          </cell>
          <cell r="H210" t="str">
            <v>Rebecca Sjostrand</v>
          </cell>
          <cell r="I210">
            <v>694</v>
          </cell>
        </row>
        <row r="211">
          <cell r="E211">
            <v>4522</v>
          </cell>
          <cell r="F211" t="str">
            <v>Limit Fed</v>
          </cell>
          <cell r="G211" t="str">
            <v>Weight</v>
          </cell>
          <cell r="H211" t="str">
            <v>Rebecca Sjostrand</v>
          </cell>
          <cell r="I211">
            <v>634</v>
          </cell>
        </row>
        <row r="212">
          <cell r="E212">
            <v>4523</v>
          </cell>
          <cell r="F212" t="str">
            <v>Limit Fed</v>
          </cell>
          <cell r="G212" t="str">
            <v>Weight</v>
          </cell>
          <cell r="H212" t="str">
            <v>Rebecca Sjostrand</v>
          </cell>
          <cell r="I212">
            <v>644</v>
          </cell>
        </row>
        <row r="213">
          <cell r="E213">
            <v>4524</v>
          </cell>
          <cell r="F213" t="str">
            <v>Limit Fed</v>
          </cell>
          <cell r="G213" t="str">
            <v>Weight</v>
          </cell>
          <cell r="H213" t="str">
            <v>Rebecca Sjostrand</v>
          </cell>
          <cell r="I213">
            <v>600</v>
          </cell>
        </row>
        <row r="214">
          <cell r="E214">
            <v>4525</v>
          </cell>
          <cell r="F214" t="str">
            <v>Limit Fed</v>
          </cell>
          <cell r="G214" t="str">
            <v>Weight</v>
          </cell>
          <cell r="H214" t="str">
            <v>Rebecca Sjostrand</v>
          </cell>
          <cell r="I214">
            <v>642</v>
          </cell>
        </row>
        <row r="215">
          <cell r="E215">
            <v>4526</v>
          </cell>
          <cell r="F215" t="str">
            <v>Limit Fed</v>
          </cell>
          <cell r="G215" t="str">
            <v>Weight</v>
          </cell>
          <cell r="H215" t="str">
            <v>Rebecca Sjostrand</v>
          </cell>
          <cell r="I215">
            <v>730</v>
          </cell>
        </row>
        <row r="216">
          <cell r="E216">
            <v>4527</v>
          </cell>
          <cell r="F216" t="str">
            <v>Limit Fed</v>
          </cell>
          <cell r="G216" t="str">
            <v>Weight</v>
          </cell>
          <cell r="H216" t="str">
            <v>Rebecca Sjostrand</v>
          </cell>
          <cell r="I216">
            <v>624</v>
          </cell>
        </row>
        <row r="217">
          <cell r="E217">
            <v>4528</v>
          </cell>
          <cell r="F217" t="str">
            <v>Limit Fed</v>
          </cell>
          <cell r="G217" t="str">
            <v>Weight</v>
          </cell>
          <cell r="H217" t="str">
            <v>Rebecca Sjostrand</v>
          </cell>
          <cell r="I217">
            <v>636</v>
          </cell>
        </row>
        <row r="218">
          <cell r="E218">
            <v>4529</v>
          </cell>
          <cell r="F218" t="str">
            <v>Limit Fed</v>
          </cell>
          <cell r="G218" t="str">
            <v>Weight</v>
          </cell>
          <cell r="H218" t="str">
            <v>Rebecca Sjostrand</v>
          </cell>
          <cell r="I218">
            <v>702</v>
          </cell>
        </row>
        <row r="219">
          <cell r="E219">
            <v>4530</v>
          </cell>
          <cell r="F219" t="str">
            <v>Limit Fed</v>
          </cell>
          <cell r="G219" t="str">
            <v>Weight</v>
          </cell>
          <cell r="H219" t="str">
            <v>Rebecca Sjostrand</v>
          </cell>
          <cell r="I219">
            <v>536</v>
          </cell>
        </row>
        <row r="220">
          <cell r="E220">
            <v>4531</v>
          </cell>
          <cell r="F220" t="str">
            <v>Limit Fed</v>
          </cell>
          <cell r="G220" t="str">
            <v>Weight</v>
          </cell>
          <cell r="H220" t="str">
            <v>Rebecca Sjostrand</v>
          </cell>
          <cell r="I220">
            <v>636</v>
          </cell>
        </row>
        <row r="221">
          <cell r="E221">
            <v>4532</v>
          </cell>
          <cell r="F221" t="str">
            <v>Limit Fed</v>
          </cell>
          <cell r="G221" t="str">
            <v>Weight</v>
          </cell>
          <cell r="H221" t="str">
            <v>Rebecca Sjostrand</v>
          </cell>
          <cell r="I221">
            <v>546</v>
          </cell>
        </row>
        <row r="222">
          <cell r="E222">
            <v>4533</v>
          </cell>
          <cell r="F222" t="str">
            <v>Limit Fed</v>
          </cell>
          <cell r="G222" t="str">
            <v>Weight</v>
          </cell>
          <cell r="H222" t="str">
            <v>Rebecca Sjostrand</v>
          </cell>
          <cell r="I222">
            <v>544</v>
          </cell>
        </row>
        <row r="223">
          <cell r="E223">
            <v>4534</v>
          </cell>
          <cell r="F223" t="str">
            <v>Limit Fed</v>
          </cell>
          <cell r="G223" t="str">
            <v>Weight</v>
          </cell>
          <cell r="H223" t="str">
            <v>Rebecca Sjostrand</v>
          </cell>
          <cell r="I223">
            <v>692</v>
          </cell>
        </row>
        <row r="224">
          <cell r="E224">
            <v>4535</v>
          </cell>
          <cell r="F224" t="str">
            <v>Limit Fed</v>
          </cell>
          <cell r="G224" t="str">
            <v>Weight</v>
          </cell>
          <cell r="H224" t="str">
            <v>Rebecca Sjostrand</v>
          </cell>
          <cell r="I224">
            <v>594</v>
          </cell>
        </row>
        <row r="225">
          <cell r="E225">
            <v>4536</v>
          </cell>
          <cell r="F225" t="str">
            <v>Limit Fed</v>
          </cell>
          <cell r="G225" t="str">
            <v>Weight</v>
          </cell>
          <cell r="H225" t="str">
            <v>Rebecca Sjostrand</v>
          </cell>
          <cell r="I225">
            <v>670</v>
          </cell>
        </row>
        <row r="226">
          <cell r="E226">
            <v>4537</v>
          </cell>
          <cell r="F226" t="str">
            <v>Limit Fed</v>
          </cell>
          <cell r="G226" t="str">
            <v>Weight</v>
          </cell>
          <cell r="H226" t="str">
            <v>Rebecca Sjostrand</v>
          </cell>
          <cell r="I226">
            <v>612</v>
          </cell>
        </row>
        <row r="227">
          <cell r="E227">
            <v>4538</v>
          </cell>
          <cell r="F227" t="str">
            <v>Limit Fed</v>
          </cell>
          <cell r="G227" t="str">
            <v>Weight</v>
          </cell>
          <cell r="H227" t="str">
            <v>Rebecca Sjostrand</v>
          </cell>
          <cell r="I227">
            <v>702</v>
          </cell>
        </row>
        <row r="228">
          <cell r="E228">
            <v>4539</v>
          </cell>
          <cell r="F228" t="str">
            <v>Limit Fed</v>
          </cell>
          <cell r="G228" t="str">
            <v>Weight</v>
          </cell>
          <cell r="H228" t="str">
            <v>Rebecca Sjostrand</v>
          </cell>
          <cell r="I228">
            <v>744</v>
          </cell>
        </row>
        <row r="229">
          <cell r="E229">
            <v>4540</v>
          </cell>
          <cell r="F229" t="str">
            <v>Limit Fed</v>
          </cell>
          <cell r="G229" t="str">
            <v>Weight</v>
          </cell>
          <cell r="H229" t="str">
            <v>Rebecca Sjostrand</v>
          </cell>
          <cell r="I229">
            <v>610</v>
          </cell>
        </row>
        <row r="230">
          <cell r="E230">
            <v>4541</v>
          </cell>
          <cell r="F230" t="str">
            <v>Limit Fed</v>
          </cell>
          <cell r="G230" t="str">
            <v>Weight</v>
          </cell>
          <cell r="H230" t="str">
            <v>Rebecca Sjostrand</v>
          </cell>
          <cell r="I230">
            <v>634</v>
          </cell>
        </row>
        <row r="231">
          <cell r="E231">
            <v>4542</v>
          </cell>
          <cell r="F231" t="str">
            <v>Limit Fed</v>
          </cell>
          <cell r="G231" t="str">
            <v>Weight</v>
          </cell>
          <cell r="H231" t="str">
            <v>Rebecca Sjostrand</v>
          </cell>
          <cell r="I231">
            <v>690</v>
          </cell>
        </row>
        <row r="232">
          <cell r="E232">
            <v>4543</v>
          </cell>
          <cell r="F232" t="str">
            <v>Limit Fed</v>
          </cell>
          <cell r="G232" t="str">
            <v>Weight</v>
          </cell>
          <cell r="H232" t="str">
            <v>Rebecca Sjostrand</v>
          </cell>
          <cell r="I232">
            <v>632</v>
          </cell>
        </row>
        <row r="233">
          <cell r="E233">
            <v>4544</v>
          </cell>
          <cell r="F233" t="str">
            <v>Limit Fed</v>
          </cell>
          <cell r="G233" t="str">
            <v>Weight</v>
          </cell>
          <cell r="H233" t="str">
            <v>Rebecca Sjostrand</v>
          </cell>
          <cell r="I233">
            <v>514</v>
          </cell>
        </row>
        <row r="234">
          <cell r="E234">
            <v>4545</v>
          </cell>
          <cell r="F234" t="str">
            <v>Limit Fed</v>
          </cell>
          <cell r="G234" t="str">
            <v>Weight</v>
          </cell>
          <cell r="H234" t="str">
            <v>Rebecca Sjostrand</v>
          </cell>
          <cell r="I234">
            <v>574</v>
          </cell>
        </row>
        <row r="235">
          <cell r="E235">
            <v>4546</v>
          </cell>
          <cell r="F235" t="str">
            <v>Limit Fed</v>
          </cell>
          <cell r="G235" t="str">
            <v>Weight</v>
          </cell>
          <cell r="H235" t="str">
            <v>Rebecca Sjostrand</v>
          </cell>
          <cell r="I235">
            <v>576</v>
          </cell>
        </row>
        <row r="236">
          <cell r="E236">
            <v>4547</v>
          </cell>
          <cell r="F236" t="str">
            <v>Limit Fed</v>
          </cell>
          <cell r="G236" t="str">
            <v>Weight</v>
          </cell>
          <cell r="H236" t="str">
            <v>Rebecca Sjostrand</v>
          </cell>
          <cell r="I236">
            <v>624</v>
          </cell>
        </row>
        <row r="237">
          <cell r="E237">
            <v>4548</v>
          </cell>
          <cell r="F237" t="str">
            <v>Limit Fed</v>
          </cell>
          <cell r="G237" t="str">
            <v>Weight</v>
          </cell>
          <cell r="H237" t="str">
            <v>Rebecca Sjostrand</v>
          </cell>
          <cell r="I237">
            <v>614</v>
          </cell>
        </row>
        <row r="238">
          <cell r="E238">
            <v>4549</v>
          </cell>
          <cell r="F238" t="str">
            <v>Limit Fed</v>
          </cell>
          <cell r="G238" t="str">
            <v>Weight</v>
          </cell>
          <cell r="H238" t="str">
            <v>Rebecca Sjostrand</v>
          </cell>
          <cell r="I238">
            <v>580</v>
          </cell>
        </row>
        <row r="239">
          <cell r="E239">
            <v>4550</v>
          </cell>
          <cell r="F239" t="str">
            <v>Limit Fed</v>
          </cell>
          <cell r="G239" t="str">
            <v>Weight</v>
          </cell>
          <cell r="H239" t="str">
            <v>Rebecca Sjostrand</v>
          </cell>
          <cell r="I239">
            <v>612</v>
          </cell>
        </row>
        <row r="240">
          <cell r="E240">
            <v>4551</v>
          </cell>
          <cell r="F240" t="str">
            <v>Limit Fed</v>
          </cell>
          <cell r="G240" t="str">
            <v>Weight</v>
          </cell>
          <cell r="H240" t="str">
            <v>Rebecca Sjostrand</v>
          </cell>
          <cell r="I240">
            <v>500</v>
          </cell>
        </row>
        <row r="241">
          <cell r="E241">
            <v>4552</v>
          </cell>
          <cell r="F241" t="str">
            <v>Limit Fed</v>
          </cell>
          <cell r="G241" t="str">
            <v>Weight</v>
          </cell>
          <cell r="H241" t="str">
            <v>Rebecca Sjostrand</v>
          </cell>
          <cell r="I241">
            <v>684</v>
          </cell>
        </row>
        <row r="242">
          <cell r="E242">
            <v>4553</v>
          </cell>
          <cell r="F242" t="str">
            <v>Limit Fed</v>
          </cell>
          <cell r="G242" t="str">
            <v>Weight</v>
          </cell>
          <cell r="H242" t="str">
            <v>Rebecca Sjostrand</v>
          </cell>
          <cell r="I242">
            <v>508</v>
          </cell>
        </row>
        <row r="243">
          <cell r="E243">
            <v>4554</v>
          </cell>
          <cell r="F243" t="str">
            <v>Limit Fed</v>
          </cell>
          <cell r="G243" t="str">
            <v>Weight</v>
          </cell>
          <cell r="H243" t="str">
            <v>Rebecca Sjostrand</v>
          </cell>
          <cell r="I243">
            <v>658</v>
          </cell>
        </row>
        <row r="244">
          <cell r="E244">
            <v>4555</v>
          </cell>
          <cell r="F244" t="str">
            <v>Limit Fed</v>
          </cell>
          <cell r="G244" t="str">
            <v>Weight</v>
          </cell>
          <cell r="H244" t="str">
            <v>Rebecca Sjostrand</v>
          </cell>
          <cell r="I244">
            <v>690</v>
          </cell>
        </row>
        <row r="245">
          <cell r="E245">
            <v>4556</v>
          </cell>
          <cell r="F245" t="str">
            <v>Limit Fed</v>
          </cell>
          <cell r="G245" t="str">
            <v>Weight</v>
          </cell>
          <cell r="H245" t="str">
            <v>Rebecca Sjostrand</v>
          </cell>
          <cell r="I245">
            <v>624</v>
          </cell>
        </row>
        <row r="246">
          <cell r="E246">
            <v>4557</v>
          </cell>
          <cell r="F246" t="str">
            <v>Limit Fed</v>
          </cell>
          <cell r="G246" t="str">
            <v>Weight</v>
          </cell>
          <cell r="H246" t="str">
            <v>Rebecca Sjostrand</v>
          </cell>
          <cell r="I246">
            <v>560</v>
          </cell>
        </row>
        <row r="247">
          <cell r="E247">
            <v>4558</v>
          </cell>
          <cell r="F247" t="str">
            <v>Limit Fed</v>
          </cell>
          <cell r="G247" t="str">
            <v>Weight</v>
          </cell>
          <cell r="H247" t="str">
            <v>Rebecca Sjostrand</v>
          </cell>
          <cell r="I247">
            <v>544</v>
          </cell>
        </row>
        <row r="248">
          <cell r="E248">
            <v>4559</v>
          </cell>
          <cell r="F248" t="str">
            <v>Limit Fed</v>
          </cell>
          <cell r="G248" t="str">
            <v>Weight</v>
          </cell>
          <cell r="H248" t="str">
            <v>Rebecca Sjostrand</v>
          </cell>
          <cell r="I248">
            <v>620</v>
          </cell>
        </row>
        <row r="249">
          <cell r="E249">
            <v>4560</v>
          </cell>
          <cell r="F249" t="str">
            <v>Limit Fed</v>
          </cell>
          <cell r="G249" t="str">
            <v>Weight</v>
          </cell>
          <cell r="H249" t="str">
            <v>Rebecca Sjostrand</v>
          </cell>
          <cell r="I249">
            <v>614</v>
          </cell>
        </row>
        <row r="250">
          <cell r="E250">
            <v>4561</v>
          </cell>
          <cell r="F250" t="str">
            <v>Limit Fed</v>
          </cell>
          <cell r="G250" t="str">
            <v>Weight</v>
          </cell>
          <cell r="H250" t="str">
            <v>Rebecca Sjostrand</v>
          </cell>
          <cell r="I250">
            <v>550</v>
          </cell>
        </row>
        <row r="251">
          <cell r="E251">
            <v>4562</v>
          </cell>
          <cell r="F251" t="str">
            <v>Limit Fed</v>
          </cell>
          <cell r="G251" t="str">
            <v>Weight</v>
          </cell>
          <cell r="H251" t="str">
            <v>Rebecca Sjostrand</v>
          </cell>
          <cell r="I251">
            <v>684</v>
          </cell>
        </row>
        <row r="252">
          <cell r="E252">
            <v>4563</v>
          </cell>
          <cell r="F252" t="str">
            <v>Limit Fed</v>
          </cell>
          <cell r="G252" t="str">
            <v>Weight</v>
          </cell>
          <cell r="H252" t="str">
            <v>Rebecca Sjostrand</v>
          </cell>
          <cell r="I252">
            <v>632</v>
          </cell>
        </row>
        <row r="253">
          <cell r="E253">
            <v>4564</v>
          </cell>
          <cell r="F253" t="str">
            <v>Limit Fed</v>
          </cell>
          <cell r="G253" t="str">
            <v>Weight</v>
          </cell>
          <cell r="H253" t="str">
            <v>Rebecca Sjostrand</v>
          </cell>
          <cell r="I253">
            <v>664</v>
          </cell>
        </row>
        <row r="254">
          <cell r="E254">
            <v>4565</v>
          </cell>
          <cell r="F254" t="str">
            <v>Limit Fed</v>
          </cell>
          <cell r="G254" t="str">
            <v>Weight</v>
          </cell>
          <cell r="H254" t="str">
            <v>Rebecca Sjostrand</v>
          </cell>
          <cell r="I254">
            <v>572</v>
          </cell>
        </row>
        <row r="255">
          <cell r="E255">
            <v>4566</v>
          </cell>
          <cell r="F255" t="str">
            <v>Limit Fed</v>
          </cell>
          <cell r="G255" t="str">
            <v>Weight</v>
          </cell>
          <cell r="H255" t="str">
            <v>Rebecca Sjostrand</v>
          </cell>
          <cell r="I255">
            <v>678</v>
          </cell>
        </row>
        <row r="256">
          <cell r="E256">
            <v>4567</v>
          </cell>
          <cell r="F256" t="str">
            <v>Limit Fed</v>
          </cell>
          <cell r="G256" t="str">
            <v>Weight</v>
          </cell>
          <cell r="H256" t="str">
            <v>Rebecca Sjostrand</v>
          </cell>
          <cell r="I256">
            <v>706</v>
          </cell>
        </row>
        <row r="257">
          <cell r="E257">
            <v>4568</v>
          </cell>
          <cell r="F257" t="str">
            <v>Limit Fed</v>
          </cell>
          <cell r="G257" t="str">
            <v>Weight</v>
          </cell>
          <cell r="H257" t="str">
            <v>Rebecca Sjostrand</v>
          </cell>
          <cell r="I257">
            <v>686</v>
          </cell>
        </row>
        <row r="258">
          <cell r="E258">
            <v>4569</v>
          </cell>
          <cell r="F258" t="str">
            <v>Limit Fed</v>
          </cell>
          <cell r="G258" t="str">
            <v>Weight</v>
          </cell>
          <cell r="H258" t="str">
            <v>Rebecca Sjostrand</v>
          </cell>
          <cell r="I258">
            <v>694</v>
          </cell>
        </row>
        <row r="259">
          <cell r="E259">
            <v>4570</v>
          </cell>
          <cell r="F259" t="str">
            <v>Limit Fed</v>
          </cell>
          <cell r="G259" t="str">
            <v>Weight</v>
          </cell>
          <cell r="H259" t="str">
            <v>Rebecca Sjostrand</v>
          </cell>
          <cell r="I259">
            <v>686</v>
          </cell>
        </row>
        <row r="260">
          <cell r="E260">
            <v>4571</v>
          </cell>
          <cell r="F260" t="str">
            <v>Limit Fed</v>
          </cell>
          <cell r="G260" t="str">
            <v>Weight</v>
          </cell>
          <cell r="H260" t="str">
            <v>Rebecca Sjostrand</v>
          </cell>
          <cell r="I260">
            <v>700</v>
          </cell>
        </row>
        <row r="261">
          <cell r="E261">
            <v>4572</v>
          </cell>
          <cell r="F261" t="str">
            <v>Limit Fed</v>
          </cell>
          <cell r="G261" t="str">
            <v>Weight</v>
          </cell>
          <cell r="H261" t="str">
            <v>Rebecca Sjostrand</v>
          </cell>
          <cell r="I261">
            <v>576</v>
          </cell>
        </row>
        <row r="262">
          <cell r="E262">
            <v>4573</v>
          </cell>
          <cell r="F262" t="str">
            <v>Limit Fed</v>
          </cell>
          <cell r="G262" t="str">
            <v>Weight</v>
          </cell>
          <cell r="H262" t="str">
            <v>Rebecca Sjostrand</v>
          </cell>
          <cell r="I262">
            <v>650</v>
          </cell>
        </row>
        <row r="263">
          <cell r="E263">
            <v>4574</v>
          </cell>
          <cell r="F263" t="str">
            <v>Limit Fed</v>
          </cell>
          <cell r="G263" t="str">
            <v>Weight</v>
          </cell>
          <cell r="H263" t="str">
            <v>Rebecca Sjostrand</v>
          </cell>
          <cell r="I263">
            <v>636</v>
          </cell>
        </row>
        <row r="264">
          <cell r="E264">
            <v>4575</v>
          </cell>
          <cell r="F264" t="str">
            <v>Limit Fed</v>
          </cell>
          <cell r="G264" t="str">
            <v>Weight</v>
          </cell>
          <cell r="H264" t="str">
            <v>Rebecca Sjostrand</v>
          </cell>
          <cell r="I264">
            <v>608</v>
          </cell>
        </row>
        <row r="265">
          <cell r="E265">
            <v>4576</v>
          </cell>
          <cell r="F265" t="str">
            <v>Limit Fed</v>
          </cell>
          <cell r="G265" t="str">
            <v>Weight</v>
          </cell>
          <cell r="H265" t="str">
            <v>Rebecca Sjostrand</v>
          </cell>
          <cell r="I265">
            <v>602</v>
          </cell>
        </row>
        <row r="266">
          <cell r="E266">
            <v>4577</v>
          </cell>
          <cell r="F266" t="str">
            <v>Limit Fed</v>
          </cell>
          <cell r="G266" t="str">
            <v>Weight</v>
          </cell>
          <cell r="H266" t="str">
            <v>Rebecca Sjostrand</v>
          </cell>
          <cell r="I266">
            <v>530</v>
          </cell>
        </row>
        <row r="267">
          <cell r="E267">
            <v>4578</v>
          </cell>
          <cell r="F267" t="str">
            <v>Limit Fed</v>
          </cell>
          <cell r="G267" t="str">
            <v>Weight</v>
          </cell>
          <cell r="H267" t="str">
            <v>Rebecca Sjostrand</v>
          </cell>
          <cell r="I267">
            <v>574</v>
          </cell>
        </row>
        <row r="268">
          <cell r="E268">
            <v>4579</v>
          </cell>
          <cell r="F268" t="str">
            <v>Limit Fed</v>
          </cell>
          <cell r="G268" t="str">
            <v>Weight</v>
          </cell>
          <cell r="H268" t="str">
            <v>Rebecca Sjostrand</v>
          </cell>
          <cell r="I268">
            <v>630</v>
          </cell>
        </row>
        <row r="269">
          <cell r="E269">
            <v>4580</v>
          </cell>
          <cell r="F269" t="str">
            <v>Limit Fed</v>
          </cell>
          <cell r="G269" t="str">
            <v>Weight</v>
          </cell>
          <cell r="H269" t="str">
            <v>Rebecca Sjostrand</v>
          </cell>
          <cell r="I269">
            <v>714</v>
          </cell>
        </row>
        <row r="270">
          <cell r="E270">
            <v>4581</v>
          </cell>
          <cell r="F270" t="str">
            <v>Limit Fed</v>
          </cell>
          <cell r="G270" t="str">
            <v>Weight</v>
          </cell>
          <cell r="H270" t="str">
            <v>Rebecca Sjostrand</v>
          </cell>
          <cell r="I270">
            <v>514</v>
          </cell>
        </row>
        <row r="271">
          <cell r="E271">
            <v>4582</v>
          </cell>
          <cell r="F271" t="str">
            <v>Limit Fed</v>
          </cell>
          <cell r="G271" t="str">
            <v>Weight</v>
          </cell>
          <cell r="H271" t="str">
            <v>Rebecca Sjostrand</v>
          </cell>
          <cell r="I271">
            <v>670</v>
          </cell>
        </row>
        <row r="272">
          <cell r="E272">
            <v>4583</v>
          </cell>
          <cell r="F272" t="str">
            <v>Limit Fed</v>
          </cell>
          <cell r="G272" t="str">
            <v>Weight</v>
          </cell>
          <cell r="H272" t="str">
            <v>Rebecca Sjostrand</v>
          </cell>
          <cell r="I272">
            <v>576</v>
          </cell>
        </row>
        <row r="273">
          <cell r="E273">
            <v>4584</v>
          </cell>
          <cell r="F273" t="str">
            <v>Limit Fed</v>
          </cell>
          <cell r="G273" t="str">
            <v>Weight</v>
          </cell>
          <cell r="H273" t="str">
            <v>Rebecca Sjostrand</v>
          </cell>
          <cell r="I273">
            <v>652</v>
          </cell>
        </row>
        <row r="274">
          <cell r="E274">
            <v>4585</v>
          </cell>
          <cell r="F274" t="str">
            <v>Limit Fed</v>
          </cell>
          <cell r="G274" t="str">
            <v>Weight</v>
          </cell>
          <cell r="H274" t="str">
            <v>Rebecca Sjostrand</v>
          </cell>
          <cell r="I274">
            <v>670</v>
          </cell>
        </row>
        <row r="275">
          <cell r="E275">
            <v>4586</v>
          </cell>
          <cell r="F275" t="str">
            <v>Limit Fed</v>
          </cell>
          <cell r="G275" t="str">
            <v>Weight</v>
          </cell>
          <cell r="H275" t="str">
            <v>Rebecca Sjostrand</v>
          </cell>
          <cell r="I275">
            <v>614</v>
          </cell>
        </row>
        <row r="276">
          <cell r="E276">
            <v>4587</v>
          </cell>
          <cell r="F276" t="str">
            <v>Limit Fed</v>
          </cell>
          <cell r="G276" t="str">
            <v>Weight</v>
          </cell>
          <cell r="H276" t="str">
            <v>Rebecca Sjostrand</v>
          </cell>
          <cell r="I276">
            <v>638</v>
          </cell>
        </row>
        <row r="277">
          <cell r="E277">
            <v>4588</v>
          </cell>
          <cell r="F277" t="str">
            <v>Limit Fed</v>
          </cell>
          <cell r="G277" t="str">
            <v>Weight</v>
          </cell>
          <cell r="H277" t="str">
            <v>Rebecca Sjostrand</v>
          </cell>
          <cell r="I277">
            <v>688</v>
          </cell>
        </row>
        <row r="278">
          <cell r="E278">
            <v>4589</v>
          </cell>
          <cell r="F278" t="str">
            <v>Limit Fed</v>
          </cell>
          <cell r="G278" t="str">
            <v>Weight</v>
          </cell>
          <cell r="H278" t="str">
            <v>Rebecca Sjostrand</v>
          </cell>
          <cell r="I278">
            <v>614</v>
          </cell>
        </row>
        <row r="279">
          <cell r="E279">
            <v>4590</v>
          </cell>
          <cell r="F279" t="str">
            <v>Limit Fed</v>
          </cell>
          <cell r="G279" t="str">
            <v>Weight</v>
          </cell>
          <cell r="H279" t="str">
            <v>Rebecca Sjostrand</v>
          </cell>
          <cell r="I279">
            <v>650</v>
          </cell>
        </row>
        <row r="280">
          <cell r="E280">
            <v>4591</v>
          </cell>
          <cell r="F280" t="str">
            <v>Limit Fed</v>
          </cell>
          <cell r="G280" t="str">
            <v>Weight</v>
          </cell>
          <cell r="H280" t="str">
            <v>Rebecca Sjostrand</v>
          </cell>
          <cell r="I280">
            <v>528</v>
          </cell>
        </row>
        <row r="281">
          <cell r="E281">
            <v>4592</v>
          </cell>
          <cell r="F281" t="str">
            <v>Limit Fed</v>
          </cell>
          <cell r="G281" t="str">
            <v>Weight</v>
          </cell>
          <cell r="H281" t="str">
            <v>Rebecca Sjostrand</v>
          </cell>
          <cell r="I281">
            <v>624</v>
          </cell>
        </row>
        <row r="282">
          <cell r="E282">
            <v>4593</v>
          </cell>
          <cell r="F282" t="str">
            <v>Limit Fed</v>
          </cell>
          <cell r="G282" t="str">
            <v>Weight</v>
          </cell>
          <cell r="H282" t="str">
            <v>Rebecca Sjostrand</v>
          </cell>
          <cell r="I282">
            <v>598</v>
          </cell>
        </row>
        <row r="283">
          <cell r="E283">
            <v>4594</v>
          </cell>
          <cell r="F283" t="str">
            <v>Limit Fed</v>
          </cell>
          <cell r="G283" t="str">
            <v>Weight</v>
          </cell>
          <cell r="H283" t="str">
            <v>Rebecca Sjostrand</v>
          </cell>
          <cell r="I283">
            <v>552</v>
          </cell>
        </row>
        <row r="284">
          <cell r="E284">
            <v>4595</v>
          </cell>
          <cell r="F284" t="str">
            <v>Limit Fed</v>
          </cell>
          <cell r="G284" t="str">
            <v>Weight</v>
          </cell>
          <cell r="H284" t="str">
            <v>Rebecca Sjostrand</v>
          </cell>
          <cell r="I284">
            <v>650</v>
          </cell>
        </row>
        <row r="285">
          <cell r="E285">
            <v>4596</v>
          </cell>
          <cell r="F285" t="str">
            <v>Limit Fed</v>
          </cell>
          <cell r="G285" t="str">
            <v>Weight</v>
          </cell>
          <cell r="H285" t="str">
            <v>Rebecca Sjostrand</v>
          </cell>
          <cell r="I285">
            <v>656</v>
          </cell>
        </row>
        <row r="286">
          <cell r="E286">
            <v>4597</v>
          </cell>
          <cell r="F286" t="str">
            <v>Limit Fed</v>
          </cell>
          <cell r="G286" t="str">
            <v>Weight</v>
          </cell>
          <cell r="H286" t="str">
            <v>Rebecca Sjostrand</v>
          </cell>
          <cell r="I286">
            <v>620</v>
          </cell>
        </row>
        <row r="287">
          <cell r="E287">
            <v>4598</v>
          </cell>
          <cell r="F287" t="str">
            <v>Limit Fed</v>
          </cell>
          <cell r="G287" t="str">
            <v>Weight</v>
          </cell>
          <cell r="H287" t="str">
            <v>Rebecca Sjostrand</v>
          </cell>
          <cell r="I287">
            <v>630</v>
          </cell>
        </row>
        <row r="288">
          <cell r="E288">
            <v>4599</v>
          </cell>
          <cell r="F288" t="str">
            <v>Limit Fed</v>
          </cell>
          <cell r="G288" t="str">
            <v>Weight</v>
          </cell>
          <cell r="H288" t="str">
            <v>Rebecca Sjostrand</v>
          </cell>
          <cell r="I288">
            <v>556</v>
          </cell>
        </row>
        <row r="289">
          <cell r="E289">
            <v>4600</v>
          </cell>
          <cell r="F289" t="str">
            <v>Limit Fed</v>
          </cell>
          <cell r="G289" t="str">
            <v>Weight</v>
          </cell>
          <cell r="H289" t="str">
            <v>Rebecca Sjostrand</v>
          </cell>
          <cell r="I289">
            <v>592</v>
          </cell>
        </row>
        <row r="290">
          <cell r="E290">
            <v>4601</v>
          </cell>
          <cell r="F290" t="str">
            <v>Limit Fed</v>
          </cell>
          <cell r="G290" t="str">
            <v>Weight</v>
          </cell>
          <cell r="H290" t="str">
            <v>Rebecca Sjostrand</v>
          </cell>
          <cell r="I290">
            <v>682</v>
          </cell>
        </row>
        <row r="291">
          <cell r="E291">
            <v>4602</v>
          </cell>
          <cell r="F291" t="str">
            <v>Limit Fed</v>
          </cell>
          <cell r="G291" t="str">
            <v>Weight</v>
          </cell>
          <cell r="H291" t="str">
            <v>Rebecca Sjostrand</v>
          </cell>
          <cell r="I291">
            <v>582</v>
          </cell>
        </row>
        <row r="292">
          <cell r="E292">
            <v>4603</v>
          </cell>
          <cell r="F292" t="str">
            <v>Limit Fed</v>
          </cell>
          <cell r="G292" t="str">
            <v>Weight</v>
          </cell>
          <cell r="H292" t="str">
            <v>Rebecca Sjostrand</v>
          </cell>
          <cell r="I292">
            <v>570</v>
          </cell>
        </row>
        <row r="293">
          <cell r="E293">
            <v>4604</v>
          </cell>
          <cell r="F293" t="str">
            <v>Limit Fed</v>
          </cell>
          <cell r="G293" t="str">
            <v>Weight</v>
          </cell>
          <cell r="H293" t="str">
            <v>Rebecca Sjostrand</v>
          </cell>
          <cell r="I293">
            <v>630</v>
          </cell>
        </row>
        <row r="294">
          <cell r="E294">
            <v>4605</v>
          </cell>
          <cell r="F294" t="str">
            <v>Limit Fed</v>
          </cell>
          <cell r="G294" t="str">
            <v>Weight</v>
          </cell>
          <cell r="H294" t="str">
            <v>Rebecca Sjostrand</v>
          </cell>
          <cell r="I294">
            <v>558</v>
          </cell>
        </row>
        <row r="295">
          <cell r="E295">
            <v>4606</v>
          </cell>
          <cell r="F295" t="str">
            <v>Limit Fed</v>
          </cell>
          <cell r="G295" t="str">
            <v>Weight</v>
          </cell>
          <cell r="H295" t="str">
            <v>Rebecca Sjostrand</v>
          </cell>
          <cell r="I295">
            <v>740</v>
          </cell>
        </row>
        <row r="296">
          <cell r="E296">
            <v>4607</v>
          </cell>
          <cell r="F296" t="str">
            <v>Limit Fed</v>
          </cell>
          <cell r="G296" t="str">
            <v>Weight</v>
          </cell>
          <cell r="H296" t="str">
            <v>Rebecca Sjostrand</v>
          </cell>
          <cell r="I296">
            <v>646</v>
          </cell>
        </row>
        <row r="297">
          <cell r="E297">
            <v>4608</v>
          </cell>
          <cell r="F297" t="str">
            <v>Limit Fed</v>
          </cell>
          <cell r="G297" t="str">
            <v>Weight</v>
          </cell>
          <cell r="H297" t="str">
            <v>Rebecca Sjostrand</v>
          </cell>
          <cell r="I297">
            <v>628</v>
          </cell>
        </row>
        <row r="298">
          <cell r="E298">
            <v>4609</v>
          </cell>
          <cell r="F298" t="str">
            <v>Limit Fed</v>
          </cell>
          <cell r="G298" t="str">
            <v>Weight</v>
          </cell>
          <cell r="H298" t="str">
            <v>Rebecca Sjostrand</v>
          </cell>
          <cell r="I298">
            <v>680</v>
          </cell>
        </row>
        <row r="299">
          <cell r="E299">
            <v>4610</v>
          </cell>
          <cell r="F299" t="str">
            <v>Limit Fed</v>
          </cell>
          <cell r="G299" t="str">
            <v>Weight</v>
          </cell>
          <cell r="H299" t="str">
            <v>Rebecca Sjostrand</v>
          </cell>
          <cell r="I299">
            <v>614</v>
          </cell>
        </row>
        <row r="300">
          <cell r="E300">
            <v>4611</v>
          </cell>
          <cell r="F300" t="str">
            <v>Limit Fed</v>
          </cell>
          <cell r="G300" t="str">
            <v>Weight</v>
          </cell>
          <cell r="H300" t="str">
            <v>Rebecca Sjostrand</v>
          </cell>
          <cell r="I300">
            <v>600</v>
          </cell>
        </row>
        <row r="301">
          <cell r="E301">
            <v>4612</v>
          </cell>
          <cell r="F301" t="str">
            <v>Limit Fed</v>
          </cell>
          <cell r="G301" t="str">
            <v>Weight</v>
          </cell>
          <cell r="H301" t="str">
            <v>Rebecca Sjostrand</v>
          </cell>
          <cell r="I301">
            <v>586</v>
          </cell>
        </row>
        <row r="302">
          <cell r="E302">
            <v>4613</v>
          </cell>
          <cell r="F302" t="str">
            <v>Limit Fed</v>
          </cell>
          <cell r="G302" t="str">
            <v>Weight</v>
          </cell>
          <cell r="H302" t="str">
            <v>Rebecca Sjostrand</v>
          </cell>
          <cell r="I302">
            <v>580</v>
          </cell>
        </row>
        <row r="303">
          <cell r="E303">
            <v>4614</v>
          </cell>
          <cell r="F303" t="str">
            <v>Limit Fed</v>
          </cell>
          <cell r="G303" t="str">
            <v>Weight</v>
          </cell>
          <cell r="H303" t="str">
            <v>Rebecca Sjostrand</v>
          </cell>
          <cell r="I303">
            <v>602</v>
          </cell>
        </row>
        <row r="304">
          <cell r="E304">
            <v>4615</v>
          </cell>
          <cell r="F304" t="str">
            <v>Limit Fed</v>
          </cell>
          <cell r="G304" t="str">
            <v>Weight</v>
          </cell>
          <cell r="H304" t="str">
            <v>Rebecca Sjostrand</v>
          </cell>
          <cell r="I304">
            <v>664</v>
          </cell>
        </row>
        <row r="305">
          <cell r="E305">
            <v>4616</v>
          </cell>
          <cell r="F305" t="str">
            <v>Limit Fed</v>
          </cell>
          <cell r="G305" t="str">
            <v>Weight</v>
          </cell>
          <cell r="H305" t="str">
            <v>Rebecca Sjostrand</v>
          </cell>
          <cell r="I305">
            <v>716</v>
          </cell>
        </row>
        <row r="306">
          <cell r="E306">
            <v>4617</v>
          </cell>
          <cell r="F306" t="str">
            <v>Limit Fed</v>
          </cell>
          <cell r="G306" t="str">
            <v>Weight</v>
          </cell>
          <cell r="H306" t="str">
            <v>Rebecca Sjostrand</v>
          </cell>
          <cell r="I306">
            <v>618</v>
          </cell>
        </row>
        <row r="307">
          <cell r="E307">
            <v>4618</v>
          </cell>
          <cell r="F307" t="str">
            <v>Limit Fed</v>
          </cell>
          <cell r="G307" t="str">
            <v>Weight</v>
          </cell>
          <cell r="H307" t="str">
            <v>Rebecca Sjostrand</v>
          </cell>
          <cell r="I307">
            <v>658</v>
          </cell>
        </row>
        <row r="308">
          <cell r="E308">
            <v>4619</v>
          </cell>
          <cell r="F308" t="str">
            <v>Limit Fed</v>
          </cell>
          <cell r="G308" t="str">
            <v>Weight</v>
          </cell>
          <cell r="H308" t="str">
            <v>Rebecca Sjostrand</v>
          </cell>
          <cell r="I308">
            <v>640</v>
          </cell>
        </row>
        <row r="309">
          <cell r="E309">
            <v>4620</v>
          </cell>
          <cell r="F309" t="str">
            <v>Limit Fed</v>
          </cell>
          <cell r="G309" t="str">
            <v>Weight</v>
          </cell>
          <cell r="H309" t="str">
            <v>Rebecca Sjostrand</v>
          </cell>
          <cell r="I309">
            <v>674</v>
          </cell>
        </row>
        <row r="310">
          <cell r="E310">
            <v>4621</v>
          </cell>
          <cell r="F310" t="str">
            <v>Limit Fed</v>
          </cell>
          <cell r="G310" t="str">
            <v>Weight</v>
          </cell>
          <cell r="H310" t="str">
            <v>Rebecca Sjostrand</v>
          </cell>
          <cell r="I310">
            <v>608</v>
          </cell>
        </row>
        <row r="311">
          <cell r="E311">
            <v>4622</v>
          </cell>
          <cell r="F311" t="str">
            <v>Limit Fed</v>
          </cell>
          <cell r="G311" t="str">
            <v>Weight</v>
          </cell>
          <cell r="H311" t="str">
            <v>Rebecca Sjostrand</v>
          </cell>
          <cell r="I311">
            <v>618</v>
          </cell>
        </row>
        <row r="312">
          <cell r="E312">
            <v>4623</v>
          </cell>
          <cell r="F312" t="str">
            <v>Limit Fed</v>
          </cell>
          <cell r="G312" t="str">
            <v>Weight</v>
          </cell>
          <cell r="H312" t="str">
            <v>Rebecca Sjostrand</v>
          </cell>
          <cell r="I312">
            <v>532</v>
          </cell>
        </row>
        <row r="313">
          <cell r="E313">
            <v>4624</v>
          </cell>
          <cell r="F313" t="str">
            <v>Limit Fed</v>
          </cell>
          <cell r="G313" t="str">
            <v>Weight</v>
          </cell>
          <cell r="H313" t="str">
            <v>Rebecca Sjostrand</v>
          </cell>
          <cell r="I313">
            <v>674</v>
          </cell>
        </row>
        <row r="314">
          <cell r="E314">
            <v>4625</v>
          </cell>
          <cell r="F314" t="str">
            <v>Limit Fed</v>
          </cell>
          <cell r="G314" t="str">
            <v>Weight</v>
          </cell>
          <cell r="H314" t="str">
            <v>Rebecca Sjostrand</v>
          </cell>
          <cell r="I314">
            <v>720</v>
          </cell>
        </row>
        <row r="315">
          <cell r="E315">
            <v>4626</v>
          </cell>
          <cell r="F315" t="str">
            <v>Limit Fed</v>
          </cell>
          <cell r="G315" t="str">
            <v>Weight</v>
          </cell>
          <cell r="H315" t="str">
            <v>Rebecca Sjostrand</v>
          </cell>
          <cell r="I315">
            <v>688</v>
          </cell>
        </row>
        <row r="316">
          <cell r="E316">
            <v>4627</v>
          </cell>
          <cell r="F316" t="str">
            <v>Limit Fed</v>
          </cell>
          <cell r="G316" t="str">
            <v>Weight</v>
          </cell>
          <cell r="H316" t="str">
            <v>Rebecca Sjostrand</v>
          </cell>
          <cell r="I316">
            <v>728</v>
          </cell>
        </row>
        <row r="317">
          <cell r="E317">
            <v>4628</v>
          </cell>
          <cell r="F317" t="str">
            <v>Limit Fed</v>
          </cell>
          <cell r="G317" t="str">
            <v>Weight</v>
          </cell>
          <cell r="H317" t="str">
            <v>Rebecca Sjostrand</v>
          </cell>
          <cell r="I317">
            <v>568</v>
          </cell>
        </row>
        <row r="318">
          <cell r="E318">
            <v>4629</v>
          </cell>
          <cell r="F318" t="str">
            <v>Limit Fed</v>
          </cell>
          <cell r="G318" t="str">
            <v>Weight</v>
          </cell>
          <cell r="H318" t="str">
            <v>Rebecca Sjostrand</v>
          </cell>
          <cell r="I318">
            <v>682</v>
          </cell>
        </row>
        <row r="319">
          <cell r="E319">
            <v>4630</v>
          </cell>
          <cell r="F319" t="str">
            <v>Limit Fed</v>
          </cell>
          <cell r="G319" t="str">
            <v>Weight</v>
          </cell>
          <cell r="H319" t="str">
            <v>Rebecca Sjostrand</v>
          </cell>
          <cell r="I319">
            <v>638</v>
          </cell>
        </row>
        <row r="320">
          <cell r="E320">
            <v>4631</v>
          </cell>
          <cell r="F320" t="str">
            <v>Limit Fed</v>
          </cell>
          <cell r="G320" t="str">
            <v>Weight</v>
          </cell>
          <cell r="H320" t="str">
            <v>Rebecca Sjostrand</v>
          </cell>
          <cell r="I320">
            <v>662</v>
          </cell>
        </row>
        <row r="321">
          <cell r="E321">
            <v>4632</v>
          </cell>
          <cell r="F321" t="str">
            <v>Limit Fed</v>
          </cell>
          <cell r="G321" t="str">
            <v>Weight</v>
          </cell>
          <cell r="H321" t="str">
            <v>Rebecca Sjostrand</v>
          </cell>
          <cell r="I321">
            <v>650</v>
          </cell>
        </row>
        <row r="322">
          <cell r="E322">
            <v>4633</v>
          </cell>
          <cell r="F322" t="str">
            <v>Limit Fed</v>
          </cell>
          <cell r="G322" t="str">
            <v>Weight</v>
          </cell>
          <cell r="H322" t="str">
            <v>Rebecca Sjostrand</v>
          </cell>
          <cell r="I322">
            <v>650</v>
          </cell>
        </row>
        <row r="323">
          <cell r="E323">
            <v>4634</v>
          </cell>
          <cell r="F323" t="str">
            <v>Limit Fed</v>
          </cell>
          <cell r="G323" t="str">
            <v>Weight</v>
          </cell>
          <cell r="H323" t="str">
            <v>Rebecca Sjostrand</v>
          </cell>
          <cell r="I323">
            <v>596</v>
          </cell>
        </row>
        <row r="324">
          <cell r="E324">
            <v>4635</v>
          </cell>
          <cell r="F324" t="str">
            <v>Limit Fed</v>
          </cell>
          <cell r="G324" t="str">
            <v>Weight</v>
          </cell>
          <cell r="H324" t="str">
            <v>Rebecca Sjostrand</v>
          </cell>
          <cell r="I324">
            <v>730</v>
          </cell>
        </row>
        <row r="325">
          <cell r="E325">
            <v>4636</v>
          </cell>
          <cell r="F325" t="str">
            <v>Limit Fed</v>
          </cell>
          <cell r="G325" t="str">
            <v>Weight</v>
          </cell>
          <cell r="H325" t="str">
            <v>Rebecca Sjostrand</v>
          </cell>
          <cell r="I325">
            <v>598</v>
          </cell>
        </row>
        <row r="326">
          <cell r="E326">
            <v>4637</v>
          </cell>
          <cell r="F326" t="str">
            <v>Limit Fed</v>
          </cell>
          <cell r="G326" t="str">
            <v>Weight</v>
          </cell>
          <cell r="H326" t="str">
            <v>Rebecca Sjostrand</v>
          </cell>
          <cell r="I326">
            <v>568</v>
          </cell>
        </row>
        <row r="327">
          <cell r="E327">
            <v>4638</v>
          </cell>
          <cell r="F327" t="str">
            <v>Limit Fed</v>
          </cell>
          <cell r="G327" t="str">
            <v>Weight</v>
          </cell>
          <cell r="H327" t="str">
            <v>Rebecca Sjostrand</v>
          </cell>
          <cell r="I327">
            <v>590</v>
          </cell>
        </row>
        <row r="328">
          <cell r="E328">
            <v>4639</v>
          </cell>
          <cell r="F328" t="str">
            <v>Limit Fed</v>
          </cell>
          <cell r="G328" t="str">
            <v>Weight</v>
          </cell>
          <cell r="H328" t="str">
            <v>Rebecca Sjostrand</v>
          </cell>
          <cell r="I328">
            <v>604</v>
          </cell>
        </row>
        <row r="329">
          <cell r="E329">
            <v>4640</v>
          </cell>
          <cell r="F329" t="str">
            <v>Limit Fed</v>
          </cell>
          <cell r="G329" t="str">
            <v>Weight</v>
          </cell>
          <cell r="H329" t="str">
            <v>Rebecca Sjostrand</v>
          </cell>
          <cell r="I329">
            <v>598</v>
          </cell>
        </row>
        <row r="330">
          <cell r="E330">
            <v>4641</v>
          </cell>
          <cell r="F330" t="str">
            <v>Limit Fed</v>
          </cell>
          <cell r="G330" t="str">
            <v>Weight</v>
          </cell>
          <cell r="H330" t="str">
            <v>Rebecca Sjostrand</v>
          </cell>
          <cell r="I330">
            <v>736</v>
          </cell>
        </row>
        <row r="331">
          <cell r="E331">
            <v>4642</v>
          </cell>
          <cell r="F331" t="str">
            <v>Limit Fed</v>
          </cell>
          <cell r="G331" t="str">
            <v>Weight</v>
          </cell>
          <cell r="H331" t="str">
            <v>Rebecca Sjostrand</v>
          </cell>
          <cell r="I331">
            <v>618</v>
          </cell>
        </row>
        <row r="332">
          <cell r="E332">
            <v>4643</v>
          </cell>
          <cell r="F332" t="str">
            <v>Limit Fed</v>
          </cell>
          <cell r="G332" t="str">
            <v>Weight</v>
          </cell>
          <cell r="H332" t="str">
            <v>Rebecca Sjostrand</v>
          </cell>
          <cell r="I332">
            <v>634</v>
          </cell>
        </row>
        <row r="333">
          <cell r="E333">
            <v>4644</v>
          </cell>
          <cell r="F333" t="str">
            <v>Limit Fed</v>
          </cell>
          <cell r="G333" t="str">
            <v>Weight</v>
          </cell>
          <cell r="H333" t="str">
            <v>Rebecca Sjostrand</v>
          </cell>
          <cell r="I333">
            <v>624</v>
          </cell>
        </row>
        <row r="334">
          <cell r="E334">
            <v>4645</v>
          </cell>
          <cell r="F334" t="str">
            <v>Limit Fed</v>
          </cell>
          <cell r="G334" t="str">
            <v>Weight</v>
          </cell>
          <cell r="H334" t="str">
            <v>Rebecca Sjostrand</v>
          </cell>
          <cell r="I334">
            <v>470</v>
          </cell>
        </row>
        <row r="335">
          <cell r="E335">
            <v>4646</v>
          </cell>
          <cell r="F335" t="str">
            <v>Limit Fed</v>
          </cell>
          <cell r="G335" t="str">
            <v>Weight</v>
          </cell>
          <cell r="H335" t="str">
            <v>Rebecca Sjostrand</v>
          </cell>
          <cell r="I335">
            <v>640</v>
          </cell>
        </row>
        <row r="336">
          <cell r="E336">
            <v>4647</v>
          </cell>
          <cell r="F336" t="str">
            <v>Limit Fed</v>
          </cell>
          <cell r="G336" t="str">
            <v>Weight</v>
          </cell>
          <cell r="H336" t="str">
            <v>Rebecca Sjostrand</v>
          </cell>
          <cell r="I336">
            <v>612</v>
          </cell>
        </row>
        <row r="337">
          <cell r="E337">
            <v>4648</v>
          </cell>
          <cell r="F337" t="str">
            <v>Limit Fed</v>
          </cell>
          <cell r="G337" t="str">
            <v>Weight</v>
          </cell>
          <cell r="H337" t="str">
            <v>Rebecca Sjostrand</v>
          </cell>
          <cell r="I337">
            <v>540</v>
          </cell>
        </row>
        <row r="338">
          <cell r="E338">
            <v>4649</v>
          </cell>
          <cell r="F338" t="str">
            <v>Limit Fed</v>
          </cell>
          <cell r="G338" t="str">
            <v>Weight</v>
          </cell>
          <cell r="H338" t="str">
            <v>Rebecca Sjostrand</v>
          </cell>
          <cell r="I338">
            <v>576</v>
          </cell>
        </row>
        <row r="339">
          <cell r="E339">
            <v>4650</v>
          </cell>
          <cell r="F339" t="str">
            <v>Limit Fed</v>
          </cell>
          <cell r="G339" t="str">
            <v>Weight</v>
          </cell>
          <cell r="H339" t="str">
            <v>Rebecca Sjostrand</v>
          </cell>
          <cell r="I339">
            <v>554</v>
          </cell>
        </row>
        <row r="340">
          <cell r="E340">
            <v>4651</v>
          </cell>
          <cell r="F340" t="str">
            <v>Limit Fed</v>
          </cell>
          <cell r="G340" t="str">
            <v>Weight</v>
          </cell>
          <cell r="H340" t="str">
            <v>Rebecca Sjostrand</v>
          </cell>
          <cell r="I340">
            <v>572</v>
          </cell>
        </row>
        <row r="341">
          <cell r="E341">
            <v>4652</v>
          </cell>
          <cell r="F341" t="str">
            <v>Limit Fed</v>
          </cell>
          <cell r="G341" t="str">
            <v>Weight</v>
          </cell>
          <cell r="H341" t="str">
            <v>Rebecca Sjostrand</v>
          </cell>
          <cell r="I341">
            <v>624</v>
          </cell>
        </row>
        <row r="342">
          <cell r="E342">
            <v>4653</v>
          </cell>
          <cell r="F342" t="str">
            <v>Limit Fed</v>
          </cell>
          <cell r="G342" t="str">
            <v>Weight</v>
          </cell>
          <cell r="H342" t="str">
            <v>Rebecca Sjostrand</v>
          </cell>
          <cell r="I342">
            <v>564</v>
          </cell>
        </row>
        <row r="343">
          <cell r="E343">
            <v>4654</v>
          </cell>
          <cell r="F343" t="str">
            <v>Limit Fed</v>
          </cell>
          <cell r="G343" t="str">
            <v>Weight</v>
          </cell>
          <cell r="H343" t="str">
            <v>Rebecca Sjostrand</v>
          </cell>
          <cell r="I343">
            <v>726</v>
          </cell>
        </row>
        <row r="344">
          <cell r="E344">
            <v>4655</v>
          </cell>
          <cell r="F344" t="str">
            <v>Limit Fed</v>
          </cell>
          <cell r="G344" t="str">
            <v>Weight</v>
          </cell>
          <cell r="H344" t="str">
            <v>Rebecca Sjostrand</v>
          </cell>
          <cell r="I344">
            <v>696</v>
          </cell>
        </row>
        <row r="345">
          <cell r="E345">
            <v>4656</v>
          </cell>
          <cell r="F345" t="str">
            <v>Limit Fed</v>
          </cell>
          <cell r="G345" t="str">
            <v>Weight</v>
          </cell>
          <cell r="H345" t="str">
            <v>Rebecca Sjostrand</v>
          </cell>
          <cell r="I345">
            <v>754</v>
          </cell>
        </row>
        <row r="346">
          <cell r="E346">
            <v>4657</v>
          </cell>
          <cell r="F346" t="str">
            <v>Limit Fed</v>
          </cell>
          <cell r="G346" t="str">
            <v>Weight</v>
          </cell>
          <cell r="H346" t="str">
            <v>Rebecca Sjostrand</v>
          </cell>
          <cell r="I346">
            <v>562</v>
          </cell>
        </row>
        <row r="347">
          <cell r="E347">
            <v>4658</v>
          </cell>
          <cell r="F347" t="str">
            <v>Limit Fed</v>
          </cell>
          <cell r="G347" t="str">
            <v>Weight</v>
          </cell>
          <cell r="H347" t="str">
            <v>Rebecca Sjostrand</v>
          </cell>
          <cell r="I347">
            <v>652</v>
          </cell>
        </row>
        <row r="348">
          <cell r="E348">
            <v>4659</v>
          </cell>
          <cell r="F348" t="str">
            <v>Limit Fed</v>
          </cell>
          <cell r="G348" t="str">
            <v>Weight</v>
          </cell>
          <cell r="H348" t="str">
            <v>Rebecca Sjostrand</v>
          </cell>
          <cell r="I348">
            <v>586</v>
          </cell>
        </row>
        <row r="349">
          <cell r="E349">
            <v>4660</v>
          </cell>
          <cell r="F349" t="str">
            <v>Limit Fed</v>
          </cell>
          <cell r="G349" t="str">
            <v>Weight</v>
          </cell>
          <cell r="H349" t="str">
            <v>Rebecca Sjostrand</v>
          </cell>
          <cell r="I349">
            <v>582</v>
          </cell>
        </row>
        <row r="350">
          <cell r="E350">
            <v>4661</v>
          </cell>
          <cell r="F350" t="str">
            <v>Limit Fed</v>
          </cell>
          <cell r="G350" t="str">
            <v>Weight</v>
          </cell>
          <cell r="H350" t="str">
            <v>Rebecca Sjostrand</v>
          </cell>
          <cell r="I350">
            <v>600</v>
          </cell>
        </row>
        <row r="351">
          <cell r="E351">
            <v>4662</v>
          </cell>
          <cell r="F351" t="str">
            <v>Limit Fed</v>
          </cell>
          <cell r="G351" t="str">
            <v>Weight</v>
          </cell>
          <cell r="H351" t="str">
            <v>Rebecca Sjostrand</v>
          </cell>
          <cell r="I351">
            <v>650</v>
          </cell>
        </row>
        <row r="352">
          <cell r="E352">
            <v>4663</v>
          </cell>
          <cell r="F352" t="str">
            <v>Limit Fed</v>
          </cell>
          <cell r="G352" t="str">
            <v>Weight</v>
          </cell>
          <cell r="H352" t="str">
            <v>Rebecca Sjostrand</v>
          </cell>
          <cell r="I352">
            <v>558</v>
          </cell>
        </row>
        <row r="353">
          <cell r="E353">
            <v>4664</v>
          </cell>
          <cell r="F353" t="str">
            <v>Limit Fed</v>
          </cell>
          <cell r="G353" t="str">
            <v>Weight</v>
          </cell>
          <cell r="H353" t="str">
            <v>Rebecca Sjostrand</v>
          </cell>
          <cell r="I353">
            <v>532</v>
          </cell>
        </row>
        <row r="354">
          <cell r="E354">
            <v>4665</v>
          </cell>
          <cell r="F354" t="str">
            <v>Limit Fed</v>
          </cell>
          <cell r="G354" t="str">
            <v>Weight</v>
          </cell>
          <cell r="H354" t="str">
            <v>Rebecca Sjostrand</v>
          </cell>
          <cell r="I354">
            <v>612</v>
          </cell>
        </row>
        <row r="355">
          <cell r="E355">
            <v>4666</v>
          </cell>
          <cell r="F355" t="str">
            <v>Limit Fed</v>
          </cell>
          <cell r="G355" t="str">
            <v>Weight</v>
          </cell>
          <cell r="H355" t="str">
            <v>Rebecca Sjostrand</v>
          </cell>
          <cell r="I355">
            <v>630</v>
          </cell>
        </row>
        <row r="356">
          <cell r="E356">
            <v>4667</v>
          </cell>
          <cell r="F356" t="str">
            <v>Limit Fed</v>
          </cell>
          <cell r="G356" t="str">
            <v>Weight</v>
          </cell>
          <cell r="H356" t="str">
            <v>Rebecca Sjostrand</v>
          </cell>
          <cell r="I356">
            <v>552</v>
          </cell>
        </row>
        <row r="357">
          <cell r="E357">
            <v>4668</v>
          </cell>
          <cell r="F357" t="str">
            <v>Limit Fed</v>
          </cell>
          <cell r="G357" t="str">
            <v>Weight</v>
          </cell>
          <cell r="H357" t="str">
            <v>Rebecca Sjostrand</v>
          </cell>
          <cell r="I357">
            <v>592</v>
          </cell>
        </row>
        <row r="358">
          <cell r="E358">
            <v>4669</v>
          </cell>
          <cell r="F358" t="str">
            <v>Limit Fed</v>
          </cell>
          <cell r="G358" t="str">
            <v>Weight</v>
          </cell>
          <cell r="H358" t="str">
            <v>Rebecca Sjostrand</v>
          </cell>
          <cell r="I358">
            <v>728</v>
          </cell>
        </row>
        <row r="359">
          <cell r="E359">
            <v>4670</v>
          </cell>
          <cell r="F359" t="str">
            <v>Limit Fed</v>
          </cell>
          <cell r="G359" t="str">
            <v>Weight</v>
          </cell>
          <cell r="H359" t="str">
            <v>Rebecca Sjostrand</v>
          </cell>
          <cell r="I359">
            <v>710</v>
          </cell>
        </row>
        <row r="360">
          <cell r="E360">
            <v>4671</v>
          </cell>
          <cell r="F360" t="str">
            <v>Limit Fed</v>
          </cell>
          <cell r="G360" t="str">
            <v>Weight</v>
          </cell>
          <cell r="H360" t="str">
            <v>Rebecca Sjostrand</v>
          </cell>
          <cell r="I360">
            <v>676</v>
          </cell>
        </row>
        <row r="361">
          <cell r="E361">
            <v>4672</v>
          </cell>
          <cell r="F361" t="str">
            <v>Limit Fed</v>
          </cell>
          <cell r="G361" t="str">
            <v>Weight</v>
          </cell>
          <cell r="H361" t="str">
            <v>Rebecca Sjostrand</v>
          </cell>
          <cell r="I361">
            <v>638</v>
          </cell>
        </row>
        <row r="362">
          <cell r="E362">
            <v>4673</v>
          </cell>
          <cell r="F362" t="str">
            <v>Limit Fed</v>
          </cell>
          <cell r="G362" t="str">
            <v>Weight</v>
          </cell>
          <cell r="H362" t="str">
            <v>Rebecca Sjostrand</v>
          </cell>
          <cell r="I362">
            <v>636</v>
          </cell>
        </row>
        <row r="363">
          <cell r="E363">
            <v>4674</v>
          </cell>
          <cell r="F363" t="str">
            <v>Limit Fed</v>
          </cell>
          <cell r="G363" t="str">
            <v>Weight</v>
          </cell>
          <cell r="H363" t="str">
            <v>Rebecca Sjostrand</v>
          </cell>
          <cell r="I363">
            <v>598</v>
          </cell>
        </row>
        <row r="364">
          <cell r="E364">
            <v>4675</v>
          </cell>
          <cell r="F364" t="str">
            <v>Limit Fed</v>
          </cell>
          <cell r="G364" t="str">
            <v>Weight</v>
          </cell>
          <cell r="H364" t="str">
            <v>Rebecca Sjostrand</v>
          </cell>
          <cell r="I364">
            <v>578</v>
          </cell>
        </row>
        <row r="365">
          <cell r="E365">
            <v>4676</v>
          </cell>
          <cell r="F365" t="str">
            <v>Limit Fed</v>
          </cell>
          <cell r="G365" t="str">
            <v>Weight</v>
          </cell>
          <cell r="H365" t="str">
            <v>Rebecca Sjostrand</v>
          </cell>
          <cell r="I365">
            <v>630</v>
          </cell>
        </row>
        <row r="366">
          <cell r="E366">
            <v>4677</v>
          </cell>
          <cell r="F366" t="str">
            <v>Limit Fed</v>
          </cell>
          <cell r="G366" t="str">
            <v>Weight</v>
          </cell>
          <cell r="H366" t="str">
            <v>Rebecca Sjostrand</v>
          </cell>
          <cell r="I366">
            <v>712</v>
          </cell>
        </row>
        <row r="367">
          <cell r="E367">
            <v>4678</v>
          </cell>
          <cell r="F367" t="str">
            <v>Limit Fed</v>
          </cell>
          <cell r="G367" t="str">
            <v>Weight</v>
          </cell>
          <cell r="H367" t="str">
            <v>Rebecca Sjostrand</v>
          </cell>
          <cell r="I367">
            <v>580</v>
          </cell>
        </row>
        <row r="368">
          <cell r="E368">
            <v>4679</v>
          </cell>
          <cell r="F368" t="str">
            <v>Limit Fed</v>
          </cell>
          <cell r="G368" t="str">
            <v>Weight</v>
          </cell>
          <cell r="H368" t="str">
            <v>Rebecca Sjostrand</v>
          </cell>
          <cell r="I368">
            <v>538</v>
          </cell>
        </row>
        <row r="369">
          <cell r="E369">
            <v>4680</v>
          </cell>
          <cell r="F369" t="str">
            <v>Limit Fed</v>
          </cell>
          <cell r="G369" t="str">
            <v>Weight</v>
          </cell>
          <cell r="H369" t="str">
            <v>Rebecca Sjostrand</v>
          </cell>
          <cell r="I369">
            <v>704</v>
          </cell>
        </row>
        <row r="370">
          <cell r="E370">
            <v>4681</v>
          </cell>
          <cell r="F370" t="str">
            <v>Limit Fed</v>
          </cell>
          <cell r="G370" t="str">
            <v>Weight</v>
          </cell>
          <cell r="H370" t="str">
            <v>Rebecca Sjostrand</v>
          </cell>
          <cell r="I370">
            <v>622</v>
          </cell>
        </row>
        <row r="371">
          <cell r="E371">
            <v>4682</v>
          </cell>
          <cell r="F371" t="str">
            <v>Limit Fed</v>
          </cell>
          <cell r="G371" t="str">
            <v>Weight</v>
          </cell>
          <cell r="H371" t="str">
            <v>Rebecca Sjostrand</v>
          </cell>
          <cell r="I371">
            <v>600</v>
          </cell>
        </row>
        <row r="372">
          <cell r="E372">
            <v>4683</v>
          </cell>
          <cell r="F372" t="str">
            <v>Limit Fed</v>
          </cell>
          <cell r="G372" t="str">
            <v>Weight</v>
          </cell>
          <cell r="H372" t="str">
            <v>Rebecca Sjostrand</v>
          </cell>
          <cell r="I372">
            <v>550</v>
          </cell>
        </row>
        <row r="373">
          <cell r="E373">
            <v>4684</v>
          </cell>
          <cell r="F373" t="str">
            <v>Limit Fed</v>
          </cell>
          <cell r="G373" t="str">
            <v>Weight</v>
          </cell>
          <cell r="H373" t="str">
            <v>Rebecca Sjostrand</v>
          </cell>
          <cell r="I373">
            <v>664</v>
          </cell>
        </row>
        <row r="374">
          <cell r="E374">
            <v>4685</v>
          </cell>
          <cell r="F374" t="str">
            <v>Limit Fed</v>
          </cell>
          <cell r="G374" t="str">
            <v>Weight</v>
          </cell>
          <cell r="H374" t="str">
            <v>Rebecca Sjostrand</v>
          </cell>
          <cell r="I374">
            <v>718</v>
          </cell>
        </row>
        <row r="375">
          <cell r="E375">
            <v>4686</v>
          </cell>
          <cell r="F375" t="str">
            <v>Limit Fed</v>
          </cell>
          <cell r="G375" t="str">
            <v>Weight</v>
          </cell>
          <cell r="H375" t="str">
            <v>Rebecca Sjostrand</v>
          </cell>
          <cell r="I375">
            <v>684</v>
          </cell>
        </row>
        <row r="376">
          <cell r="E376">
            <v>4687</v>
          </cell>
          <cell r="F376" t="str">
            <v>Limit Fed</v>
          </cell>
          <cell r="G376" t="str">
            <v>Weight</v>
          </cell>
          <cell r="H376" t="str">
            <v>Rebecca Sjostrand</v>
          </cell>
          <cell r="I376">
            <v>738</v>
          </cell>
        </row>
        <row r="377">
          <cell r="E377">
            <v>4688</v>
          </cell>
          <cell r="F377" t="str">
            <v>Limit Fed</v>
          </cell>
          <cell r="G377" t="str">
            <v>Weight</v>
          </cell>
          <cell r="H377" t="str">
            <v>Rebecca Sjostrand</v>
          </cell>
          <cell r="I377">
            <v>708</v>
          </cell>
        </row>
        <row r="378">
          <cell r="E378">
            <v>4689</v>
          </cell>
          <cell r="F378" t="str">
            <v>Limit Fed</v>
          </cell>
          <cell r="G378" t="str">
            <v>Weight</v>
          </cell>
          <cell r="H378" t="str">
            <v>Rebecca Sjostrand</v>
          </cell>
          <cell r="I378">
            <v>674</v>
          </cell>
        </row>
        <row r="379">
          <cell r="E379">
            <v>4690</v>
          </cell>
          <cell r="F379" t="str">
            <v>Limit Fed</v>
          </cell>
          <cell r="G379" t="str">
            <v>Weight</v>
          </cell>
          <cell r="H379" t="str">
            <v>Rebecca Sjostrand</v>
          </cell>
          <cell r="I379">
            <v>604</v>
          </cell>
        </row>
        <row r="380">
          <cell r="E380">
            <v>4691</v>
          </cell>
          <cell r="F380" t="str">
            <v>Limit Fed</v>
          </cell>
          <cell r="G380" t="str">
            <v>Weight</v>
          </cell>
          <cell r="H380" t="str">
            <v>Rebecca Sjostrand</v>
          </cell>
          <cell r="I380">
            <v>574</v>
          </cell>
        </row>
        <row r="381">
          <cell r="E381">
            <v>4692</v>
          </cell>
          <cell r="F381" t="str">
            <v>Limit Fed</v>
          </cell>
          <cell r="G381" t="str">
            <v>Weight</v>
          </cell>
          <cell r="H381" t="str">
            <v>Rebecca Sjostrand</v>
          </cell>
          <cell r="I381">
            <v>640</v>
          </cell>
        </row>
        <row r="382">
          <cell r="E382">
            <v>4693</v>
          </cell>
          <cell r="F382" t="str">
            <v>Limit Fed</v>
          </cell>
          <cell r="G382" t="str">
            <v>Weight</v>
          </cell>
          <cell r="H382" t="str">
            <v>Rebecca Sjostrand</v>
          </cell>
          <cell r="I382">
            <v>656</v>
          </cell>
        </row>
        <row r="383">
          <cell r="E383">
            <v>4694</v>
          </cell>
          <cell r="F383" t="str">
            <v>Limit Fed</v>
          </cell>
          <cell r="G383" t="str">
            <v>Weight</v>
          </cell>
          <cell r="H383" t="str">
            <v>Rebecca Sjostrand</v>
          </cell>
          <cell r="I383">
            <v>650</v>
          </cell>
        </row>
        <row r="384">
          <cell r="E384">
            <v>4695</v>
          </cell>
          <cell r="F384" t="str">
            <v>Limit Fed</v>
          </cell>
          <cell r="G384" t="str">
            <v>Weight</v>
          </cell>
          <cell r="H384" t="str">
            <v>Rebecca Sjostrand</v>
          </cell>
          <cell r="I384">
            <v>590</v>
          </cell>
        </row>
        <row r="385">
          <cell r="E385">
            <v>4696</v>
          </cell>
          <cell r="F385" t="str">
            <v>Limit Fed</v>
          </cell>
          <cell r="G385" t="str">
            <v>Weight</v>
          </cell>
          <cell r="H385" t="str">
            <v>Rebecca Sjostrand</v>
          </cell>
          <cell r="I385">
            <v>588</v>
          </cell>
        </row>
        <row r="386">
          <cell r="E386">
            <v>4697</v>
          </cell>
          <cell r="F386" t="str">
            <v>Limit Fed</v>
          </cell>
          <cell r="G386" t="str">
            <v>Weight</v>
          </cell>
          <cell r="H386" t="str">
            <v>Rebecca Sjostrand</v>
          </cell>
          <cell r="I386">
            <v>544</v>
          </cell>
        </row>
        <row r="387">
          <cell r="E387">
            <v>4698</v>
          </cell>
          <cell r="F387" t="str">
            <v>Limit Fed</v>
          </cell>
          <cell r="G387" t="str">
            <v>Weight</v>
          </cell>
          <cell r="H387" t="str">
            <v>Rebecca Sjostrand</v>
          </cell>
          <cell r="I387">
            <v>636</v>
          </cell>
        </row>
        <row r="388">
          <cell r="E388">
            <v>4699</v>
          </cell>
          <cell r="F388" t="str">
            <v>Limit Fed</v>
          </cell>
          <cell r="G388" t="str">
            <v>Weight</v>
          </cell>
          <cell r="H388" t="str">
            <v>Rebecca Sjostrand</v>
          </cell>
          <cell r="I388">
            <v>664</v>
          </cell>
        </row>
        <row r="389">
          <cell r="E389">
            <v>4700</v>
          </cell>
          <cell r="F389" t="str">
            <v>Limit Fed</v>
          </cell>
          <cell r="G389" t="str">
            <v>Weight</v>
          </cell>
          <cell r="H389" t="str">
            <v>Rebecca Sjostrand</v>
          </cell>
          <cell r="I389">
            <v>570</v>
          </cell>
        </row>
        <row r="390">
          <cell r="E390">
            <v>4701</v>
          </cell>
          <cell r="F390" t="str">
            <v>Limit Fed</v>
          </cell>
          <cell r="G390" t="str">
            <v>Weight</v>
          </cell>
          <cell r="H390" t="str">
            <v>Rebecca Sjostrand</v>
          </cell>
          <cell r="I390">
            <v>650</v>
          </cell>
        </row>
        <row r="391">
          <cell r="E391">
            <v>4702</v>
          </cell>
          <cell r="F391" t="str">
            <v>Limit Fed</v>
          </cell>
          <cell r="G391" t="str">
            <v>Weight</v>
          </cell>
          <cell r="H391" t="str">
            <v>Rebecca Sjostrand</v>
          </cell>
          <cell r="I391">
            <v>572</v>
          </cell>
        </row>
        <row r="392">
          <cell r="E392">
            <v>4703</v>
          </cell>
          <cell r="F392" t="str">
            <v>Limit Fed</v>
          </cell>
          <cell r="G392" t="str">
            <v>Weight</v>
          </cell>
          <cell r="H392" t="str">
            <v>Rebecca Sjostrand</v>
          </cell>
          <cell r="I392">
            <v>640</v>
          </cell>
        </row>
        <row r="393">
          <cell r="E393">
            <v>4704</v>
          </cell>
          <cell r="F393" t="str">
            <v>Limit Fed</v>
          </cell>
          <cell r="G393" t="str">
            <v>Weight</v>
          </cell>
          <cell r="H393" t="str">
            <v>Rebecca Sjostrand</v>
          </cell>
          <cell r="I393">
            <v>602</v>
          </cell>
        </row>
        <row r="394">
          <cell r="E394">
            <v>4705</v>
          </cell>
          <cell r="F394" t="str">
            <v>Limit Fed</v>
          </cell>
          <cell r="G394" t="str">
            <v>Weight</v>
          </cell>
          <cell r="H394" t="str">
            <v>Rebecca Sjostrand</v>
          </cell>
          <cell r="I394">
            <v>550</v>
          </cell>
        </row>
        <row r="395">
          <cell r="E395">
            <v>4706</v>
          </cell>
          <cell r="F395" t="str">
            <v>Limit Fed</v>
          </cell>
          <cell r="G395" t="str">
            <v>Weight</v>
          </cell>
          <cell r="H395" t="str">
            <v>Rebecca Sjostrand</v>
          </cell>
          <cell r="I395">
            <v>684</v>
          </cell>
        </row>
        <row r="396">
          <cell r="E396">
            <v>4707</v>
          </cell>
          <cell r="F396" t="str">
            <v>Limit Fed</v>
          </cell>
          <cell r="G396" t="str">
            <v>Weight</v>
          </cell>
          <cell r="H396" t="str">
            <v>Rebecca Sjostrand</v>
          </cell>
          <cell r="I396">
            <v>720</v>
          </cell>
        </row>
        <row r="397">
          <cell r="E397">
            <v>4708</v>
          </cell>
          <cell r="F397" t="str">
            <v>Limit Fed</v>
          </cell>
          <cell r="G397" t="str">
            <v>Weight</v>
          </cell>
          <cell r="H397" t="str">
            <v>Rebecca Sjostrand</v>
          </cell>
          <cell r="I397">
            <v>618</v>
          </cell>
        </row>
        <row r="398">
          <cell r="E398">
            <v>4709</v>
          </cell>
          <cell r="F398" t="str">
            <v>Limit Fed</v>
          </cell>
          <cell r="G398" t="str">
            <v>Weight</v>
          </cell>
          <cell r="H398" t="str">
            <v>Rebecca Sjostrand</v>
          </cell>
          <cell r="I398">
            <v>586</v>
          </cell>
        </row>
        <row r="399">
          <cell r="E399">
            <v>4710</v>
          </cell>
          <cell r="F399" t="str">
            <v>Limit Fed</v>
          </cell>
          <cell r="G399" t="str">
            <v>Weight</v>
          </cell>
          <cell r="H399" t="str">
            <v>Rebecca Sjostrand</v>
          </cell>
          <cell r="I399">
            <v>594</v>
          </cell>
        </row>
        <row r="400">
          <cell r="E400">
            <v>4711</v>
          </cell>
          <cell r="F400" t="str">
            <v>Limit Fed</v>
          </cell>
          <cell r="G400" t="str">
            <v>Weight</v>
          </cell>
          <cell r="H400" t="str">
            <v>Rebecca Sjostrand</v>
          </cell>
          <cell r="I400">
            <v>618</v>
          </cell>
        </row>
        <row r="401">
          <cell r="E401">
            <v>4712</v>
          </cell>
          <cell r="F401" t="str">
            <v>Limit Fed</v>
          </cell>
          <cell r="G401" t="str">
            <v>Weight</v>
          </cell>
          <cell r="H401" t="str">
            <v>Rebecca Sjostrand</v>
          </cell>
          <cell r="I401">
            <v>550</v>
          </cell>
        </row>
        <row r="402">
          <cell r="E402">
            <v>4713</v>
          </cell>
          <cell r="F402" t="str">
            <v>Limit Fed</v>
          </cell>
          <cell r="G402" t="str">
            <v>Weight</v>
          </cell>
          <cell r="H402" t="str">
            <v>Rebecca Sjostrand</v>
          </cell>
          <cell r="I402">
            <v>636</v>
          </cell>
        </row>
        <row r="403">
          <cell r="E403">
            <v>4714</v>
          </cell>
          <cell r="F403" t="str">
            <v>Limit Fed</v>
          </cell>
          <cell r="G403" t="str">
            <v>Weight</v>
          </cell>
          <cell r="H403" t="str">
            <v>Rebecca Sjostrand</v>
          </cell>
          <cell r="I403">
            <v>630</v>
          </cell>
        </row>
        <row r="404">
          <cell r="E404">
            <v>4715</v>
          </cell>
          <cell r="F404" t="str">
            <v>Limit Fed</v>
          </cell>
          <cell r="G404" t="str">
            <v>Weight</v>
          </cell>
          <cell r="H404" t="str">
            <v>Rebecca Sjostrand</v>
          </cell>
          <cell r="I404">
            <v>640</v>
          </cell>
        </row>
        <row r="405">
          <cell r="E405">
            <v>4716</v>
          </cell>
          <cell r="F405" t="str">
            <v>Limit Fed</v>
          </cell>
          <cell r="G405" t="str">
            <v>Weight</v>
          </cell>
          <cell r="H405" t="str">
            <v>Rebecca Sjostrand</v>
          </cell>
          <cell r="I405">
            <v>552</v>
          </cell>
        </row>
        <row r="406">
          <cell r="E406">
            <v>4717</v>
          </cell>
          <cell r="F406" t="str">
            <v>Limit Fed</v>
          </cell>
          <cell r="G406" t="str">
            <v>Weight</v>
          </cell>
          <cell r="H406" t="str">
            <v>Rebecca Sjostrand</v>
          </cell>
          <cell r="I406">
            <v>486</v>
          </cell>
        </row>
        <row r="407">
          <cell r="E407">
            <v>4718</v>
          </cell>
          <cell r="F407" t="str">
            <v>Limit Fed</v>
          </cell>
          <cell r="G407" t="str">
            <v>Weight</v>
          </cell>
          <cell r="H407" t="str">
            <v>Rebecca Sjostrand</v>
          </cell>
          <cell r="I407">
            <v>598</v>
          </cell>
        </row>
        <row r="408">
          <cell r="E408">
            <v>4719</v>
          </cell>
          <cell r="F408" t="str">
            <v>Limit Fed</v>
          </cell>
          <cell r="G408" t="str">
            <v>Weight</v>
          </cell>
          <cell r="H408" t="str">
            <v>Rebecca Sjostrand</v>
          </cell>
          <cell r="I408">
            <v>528</v>
          </cell>
        </row>
        <row r="409">
          <cell r="E409">
            <v>4720</v>
          </cell>
          <cell r="F409" t="str">
            <v>Limit Fed</v>
          </cell>
          <cell r="G409" t="str">
            <v>Weight</v>
          </cell>
          <cell r="H409" t="str">
            <v>Rebecca Sjostrand</v>
          </cell>
          <cell r="I409">
            <v>674</v>
          </cell>
        </row>
        <row r="410">
          <cell r="E410">
            <v>4721</v>
          </cell>
          <cell r="F410" t="str">
            <v>Limit Fed</v>
          </cell>
          <cell r="G410" t="str">
            <v>Weight</v>
          </cell>
          <cell r="H410" t="str">
            <v>Rebecca Sjostrand</v>
          </cell>
          <cell r="I410">
            <v>572</v>
          </cell>
        </row>
        <row r="411">
          <cell r="E411">
            <v>4722</v>
          </cell>
          <cell r="F411" t="str">
            <v>Limit Fed</v>
          </cell>
          <cell r="G411" t="str">
            <v>Weight</v>
          </cell>
          <cell r="H411" t="str">
            <v>Rebecca Sjostrand</v>
          </cell>
          <cell r="I411">
            <v>520</v>
          </cell>
        </row>
        <row r="412">
          <cell r="E412">
            <v>4723</v>
          </cell>
          <cell r="F412" t="str">
            <v>Limit Fed</v>
          </cell>
          <cell r="G412" t="str">
            <v>Weight</v>
          </cell>
          <cell r="H412" t="str">
            <v>Rebecca Sjostrand</v>
          </cell>
          <cell r="I412">
            <v>730</v>
          </cell>
        </row>
        <row r="413">
          <cell r="E413">
            <v>4724</v>
          </cell>
          <cell r="F413" t="str">
            <v>Limit Fed</v>
          </cell>
          <cell r="G413" t="str">
            <v>Weight</v>
          </cell>
          <cell r="H413" t="str">
            <v>Rebecca Sjostrand</v>
          </cell>
          <cell r="I413">
            <v>700</v>
          </cell>
        </row>
        <row r="414">
          <cell r="E414">
            <v>4725</v>
          </cell>
          <cell r="F414" t="str">
            <v>Limit Fed</v>
          </cell>
          <cell r="G414" t="str">
            <v>Weight</v>
          </cell>
          <cell r="H414" t="str">
            <v>Rebecca Sjostrand</v>
          </cell>
          <cell r="I414">
            <v>676</v>
          </cell>
        </row>
        <row r="415">
          <cell r="E415">
            <v>4726</v>
          </cell>
          <cell r="F415" t="str">
            <v>Limit Fed</v>
          </cell>
          <cell r="G415" t="str">
            <v>Weight</v>
          </cell>
          <cell r="H415" t="str">
            <v>Rebecca Sjostrand</v>
          </cell>
          <cell r="I415">
            <v>638</v>
          </cell>
        </row>
        <row r="416">
          <cell r="E416">
            <v>4727</v>
          </cell>
          <cell r="F416" t="str">
            <v>Limit Fed</v>
          </cell>
          <cell r="G416" t="str">
            <v>Weight</v>
          </cell>
          <cell r="H416" t="str">
            <v>Rebecca Sjostrand</v>
          </cell>
          <cell r="I416">
            <v>614</v>
          </cell>
        </row>
        <row r="417">
          <cell r="E417">
            <v>4728</v>
          </cell>
          <cell r="F417" t="str">
            <v>Limit Fed</v>
          </cell>
          <cell r="G417" t="str">
            <v>Weight</v>
          </cell>
          <cell r="H417" t="str">
            <v>Rebecca Sjostrand</v>
          </cell>
          <cell r="I417">
            <v>686</v>
          </cell>
        </row>
        <row r="418">
          <cell r="E418">
            <v>4729</v>
          </cell>
          <cell r="F418" t="str">
            <v>Limit Fed</v>
          </cell>
          <cell r="G418" t="str">
            <v>Weight</v>
          </cell>
          <cell r="H418" t="str">
            <v>Rebecca Sjostrand</v>
          </cell>
          <cell r="I418">
            <v>668</v>
          </cell>
        </row>
        <row r="419">
          <cell r="E419">
            <v>4730</v>
          </cell>
          <cell r="F419" t="str">
            <v>Limit Fed</v>
          </cell>
          <cell r="G419" t="str">
            <v>Weight</v>
          </cell>
          <cell r="H419" t="str">
            <v>Rebecca Sjostrand</v>
          </cell>
          <cell r="I419">
            <v>740</v>
          </cell>
        </row>
        <row r="420">
          <cell r="E420">
            <v>4731</v>
          </cell>
          <cell r="F420" t="str">
            <v>Limit Fed</v>
          </cell>
          <cell r="G420" t="str">
            <v>Weight</v>
          </cell>
          <cell r="H420" t="str">
            <v>Rebecca Sjostrand</v>
          </cell>
          <cell r="I420">
            <v>670</v>
          </cell>
        </row>
        <row r="421">
          <cell r="E421">
            <v>4732</v>
          </cell>
          <cell r="F421" t="str">
            <v>Limit Fed</v>
          </cell>
          <cell r="G421" t="str">
            <v>Weight</v>
          </cell>
          <cell r="H421" t="str">
            <v>Rebecca Sjostrand</v>
          </cell>
          <cell r="I421">
            <v>632</v>
          </cell>
        </row>
        <row r="422">
          <cell r="E422">
            <v>4733</v>
          </cell>
          <cell r="F422" t="str">
            <v>Limit Fed</v>
          </cell>
          <cell r="G422" t="str">
            <v>Weight</v>
          </cell>
          <cell r="H422" t="str">
            <v>Rebecca Sjostrand</v>
          </cell>
          <cell r="I422">
            <v>660</v>
          </cell>
        </row>
        <row r="423">
          <cell r="E423">
            <v>4734</v>
          </cell>
          <cell r="F423" t="str">
            <v>Limit Fed</v>
          </cell>
          <cell r="G423" t="str">
            <v>Weight</v>
          </cell>
          <cell r="H423" t="str">
            <v>Rebecca Sjostrand</v>
          </cell>
          <cell r="I423">
            <v>658</v>
          </cell>
        </row>
        <row r="424">
          <cell r="E424">
            <v>4735</v>
          </cell>
          <cell r="F424" t="str">
            <v>Limit Fed</v>
          </cell>
          <cell r="G424" t="str">
            <v>Weight</v>
          </cell>
          <cell r="H424" t="str">
            <v>Rebecca Sjostrand</v>
          </cell>
          <cell r="I424">
            <v>504</v>
          </cell>
        </row>
        <row r="425">
          <cell r="E425">
            <v>4736</v>
          </cell>
          <cell r="F425" t="str">
            <v>Limit Fed</v>
          </cell>
          <cell r="G425" t="str">
            <v>Weight</v>
          </cell>
          <cell r="H425" t="str">
            <v>Rebecca Sjostrand</v>
          </cell>
          <cell r="I425">
            <v>582</v>
          </cell>
        </row>
        <row r="426">
          <cell r="E426">
            <v>4737</v>
          </cell>
          <cell r="F426" t="str">
            <v>Limit Fed</v>
          </cell>
          <cell r="G426" t="str">
            <v>Weight</v>
          </cell>
          <cell r="H426" t="str">
            <v>Rebecca Sjostrand</v>
          </cell>
          <cell r="I426">
            <v>624</v>
          </cell>
        </row>
        <row r="427">
          <cell r="E427">
            <v>4738</v>
          </cell>
          <cell r="F427" t="str">
            <v>Limit Fed</v>
          </cell>
          <cell r="G427" t="str">
            <v>Weight</v>
          </cell>
          <cell r="H427" t="str">
            <v>Rebecca Sjostrand</v>
          </cell>
          <cell r="I427">
            <v>636</v>
          </cell>
        </row>
        <row r="428">
          <cell r="E428">
            <v>4739</v>
          </cell>
          <cell r="F428" t="str">
            <v>Limit Fed</v>
          </cell>
          <cell r="G428" t="str">
            <v>Weight</v>
          </cell>
          <cell r="H428" t="str">
            <v>Rebecca Sjostrand</v>
          </cell>
          <cell r="I428">
            <v>554</v>
          </cell>
        </row>
        <row r="429">
          <cell r="E429">
            <v>4740</v>
          </cell>
          <cell r="F429" t="str">
            <v>Limit Fed</v>
          </cell>
          <cell r="G429" t="str">
            <v>Weight</v>
          </cell>
          <cell r="H429" t="str">
            <v>Rebecca Sjostrand</v>
          </cell>
          <cell r="I429">
            <v>618</v>
          </cell>
        </row>
        <row r="430">
          <cell r="E430">
            <v>4741</v>
          </cell>
          <cell r="F430" t="str">
            <v>Limit Fed</v>
          </cell>
          <cell r="G430" t="str">
            <v>Weight</v>
          </cell>
          <cell r="H430" t="str">
            <v>Rebecca Sjostrand</v>
          </cell>
          <cell r="I430">
            <v>652</v>
          </cell>
        </row>
        <row r="431">
          <cell r="E431">
            <v>4742</v>
          </cell>
          <cell r="F431" t="str">
            <v>Limit Fed</v>
          </cell>
          <cell r="G431" t="str">
            <v>Weight</v>
          </cell>
          <cell r="H431" t="str">
            <v>Rebecca Sjostrand</v>
          </cell>
          <cell r="I431">
            <v>626</v>
          </cell>
        </row>
        <row r="432">
          <cell r="E432">
            <v>4743</v>
          </cell>
          <cell r="F432" t="str">
            <v>Limit Fed</v>
          </cell>
          <cell r="G432" t="str">
            <v>Weight</v>
          </cell>
          <cell r="H432" t="str">
            <v>Rebecca Sjostrand</v>
          </cell>
          <cell r="I432">
            <v>554</v>
          </cell>
        </row>
        <row r="433">
          <cell r="E433">
            <v>4744</v>
          </cell>
          <cell r="F433" t="str">
            <v>Limit Fed</v>
          </cell>
          <cell r="G433" t="str">
            <v>Weight</v>
          </cell>
          <cell r="H433" t="str">
            <v>Rebecca Sjostrand</v>
          </cell>
          <cell r="I433">
            <v>552</v>
          </cell>
        </row>
        <row r="434">
          <cell r="E434">
            <v>4745</v>
          </cell>
          <cell r="F434" t="str">
            <v>Limit Fed</v>
          </cell>
          <cell r="G434" t="str">
            <v>Weight</v>
          </cell>
          <cell r="H434" t="str">
            <v>Rebecca Sjostrand</v>
          </cell>
          <cell r="I434">
            <v>736</v>
          </cell>
        </row>
        <row r="435">
          <cell r="E435">
            <v>4746</v>
          </cell>
          <cell r="F435" t="str">
            <v>Limit Fed</v>
          </cell>
          <cell r="G435" t="str">
            <v>Weight</v>
          </cell>
          <cell r="H435" t="str">
            <v>Rebecca Sjostrand</v>
          </cell>
          <cell r="I435">
            <v>686</v>
          </cell>
        </row>
        <row r="436">
          <cell r="E436">
            <v>4747</v>
          </cell>
          <cell r="F436" t="str">
            <v>Limit Fed</v>
          </cell>
          <cell r="G436" t="str">
            <v>Weight</v>
          </cell>
          <cell r="H436" t="str">
            <v>Rebecca Sjostrand</v>
          </cell>
          <cell r="I436">
            <v>582</v>
          </cell>
        </row>
        <row r="437">
          <cell r="E437">
            <v>4748</v>
          </cell>
          <cell r="F437" t="str">
            <v>Limit Fed</v>
          </cell>
          <cell r="G437" t="str">
            <v>Weight</v>
          </cell>
          <cell r="H437" t="str">
            <v>Rebecca Sjostrand</v>
          </cell>
          <cell r="I437">
            <v>764</v>
          </cell>
        </row>
        <row r="438">
          <cell r="E438">
            <v>4749</v>
          </cell>
          <cell r="F438" t="str">
            <v>Limit Fed</v>
          </cell>
          <cell r="G438" t="str">
            <v>Weight</v>
          </cell>
          <cell r="H438" t="str">
            <v>Rebecca Sjostrand</v>
          </cell>
          <cell r="I438">
            <v>534</v>
          </cell>
        </row>
        <row r="439">
          <cell r="E439">
            <v>4750</v>
          </cell>
          <cell r="F439" t="str">
            <v>Limit Fed</v>
          </cell>
          <cell r="G439" t="str">
            <v>Weight</v>
          </cell>
          <cell r="H439" t="str">
            <v>Rebecca Sjostrand</v>
          </cell>
          <cell r="I439">
            <v>614</v>
          </cell>
        </row>
        <row r="440">
          <cell r="E440">
            <v>4751</v>
          </cell>
          <cell r="F440" t="str">
            <v>Limit Fed</v>
          </cell>
          <cell r="G440" t="str">
            <v>Weight</v>
          </cell>
          <cell r="H440" t="str">
            <v>Rebecca Sjostrand</v>
          </cell>
          <cell r="I440">
            <v>644</v>
          </cell>
        </row>
        <row r="441">
          <cell r="E441">
            <v>4752</v>
          </cell>
          <cell r="F441" t="str">
            <v>Limit Fed</v>
          </cell>
          <cell r="G441" t="str">
            <v>Weight</v>
          </cell>
          <cell r="H441" t="str">
            <v>Rebecca Sjostrand</v>
          </cell>
          <cell r="I441">
            <v>606</v>
          </cell>
        </row>
        <row r="442">
          <cell r="E442">
            <v>4753</v>
          </cell>
          <cell r="F442" t="str">
            <v>Limit Fed</v>
          </cell>
          <cell r="G442" t="str">
            <v>Weight</v>
          </cell>
          <cell r="H442" t="str">
            <v>Rebecca Sjostrand</v>
          </cell>
          <cell r="I442">
            <v>706</v>
          </cell>
        </row>
        <row r="443">
          <cell r="E443">
            <v>4754</v>
          </cell>
          <cell r="F443" t="str">
            <v>Limit Fed</v>
          </cell>
          <cell r="G443" t="str">
            <v>Weight</v>
          </cell>
          <cell r="H443" t="str">
            <v>Rebecca Sjostrand</v>
          </cell>
          <cell r="I443">
            <v>656</v>
          </cell>
        </row>
        <row r="444">
          <cell r="E444">
            <v>4755</v>
          </cell>
          <cell r="F444" t="str">
            <v>Limit Fed</v>
          </cell>
          <cell r="G444" t="str">
            <v>Weight</v>
          </cell>
          <cell r="H444" t="str">
            <v>Rebecca Sjostrand</v>
          </cell>
          <cell r="I444">
            <v>544</v>
          </cell>
        </row>
        <row r="445">
          <cell r="E445">
            <v>4756</v>
          </cell>
          <cell r="F445" t="str">
            <v>Limit Fed</v>
          </cell>
          <cell r="G445" t="str">
            <v>Weight</v>
          </cell>
          <cell r="H445" t="str">
            <v>Rebecca Sjostrand</v>
          </cell>
          <cell r="I445">
            <v>520</v>
          </cell>
        </row>
        <row r="446">
          <cell r="E446">
            <v>4757</v>
          </cell>
          <cell r="F446" t="str">
            <v>Limit Fed</v>
          </cell>
          <cell r="G446" t="str">
            <v>Weight</v>
          </cell>
          <cell r="H446" t="str">
            <v>Rebecca Sjostrand</v>
          </cell>
          <cell r="I446">
            <v>520</v>
          </cell>
        </row>
        <row r="447">
          <cell r="E447">
            <v>4758</v>
          </cell>
          <cell r="F447" t="str">
            <v>Limit Fed</v>
          </cell>
          <cell r="G447" t="str">
            <v>Weight</v>
          </cell>
          <cell r="H447" t="str">
            <v>Rebecca Sjostrand</v>
          </cell>
          <cell r="I447">
            <v>662</v>
          </cell>
        </row>
        <row r="448">
          <cell r="E448">
            <v>4759</v>
          </cell>
          <cell r="F448" t="str">
            <v>Limit Fed</v>
          </cell>
          <cell r="G448" t="str">
            <v>Weight</v>
          </cell>
          <cell r="H448" t="str">
            <v>Rebecca Sjostrand</v>
          </cell>
          <cell r="I448">
            <v>676</v>
          </cell>
        </row>
        <row r="449">
          <cell r="E449">
            <v>4760</v>
          </cell>
          <cell r="F449" t="str">
            <v>Limit Fed</v>
          </cell>
          <cell r="G449" t="str">
            <v>Weight</v>
          </cell>
          <cell r="H449" t="str">
            <v>Rebecca Sjostrand</v>
          </cell>
          <cell r="I449">
            <v>596</v>
          </cell>
        </row>
        <row r="450">
          <cell r="E450">
            <v>4761</v>
          </cell>
          <cell r="F450" t="str">
            <v>Limit Fed</v>
          </cell>
          <cell r="G450" t="str">
            <v>Weight</v>
          </cell>
          <cell r="H450" t="str">
            <v>Rebecca Sjostrand</v>
          </cell>
          <cell r="I450">
            <v>620</v>
          </cell>
        </row>
        <row r="451">
          <cell r="E451">
            <v>4762</v>
          </cell>
          <cell r="F451" t="str">
            <v>Limit Fed</v>
          </cell>
          <cell r="G451" t="str">
            <v>Weight</v>
          </cell>
          <cell r="H451" t="str">
            <v>Rebecca Sjostrand</v>
          </cell>
          <cell r="I451">
            <v>640</v>
          </cell>
        </row>
        <row r="452">
          <cell r="E452">
            <v>4763</v>
          </cell>
          <cell r="F452" t="str">
            <v>Limit Fed</v>
          </cell>
          <cell r="G452" t="str">
            <v>Weight</v>
          </cell>
          <cell r="H452" t="str">
            <v>Rebecca Sjostrand</v>
          </cell>
          <cell r="I452">
            <v>656</v>
          </cell>
        </row>
        <row r="453">
          <cell r="E453">
            <v>4764</v>
          </cell>
          <cell r="F453" t="str">
            <v>Limit Fed</v>
          </cell>
          <cell r="G453" t="str">
            <v>Weight</v>
          </cell>
          <cell r="H453" t="str">
            <v>Rebecca Sjostrand</v>
          </cell>
          <cell r="I453">
            <v>514</v>
          </cell>
        </row>
        <row r="454">
          <cell r="E454">
            <v>4765</v>
          </cell>
          <cell r="F454" t="str">
            <v>Limit Fed</v>
          </cell>
          <cell r="G454" t="str">
            <v>Weight</v>
          </cell>
          <cell r="H454" t="str">
            <v>Rebecca Sjostrand</v>
          </cell>
          <cell r="I454">
            <v>560</v>
          </cell>
        </row>
        <row r="455">
          <cell r="E455">
            <v>4766</v>
          </cell>
          <cell r="F455" t="str">
            <v>Limit Fed</v>
          </cell>
          <cell r="G455" t="str">
            <v>Weight</v>
          </cell>
          <cell r="H455" t="str">
            <v>Rebecca Sjostrand</v>
          </cell>
          <cell r="I455">
            <v>514</v>
          </cell>
        </row>
        <row r="456">
          <cell r="E456">
            <v>4767</v>
          </cell>
          <cell r="F456" t="str">
            <v>Limit Fed</v>
          </cell>
          <cell r="G456" t="str">
            <v>Weight</v>
          </cell>
          <cell r="H456" t="str">
            <v>Rebecca Sjostrand</v>
          </cell>
          <cell r="I456">
            <v>596</v>
          </cell>
        </row>
        <row r="457">
          <cell r="E457">
            <v>4768</v>
          </cell>
          <cell r="F457" t="str">
            <v>Limit Fed</v>
          </cell>
          <cell r="G457" t="str">
            <v>Weight</v>
          </cell>
          <cell r="H457" t="str">
            <v>Rebecca Sjostrand</v>
          </cell>
          <cell r="I457">
            <v>630</v>
          </cell>
        </row>
        <row r="458">
          <cell r="E458">
            <v>4769</v>
          </cell>
          <cell r="F458" t="str">
            <v>Limit Fed</v>
          </cell>
          <cell r="G458" t="str">
            <v>Weight</v>
          </cell>
          <cell r="H458" t="str">
            <v>Rebecca Sjostrand</v>
          </cell>
          <cell r="I458">
            <v>598</v>
          </cell>
        </row>
        <row r="459">
          <cell r="E459">
            <v>4770</v>
          </cell>
          <cell r="F459" t="str">
            <v>Limit Fed</v>
          </cell>
          <cell r="G459" t="str">
            <v>Weight</v>
          </cell>
          <cell r="H459" t="str">
            <v>Rebecca Sjostrand</v>
          </cell>
          <cell r="I459">
            <v>582</v>
          </cell>
        </row>
        <row r="460">
          <cell r="E460">
            <v>4771</v>
          </cell>
          <cell r="F460" t="str">
            <v>Limit Fed</v>
          </cell>
          <cell r="G460" t="str">
            <v>Weight</v>
          </cell>
          <cell r="H460" t="str">
            <v>Rebecca Sjostrand</v>
          </cell>
          <cell r="I460">
            <v>666</v>
          </cell>
        </row>
        <row r="461">
          <cell r="E461">
            <v>4772</v>
          </cell>
          <cell r="F461" t="str">
            <v>Limit Fed</v>
          </cell>
          <cell r="G461" t="str">
            <v>Weight</v>
          </cell>
          <cell r="H461" t="str">
            <v>Rebecca Sjostrand</v>
          </cell>
          <cell r="I461">
            <v>570</v>
          </cell>
        </row>
        <row r="462">
          <cell r="E462">
            <v>4773</v>
          </cell>
          <cell r="F462" t="str">
            <v>Limit Fed</v>
          </cell>
          <cell r="G462" t="str">
            <v>Weight</v>
          </cell>
          <cell r="H462" t="str">
            <v>Rebecca Sjostrand</v>
          </cell>
          <cell r="I462">
            <v>578</v>
          </cell>
        </row>
      </sheetData>
      <sheetData sheetId="2">
        <row r="1">
          <cell r="A1" t="str">
            <v>Lnk_AnID</v>
          </cell>
          <cell r="B1">
            <v>45257</v>
          </cell>
          <cell r="C1">
            <v>45258</v>
          </cell>
          <cell r="D1" t="str">
            <v>Average</v>
          </cell>
          <cell r="E1" t="str">
            <v>Block</v>
          </cell>
          <cell r="F1" t="str">
            <v>Strat</v>
          </cell>
          <cell r="G1" t="str">
            <v>Rand</v>
          </cell>
          <cell r="H1" t="str">
            <v>Pen</v>
          </cell>
          <cell r="I1" t="str">
            <v>TRT</v>
          </cell>
        </row>
        <row r="2">
          <cell r="A2">
            <v>4437</v>
          </cell>
          <cell r="B2">
            <v>554</v>
          </cell>
          <cell r="C2">
            <v>568</v>
          </cell>
          <cell r="D2">
            <v>561</v>
          </cell>
          <cell r="E2">
            <v>1</v>
          </cell>
          <cell r="F2">
            <v>1</v>
          </cell>
          <cell r="G2">
            <v>0.13223911051971071</v>
          </cell>
          <cell r="H2">
            <v>205</v>
          </cell>
          <cell r="I2" t="str">
            <v xml:space="preserve">10% MDGS Constant </v>
          </cell>
        </row>
        <row r="3">
          <cell r="A3">
            <v>4315</v>
          </cell>
          <cell r="B3">
            <v>554</v>
          </cell>
          <cell r="C3">
            <v>554</v>
          </cell>
          <cell r="D3">
            <v>554</v>
          </cell>
          <cell r="E3">
            <v>1</v>
          </cell>
          <cell r="F3">
            <v>1</v>
          </cell>
          <cell r="G3">
            <v>0.16749633367577954</v>
          </cell>
          <cell r="H3">
            <v>206</v>
          </cell>
          <cell r="I3" t="str">
            <v>10% MDGS Variable</v>
          </cell>
        </row>
        <row r="4">
          <cell r="A4">
            <v>4322</v>
          </cell>
          <cell r="B4">
            <v>554</v>
          </cell>
          <cell r="C4">
            <v>576</v>
          </cell>
          <cell r="D4">
            <v>565</v>
          </cell>
          <cell r="E4">
            <v>1</v>
          </cell>
          <cell r="F4">
            <v>1</v>
          </cell>
          <cell r="G4">
            <v>0.41796759822454332</v>
          </cell>
          <cell r="H4">
            <v>207</v>
          </cell>
          <cell r="I4" t="str">
            <v>Control</v>
          </cell>
        </row>
        <row r="5">
          <cell r="A5">
            <v>4743</v>
          </cell>
          <cell r="B5">
            <v>556</v>
          </cell>
          <cell r="C5">
            <v>554</v>
          </cell>
          <cell r="D5">
            <v>555</v>
          </cell>
          <cell r="E5">
            <v>1</v>
          </cell>
          <cell r="F5">
            <v>1</v>
          </cell>
          <cell r="G5">
            <v>0.46486563274719161</v>
          </cell>
          <cell r="H5">
            <v>208</v>
          </cell>
          <cell r="I5" t="str">
            <v>25% MDGS Variable</v>
          </cell>
        </row>
        <row r="6">
          <cell r="A6">
            <v>4765</v>
          </cell>
          <cell r="B6">
            <v>552</v>
          </cell>
          <cell r="C6">
            <v>560</v>
          </cell>
          <cell r="D6">
            <v>556</v>
          </cell>
          <cell r="E6">
            <v>1</v>
          </cell>
          <cell r="F6">
            <v>1</v>
          </cell>
          <cell r="G6">
            <v>0.49088538189215081</v>
          </cell>
          <cell r="H6">
            <v>209</v>
          </cell>
          <cell r="I6" t="str">
            <v xml:space="preserve">25% MDGS Constant </v>
          </cell>
        </row>
        <row r="7">
          <cell r="A7">
            <v>4744</v>
          </cell>
          <cell r="B7">
            <v>556</v>
          </cell>
          <cell r="C7">
            <v>552</v>
          </cell>
          <cell r="D7">
            <v>554</v>
          </cell>
          <cell r="E7">
            <v>1</v>
          </cell>
          <cell r="F7">
            <v>1</v>
          </cell>
          <cell r="G7">
            <v>0.50464713665714178</v>
          </cell>
          <cell r="H7">
            <v>210</v>
          </cell>
          <cell r="I7" t="str">
            <v xml:space="preserve">10% MDGS Constant </v>
          </cell>
        </row>
        <row r="8">
          <cell r="A8">
            <v>4773</v>
          </cell>
          <cell r="B8">
            <v>554</v>
          </cell>
          <cell r="C8">
            <v>578</v>
          </cell>
          <cell r="D8">
            <v>566</v>
          </cell>
          <cell r="E8">
            <v>1</v>
          </cell>
          <cell r="F8">
            <v>1</v>
          </cell>
          <cell r="G8">
            <v>0.50851688795843586</v>
          </cell>
          <cell r="H8">
            <v>211</v>
          </cell>
          <cell r="I8" t="str">
            <v>Control</v>
          </cell>
        </row>
        <row r="9">
          <cell r="A9">
            <v>4739</v>
          </cell>
          <cell r="B9">
            <v>556</v>
          </cell>
          <cell r="C9">
            <v>554</v>
          </cell>
          <cell r="D9">
            <v>555</v>
          </cell>
          <cell r="E9">
            <v>1</v>
          </cell>
          <cell r="F9">
            <v>1</v>
          </cell>
          <cell r="G9">
            <v>0.61147469111736896</v>
          </cell>
          <cell r="H9">
            <v>212</v>
          </cell>
          <cell r="I9" t="str">
            <v>25% MDGS Variable</v>
          </cell>
        </row>
        <row r="10">
          <cell r="A10">
            <v>4485</v>
          </cell>
          <cell r="B10">
            <v>556</v>
          </cell>
          <cell r="C10">
            <v>558</v>
          </cell>
          <cell r="D10">
            <v>557</v>
          </cell>
          <cell r="E10">
            <v>1</v>
          </cell>
          <cell r="F10">
            <v>1</v>
          </cell>
          <cell r="G10">
            <v>0.72506520083949644</v>
          </cell>
          <cell r="H10">
            <v>213</v>
          </cell>
          <cell r="I10" t="str">
            <v>10% MDGS Variable</v>
          </cell>
        </row>
        <row r="11">
          <cell r="A11">
            <v>4603</v>
          </cell>
          <cell r="B11">
            <v>554</v>
          </cell>
          <cell r="C11">
            <v>570</v>
          </cell>
          <cell r="D11">
            <v>562</v>
          </cell>
          <cell r="E11">
            <v>1</v>
          </cell>
          <cell r="F11">
            <v>1</v>
          </cell>
          <cell r="G11">
            <v>0.74773755288838117</v>
          </cell>
          <cell r="H11">
            <v>214</v>
          </cell>
          <cell r="I11" t="str">
            <v xml:space="preserve">25% MDGS Constant </v>
          </cell>
        </row>
        <row r="12">
          <cell r="A12">
            <v>4683</v>
          </cell>
          <cell r="B12">
            <v>558</v>
          </cell>
          <cell r="C12">
            <v>550</v>
          </cell>
          <cell r="D12">
            <v>554</v>
          </cell>
          <cell r="E12">
            <v>1</v>
          </cell>
          <cell r="F12">
            <v>2</v>
          </cell>
          <cell r="G12">
            <v>7.3321960657670715E-2</v>
          </cell>
          <cell r="H12">
            <v>205</v>
          </cell>
          <cell r="I12" t="str">
            <v xml:space="preserve">10% MDGS Constant </v>
          </cell>
        </row>
        <row r="13">
          <cell r="A13">
            <v>4313</v>
          </cell>
          <cell r="B13">
            <v>560</v>
          </cell>
          <cell r="C13">
            <v>560</v>
          </cell>
          <cell r="D13">
            <v>560</v>
          </cell>
          <cell r="E13">
            <v>1</v>
          </cell>
          <cell r="F13">
            <v>2</v>
          </cell>
          <cell r="G13">
            <v>8.0928873033758064E-2</v>
          </cell>
          <cell r="H13">
            <v>206</v>
          </cell>
          <cell r="I13" t="str">
            <v>10% MDGS Variable</v>
          </cell>
        </row>
        <row r="14">
          <cell r="A14">
            <v>4418</v>
          </cell>
          <cell r="B14">
            <v>558</v>
          </cell>
          <cell r="C14">
            <v>586</v>
          </cell>
          <cell r="D14">
            <v>572</v>
          </cell>
          <cell r="E14">
            <v>1</v>
          </cell>
          <cell r="F14">
            <v>2</v>
          </cell>
          <cell r="G14">
            <v>8.6370454462972202E-2</v>
          </cell>
          <cell r="H14">
            <v>207</v>
          </cell>
          <cell r="I14" t="str">
            <v>Control</v>
          </cell>
        </row>
        <row r="15">
          <cell r="A15">
            <v>4376</v>
          </cell>
          <cell r="B15">
            <v>560</v>
          </cell>
          <cell r="C15">
            <v>580</v>
          </cell>
          <cell r="D15">
            <v>570</v>
          </cell>
          <cell r="E15">
            <v>1</v>
          </cell>
          <cell r="F15">
            <v>2</v>
          </cell>
          <cell r="G15">
            <v>0.51308818843726045</v>
          </cell>
          <cell r="H15">
            <v>208</v>
          </cell>
          <cell r="I15" t="str">
            <v>25% MDGS Variable</v>
          </cell>
        </row>
        <row r="16">
          <cell r="A16">
            <v>4605</v>
          </cell>
          <cell r="B16">
            <v>558</v>
          </cell>
          <cell r="C16">
            <v>558</v>
          </cell>
          <cell r="D16">
            <v>558</v>
          </cell>
          <cell r="E16">
            <v>1</v>
          </cell>
          <cell r="F16">
            <v>2</v>
          </cell>
          <cell r="G16">
            <v>0.54242732325118459</v>
          </cell>
          <cell r="H16">
            <v>209</v>
          </cell>
          <cell r="I16" t="str">
            <v xml:space="preserve">25% MDGS Constant </v>
          </cell>
        </row>
        <row r="17">
          <cell r="A17">
            <v>4337</v>
          </cell>
          <cell r="B17">
            <v>558</v>
          </cell>
          <cell r="C17">
            <v>574</v>
          </cell>
          <cell r="D17">
            <v>566</v>
          </cell>
          <cell r="E17">
            <v>1</v>
          </cell>
          <cell r="F17">
            <v>2</v>
          </cell>
          <cell r="G17">
            <v>0.62471380755587369</v>
          </cell>
          <cell r="H17">
            <v>210</v>
          </cell>
          <cell r="I17" t="str">
            <v xml:space="preserve">10% MDGS Constant </v>
          </cell>
        </row>
        <row r="18">
          <cell r="A18">
            <v>4365</v>
          </cell>
          <cell r="B18">
            <v>558</v>
          </cell>
          <cell r="C18">
            <v>574</v>
          </cell>
          <cell r="D18">
            <v>566</v>
          </cell>
          <cell r="E18">
            <v>1</v>
          </cell>
          <cell r="F18">
            <v>2</v>
          </cell>
          <cell r="G18">
            <v>0.71135621641375435</v>
          </cell>
          <cell r="H18">
            <v>211</v>
          </cell>
          <cell r="I18" t="str">
            <v>Control</v>
          </cell>
        </row>
        <row r="19">
          <cell r="A19">
            <v>4502</v>
          </cell>
          <cell r="B19">
            <v>558</v>
          </cell>
          <cell r="C19">
            <v>570</v>
          </cell>
          <cell r="D19">
            <v>564</v>
          </cell>
          <cell r="E19">
            <v>1</v>
          </cell>
          <cell r="F19">
            <v>2</v>
          </cell>
          <cell r="G19">
            <v>0.83731891540621561</v>
          </cell>
          <cell r="H19">
            <v>212</v>
          </cell>
          <cell r="I19" t="str">
            <v>25% MDGS Variable</v>
          </cell>
        </row>
        <row r="20">
          <cell r="A20">
            <v>4755</v>
          </cell>
          <cell r="B20">
            <v>558</v>
          </cell>
          <cell r="C20">
            <v>544</v>
          </cell>
          <cell r="D20">
            <v>551</v>
          </cell>
          <cell r="E20">
            <v>1</v>
          </cell>
          <cell r="F20">
            <v>2</v>
          </cell>
          <cell r="G20">
            <v>0.8643499963097353</v>
          </cell>
          <cell r="H20">
            <v>213</v>
          </cell>
          <cell r="I20" t="str">
            <v>10% MDGS Variable</v>
          </cell>
        </row>
        <row r="21">
          <cell r="A21">
            <v>4460</v>
          </cell>
          <cell r="B21">
            <v>560</v>
          </cell>
          <cell r="C21">
            <v>552</v>
          </cell>
          <cell r="D21">
            <v>556</v>
          </cell>
          <cell r="E21">
            <v>1</v>
          </cell>
          <cell r="F21">
            <v>2</v>
          </cell>
          <cell r="G21">
            <v>0.9146454426331827</v>
          </cell>
          <cell r="H21">
            <v>214</v>
          </cell>
          <cell r="I21" t="str">
            <v xml:space="preserve">25% MDGS Constant </v>
          </cell>
        </row>
        <row r="22">
          <cell r="A22">
            <v>4317</v>
          </cell>
          <cell r="B22">
            <v>562</v>
          </cell>
          <cell r="C22">
            <v>564</v>
          </cell>
          <cell r="D22">
            <v>563</v>
          </cell>
          <cell r="E22">
            <v>1</v>
          </cell>
          <cell r="F22">
            <v>3</v>
          </cell>
          <cell r="G22">
            <v>0.11651433749690687</v>
          </cell>
          <cell r="H22">
            <v>205</v>
          </cell>
          <cell r="I22" t="str">
            <v xml:space="preserve">10% MDGS Constant </v>
          </cell>
        </row>
        <row r="23">
          <cell r="A23">
            <v>4333</v>
          </cell>
          <cell r="B23">
            <v>564</v>
          </cell>
          <cell r="C23">
            <v>570</v>
          </cell>
          <cell r="D23">
            <v>567</v>
          </cell>
          <cell r="E23">
            <v>1</v>
          </cell>
          <cell r="F23">
            <v>3</v>
          </cell>
          <cell r="G23">
            <v>0.1335462496522577</v>
          </cell>
          <cell r="H23">
            <v>206</v>
          </cell>
          <cell r="I23" t="str">
            <v>10% MDGS Variable</v>
          </cell>
        </row>
        <row r="24">
          <cell r="A24">
            <v>4700</v>
          </cell>
          <cell r="B24">
            <v>564</v>
          </cell>
          <cell r="C24">
            <v>570</v>
          </cell>
          <cell r="D24">
            <v>567</v>
          </cell>
          <cell r="E24">
            <v>1</v>
          </cell>
          <cell r="F24">
            <v>3</v>
          </cell>
          <cell r="G24">
            <v>0.13431988002208206</v>
          </cell>
          <cell r="H24">
            <v>207</v>
          </cell>
          <cell r="I24" t="str">
            <v>Control</v>
          </cell>
        </row>
        <row r="25">
          <cell r="A25">
            <v>4445</v>
          </cell>
          <cell r="B25">
            <v>562</v>
          </cell>
          <cell r="C25">
            <v>572</v>
          </cell>
          <cell r="D25">
            <v>567</v>
          </cell>
          <cell r="E25">
            <v>1</v>
          </cell>
          <cell r="F25">
            <v>3</v>
          </cell>
          <cell r="G25">
            <v>0.25443114529148958</v>
          </cell>
          <cell r="H25">
            <v>208</v>
          </cell>
          <cell r="I25" t="str">
            <v>25% MDGS Variable</v>
          </cell>
        </row>
        <row r="26">
          <cell r="A26">
            <v>4357</v>
          </cell>
          <cell r="B26">
            <v>562</v>
          </cell>
          <cell r="C26">
            <v>556</v>
          </cell>
          <cell r="D26">
            <v>559</v>
          </cell>
          <cell r="E26">
            <v>1</v>
          </cell>
          <cell r="F26">
            <v>3</v>
          </cell>
          <cell r="G26">
            <v>0.27863879428570493</v>
          </cell>
          <cell r="H26">
            <v>209</v>
          </cell>
          <cell r="I26" t="str">
            <v xml:space="preserve">25% MDGS Constant </v>
          </cell>
        </row>
        <row r="27">
          <cell r="A27">
            <v>4691</v>
          </cell>
          <cell r="B27">
            <v>560</v>
          </cell>
          <cell r="C27">
            <v>574</v>
          </cell>
          <cell r="D27">
            <v>567</v>
          </cell>
          <cell r="E27">
            <v>1</v>
          </cell>
          <cell r="F27">
            <v>3</v>
          </cell>
          <cell r="G27">
            <v>0.34361157060381686</v>
          </cell>
          <cell r="H27">
            <v>210</v>
          </cell>
          <cell r="I27" t="str">
            <v xml:space="preserve">10% MDGS Constant </v>
          </cell>
        </row>
        <row r="28">
          <cell r="A28">
            <v>4423</v>
          </cell>
          <cell r="B28">
            <v>564</v>
          </cell>
          <cell r="C28">
            <v>580</v>
          </cell>
          <cell r="D28">
            <v>572</v>
          </cell>
          <cell r="E28">
            <v>1</v>
          </cell>
          <cell r="F28">
            <v>3</v>
          </cell>
          <cell r="G28">
            <v>0.54959193149644003</v>
          </cell>
          <cell r="H28">
            <v>211</v>
          </cell>
          <cell r="I28" t="str">
            <v>Control</v>
          </cell>
        </row>
        <row r="29">
          <cell r="A29">
            <v>4702</v>
          </cell>
          <cell r="B29">
            <v>560</v>
          </cell>
          <cell r="C29">
            <v>572</v>
          </cell>
          <cell r="D29">
            <v>566</v>
          </cell>
          <cell r="E29">
            <v>1</v>
          </cell>
          <cell r="F29">
            <v>3</v>
          </cell>
          <cell r="G29">
            <v>0.61999853472136346</v>
          </cell>
          <cell r="H29">
            <v>212</v>
          </cell>
          <cell r="I29" t="str">
            <v>25% MDGS Variable</v>
          </cell>
        </row>
        <row r="30">
          <cell r="A30">
            <v>4328</v>
          </cell>
          <cell r="B30">
            <v>564</v>
          </cell>
          <cell r="C30">
            <v>556</v>
          </cell>
          <cell r="D30">
            <v>560</v>
          </cell>
          <cell r="E30">
            <v>1</v>
          </cell>
          <cell r="F30">
            <v>3</v>
          </cell>
          <cell r="G30">
            <v>0.65759790474622903</v>
          </cell>
          <cell r="H30">
            <v>213</v>
          </cell>
          <cell r="I30" t="str">
            <v>10% MDGS Variable</v>
          </cell>
        </row>
        <row r="31">
          <cell r="A31">
            <v>4497</v>
          </cell>
          <cell r="B31">
            <v>564</v>
          </cell>
          <cell r="C31">
            <v>550</v>
          </cell>
          <cell r="D31">
            <v>557</v>
          </cell>
          <cell r="E31">
            <v>1</v>
          </cell>
          <cell r="F31">
            <v>3</v>
          </cell>
          <cell r="G31">
            <v>0.84590382870718661</v>
          </cell>
          <cell r="H31">
            <v>214</v>
          </cell>
          <cell r="I31" t="str">
            <v xml:space="preserve">25% MDGS Constant </v>
          </cell>
        </row>
        <row r="32">
          <cell r="A32">
            <v>4501</v>
          </cell>
          <cell r="B32">
            <v>570</v>
          </cell>
          <cell r="C32">
            <v>576</v>
          </cell>
          <cell r="D32">
            <v>573</v>
          </cell>
          <cell r="E32">
            <v>1</v>
          </cell>
          <cell r="F32">
            <v>4</v>
          </cell>
          <cell r="G32">
            <v>1.2283839594056878E-2</v>
          </cell>
          <cell r="H32">
            <v>205</v>
          </cell>
          <cell r="I32" t="str">
            <v xml:space="preserve">10% MDGS Constant </v>
          </cell>
        </row>
        <row r="33">
          <cell r="A33">
            <v>4361</v>
          </cell>
          <cell r="B33">
            <v>570</v>
          </cell>
          <cell r="C33">
            <v>592</v>
          </cell>
          <cell r="D33">
            <v>581</v>
          </cell>
          <cell r="E33">
            <v>1</v>
          </cell>
          <cell r="F33">
            <v>4</v>
          </cell>
          <cell r="G33">
            <v>0.17528596628606496</v>
          </cell>
          <cell r="H33">
            <v>206</v>
          </cell>
          <cell r="I33" t="str">
            <v>10% MDGS Variable</v>
          </cell>
        </row>
        <row r="34">
          <cell r="A34">
            <v>4469</v>
          </cell>
          <cell r="B34">
            <v>566</v>
          </cell>
          <cell r="C34">
            <v>574</v>
          </cell>
          <cell r="D34">
            <v>570</v>
          </cell>
          <cell r="E34">
            <v>1</v>
          </cell>
          <cell r="F34">
            <v>4</v>
          </cell>
          <cell r="G34">
            <v>0.27520011819971502</v>
          </cell>
          <cell r="H34">
            <v>207</v>
          </cell>
          <cell r="I34" t="str">
            <v>Control</v>
          </cell>
        </row>
        <row r="35">
          <cell r="A35">
            <v>4486</v>
          </cell>
          <cell r="B35">
            <v>570</v>
          </cell>
          <cell r="C35">
            <v>584</v>
          </cell>
          <cell r="D35">
            <v>577</v>
          </cell>
          <cell r="E35">
            <v>1</v>
          </cell>
          <cell r="F35">
            <v>4</v>
          </cell>
          <cell r="G35">
            <v>0.40382693949015969</v>
          </cell>
          <cell r="H35">
            <v>208</v>
          </cell>
          <cell r="I35" t="str">
            <v>25% MDGS Variable</v>
          </cell>
        </row>
        <row r="36">
          <cell r="A36">
            <v>4425</v>
          </cell>
          <cell r="B36">
            <v>570</v>
          </cell>
          <cell r="C36">
            <v>580</v>
          </cell>
          <cell r="D36">
            <v>575</v>
          </cell>
          <cell r="E36">
            <v>1</v>
          </cell>
          <cell r="F36">
            <v>4</v>
          </cell>
          <cell r="G36">
            <v>0.46401232420179983</v>
          </cell>
          <cell r="H36">
            <v>209</v>
          </cell>
          <cell r="I36" t="str">
            <v xml:space="preserve">25% MDGS Constant </v>
          </cell>
        </row>
        <row r="37">
          <cell r="A37">
            <v>4546</v>
          </cell>
          <cell r="B37">
            <v>570</v>
          </cell>
          <cell r="C37">
            <v>576</v>
          </cell>
          <cell r="D37">
            <v>573</v>
          </cell>
          <cell r="E37">
            <v>1</v>
          </cell>
          <cell r="F37">
            <v>4</v>
          </cell>
          <cell r="G37">
            <v>0.51250615306643899</v>
          </cell>
          <cell r="H37">
            <v>210</v>
          </cell>
          <cell r="I37" t="str">
            <v xml:space="preserve">10% MDGS Constant </v>
          </cell>
        </row>
        <row r="38">
          <cell r="A38">
            <v>4716</v>
          </cell>
          <cell r="B38">
            <v>564</v>
          </cell>
          <cell r="C38">
            <v>552</v>
          </cell>
          <cell r="D38">
            <v>558</v>
          </cell>
          <cell r="E38">
            <v>1</v>
          </cell>
          <cell r="F38">
            <v>4</v>
          </cell>
          <cell r="G38">
            <v>0.67462159473884209</v>
          </cell>
          <cell r="H38">
            <v>211</v>
          </cell>
          <cell r="I38" t="str">
            <v>Control</v>
          </cell>
        </row>
        <row r="39">
          <cell r="A39">
            <v>4653</v>
          </cell>
          <cell r="B39">
            <v>570</v>
          </cell>
          <cell r="C39">
            <v>564</v>
          </cell>
          <cell r="D39">
            <v>567</v>
          </cell>
          <cell r="E39">
            <v>1</v>
          </cell>
          <cell r="F39">
            <v>4</v>
          </cell>
          <cell r="G39">
            <v>0.79874515132924773</v>
          </cell>
          <cell r="H39">
            <v>212</v>
          </cell>
          <cell r="I39" t="str">
            <v>25% MDGS Variable</v>
          </cell>
        </row>
        <row r="40">
          <cell r="A40">
            <v>4772</v>
          </cell>
          <cell r="B40">
            <v>566</v>
          </cell>
          <cell r="C40">
            <v>570</v>
          </cell>
          <cell r="D40">
            <v>568</v>
          </cell>
          <cell r="E40">
            <v>1</v>
          </cell>
          <cell r="F40">
            <v>4</v>
          </cell>
          <cell r="G40">
            <v>0.8350298103608399</v>
          </cell>
          <cell r="H40">
            <v>213</v>
          </cell>
          <cell r="I40" t="str">
            <v>10% MDGS Variable</v>
          </cell>
        </row>
        <row r="41">
          <cell r="A41">
            <v>4450</v>
          </cell>
          <cell r="B41">
            <v>570</v>
          </cell>
          <cell r="C41">
            <v>570</v>
          </cell>
          <cell r="D41">
            <v>570</v>
          </cell>
          <cell r="E41">
            <v>1</v>
          </cell>
          <cell r="F41">
            <v>4</v>
          </cell>
          <cell r="G41">
            <v>0.98729661616078235</v>
          </cell>
          <cell r="H41">
            <v>214</v>
          </cell>
          <cell r="I41" t="str">
            <v xml:space="preserve">25% MDGS Constant </v>
          </cell>
        </row>
        <row r="42">
          <cell r="A42">
            <v>4578</v>
          </cell>
          <cell r="B42">
            <v>572</v>
          </cell>
          <cell r="C42">
            <v>574</v>
          </cell>
          <cell r="D42">
            <v>573</v>
          </cell>
          <cell r="E42">
            <v>1</v>
          </cell>
          <cell r="F42">
            <v>5</v>
          </cell>
          <cell r="G42">
            <v>0.24621198036239333</v>
          </cell>
          <cell r="H42">
            <v>205</v>
          </cell>
          <cell r="I42" t="str">
            <v xml:space="preserve">10% MDGS Constant </v>
          </cell>
        </row>
        <row r="43">
          <cell r="A43">
            <v>4407</v>
          </cell>
          <cell r="B43">
            <v>572</v>
          </cell>
          <cell r="C43">
            <v>576</v>
          </cell>
          <cell r="D43">
            <v>574</v>
          </cell>
          <cell r="E43">
            <v>1</v>
          </cell>
          <cell r="F43">
            <v>5</v>
          </cell>
          <cell r="G43">
            <v>0.29972764617908709</v>
          </cell>
          <cell r="H43">
            <v>206</v>
          </cell>
          <cell r="I43" t="str">
            <v>10% MDGS Variable</v>
          </cell>
        </row>
        <row r="44">
          <cell r="A44">
            <v>4341</v>
          </cell>
          <cell r="B44">
            <v>574</v>
          </cell>
          <cell r="C44">
            <v>584</v>
          </cell>
          <cell r="D44">
            <v>579</v>
          </cell>
          <cell r="E44">
            <v>1</v>
          </cell>
          <cell r="F44">
            <v>5</v>
          </cell>
          <cell r="G44">
            <v>0.36184803604407123</v>
          </cell>
          <cell r="H44">
            <v>207</v>
          </cell>
          <cell r="I44" t="str">
            <v>Control</v>
          </cell>
        </row>
        <row r="45">
          <cell r="A45">
            <v>4503</v>
          </cell>
          <cell r="B45">
            <v>572</v>
          </cell>
          <cell r="C45">
            <v>578</v>
          </cell>
          <cell r="D45">
            <v>575</v>
          </cell>
          <cell r="E45">
            <v>1</v>
          </cell>
          <cell r="F45">
            <v>5</v>
          </cell>
          <cell r="G45">
            <v>0.42907569363135722</v>
          </cell>
          <cell r="H45">
            <v>208</v>
          </cell>
          <cell r="I45" t="str">
            <v>25% MDGS Variable</v>
          </cell>
        </row>
        <row r="46">
          <cell r="A46">
            <v>4518</v>
          </cell>
          <cell r="B46">
            <v>572</v>
          </cell>
          <cell r="C46">
            <v>566</v>
          </cell>
          <cell r="D46">
            <v>569</v>
          </cell>
          <cell r="E46">
            <v>1</v>
          </cell>
          <cell r="F46">
            <v>5</v>
          </cell>
          <cell r="G46">
            <v>0.46217392037877381</v>
          </cell>
          <cell r="H46">
            <v>209</v>
          </cell>
          <cell r="I46" t="str">
            <v xml:space="preserve">25% MDGS Constant </v>
          </cell>
        </row>
        <row r="47">
          <cell r="A47">
            <v>4613</v>
          </cell>
          <cell r="B47">
            <v>571</v>
          </cell>
          <cell r="C47">
            <v>580</v>
          </cell>
          <cell r="D47">
            <v>575.5</v>
          </cell>
          <cell r="E47">
            <v>1</v>
          </cell>
          <cell r="F47">
            <v>5</v>
          </cell>
          <cell r="G47">
            <v>0.51552156583729314</v>
          </cell>
          <cell r="H47">
            <v>210</v>
          </cell>
          <cell r="I47" t="str">
            <v xml:space="preserve">10% MDGS Constant </v>
          </cell>
        </row>
        <row r="48">
          <cell r="A48">
            <v>4316</v>
          </cell>
          <cell r="B48">
            <v>572</v>
          </cell>
          <cell r="C48">
            <v>578</v>
          </cell>
          <cell r="D48">
            <v>575</v>
          </cell>
          <cell r="E48">
            <v>1</v>
          </cell>
          <cell r="F48">
            <v>5</v>
          </cell>
          <cell r="G48">
            <v>0.82525413565745842</v>
          </cell>
          <cell r="H48">
            <v>211</v>
          </cell>
          <cell r="I48" t="str">
            <v>Control</v>
          </cell>
        </row>
        <row r="49">
          <cell r="A49">
            <v>4468</v>
          </cell>
          <cell r="B49">
            <v>572</v>
          </cell>
          <cell r="C49">
            <v>572</v>
          </cell>
          <cell r="D49">
            <v>572</v>
          </cell>
          <cell r="E49">
            <v>1</v>
          </cell>
          <cell r="F49">
            <v>5</v>
          </cell>
          <cell r="G49">
            <v>0.84882638745237027</v>
          </cell>
          <cell r="H49">
            <v>212</v>
          </cell>
          <cell r="I49" t="str">
            <v>25% MDGS Variable</v>
          </cell>
        </row>
        <row r="50">
          <cell r="A50">
            <v>4399</v>
          </cell>
          <cell r="B50">
            <v>572</v>
          </cell>
          <cell r="C50">
            <v>572</v>
          </cell>
          <cell r="D50">
            <v>572</v>
          </cell>
          <cell r="E50">
            <v>1</v>
          </cell>
          <cell r="F50">
            <v>5</v>
          </cell>
          <cell r="G50">
            <v>0.90711589249539848</v>
          </cell>
          <cell r="H50">
            <v>213</v>
          </cell>
          <cell r="I50" t="str">
            <v>10% MDGS Variable</v>
          </cell>
        </row>
        <row r="51">
          <cell r="A51">
            <v>4721</v>
          </cell>
          <cell r="B51">
            <v>570</v>
          </cell>
          <cell r="C51">
            <v>572</v>
          </cell>
          <cell r="D51">
            <v>571</v>
          </cell>
          <cell r="E51">
            <v>1</v>
          </cell>
          <cell r="F51">
            <v>5</v>
          </cell>
          <cell r="G51">
            <v>0.91456339921461605</v>
          </cell>
          <cell r="H51">
            <v>214</v>
          </cell>
          <cell r="I51" t="str">
            <v xml:space="preserve">25% MDGS Constant </v>
          </cell>
        </row>
        <row r="52">
          <cell r="A52">
            <v>4348</v>
          </cell>
          <cell r="B52">
            <v>576</v>
          </cell>
          <cell r="C52">
            <v>564</v>
          </cell>
          <cell r="D52">
            <v>570</v>
          </cell>
          <cell r="E52">
            <v>1</v>
          </cell>
          <cell r="F52">
            <v>6</v>
          </cell>
          <cell r="G52">
            <v>5.9768611532593274E-2</v>
          </cell>
          <cell r="H52">
            <v>205</v>
          </cell>
          <cell r="I52" t="str">
            <v xml:space="preserve">10% MDGS Constant </v>
          </cell>
        </row>
        <row r="53">
          <cell r="A53">
            <v>4424</v>
          </cell>
          <cell r="B53">
            <v>576</v>
          </cell>
          <cell r="C53">
            <v>582</v>
          </cell>
          <cell r="D53">
            <v>579</v>
          </cell>
          <cell r="E53">
            <v>1</v>
          </cell>
          <cell r="F53">
            <v>6</v>
          </cell>
          <cell r="G53">
            <v>0.2294401916930815</v>
          </cell>
          <cell r="H53">
            <v>206</v>
          </cell>
          <cell r="I53" t="str">
            <v>10% MDGS Variable</v>
          </cell>
        </row>
        <row r="54">
          <cell r="A54">
            <v>4695</v>
          </cell>
          <cell r="B54">
            <v>576</v>
          </cell>
          <cell r="C54">
            <v>590</v>
          </cell>
          <cell r="D54">
            <v>583</v>
          </cell>
          <cell r="E54">
            <v>1</v>
          </cell>
          <cell r="F54">
            <v>6</v>
          </cell>
          <cell r="G54">
            <v>0.22951120387005997</v>
          </cell>
          <cell r="H54">
            <v>207</v>
          </cell>
          <cell r="I54" t="str">
            <v>Control</v>
          </cell>
        </row>
        <row r="55">
          <cell r="A55">
            <v>4463</v>
          </cell>
          <cell r="B55">
            <v>576</v>
          </cell>
          <cell r="C55">
            <v>588</v>
          </cell>
          <cell r="D55">
            <v>582</v>
          </cell>
          <cell r="E55">
            <v>1</v>
          </cell>
          <cell r="F55">
            <v>6</v>
          </cell>
          <cell r="G55">
            <v>0.44961001487625618</v>
          </cell>
          <cell r="H55">
            <v>208</v>
          </cell>
          <cell r="I55" t="str">
            <v>25% MDGS Variable</v>
          </cell>
        </row>
        <row r="56">
          <cell r="A56">
            <v>4599</v>
          </cell>
          <cell r="B56">
            <v>576</v>
          </cell>
          <cell r="C56">
            <v>556</v>
          </cell>
          <cell r="D56">
            <v>566</v>
          </cell>
          <cell r="E56">
            <v>1</v>
          </cell>
          <cell r="F56">
            <v>6</v>
          </cell>
          <cell r="G56">
            <v>0.45743916430460352</v>
          </cell>
          <cell r="H56">
            <v>209</v>
          </cell>
          <cell r="I56" t="str">
            <v xml:space="preserve">25% MDGS Constant </v>
          </cell>
        </row>
        <row r="57">
          <cell r="A57">
            <v>4387</v>
          </cell>
          <cell r="B57">
            <v>574</v>
          </cell>
          <cell r="C57">
            <v>556</v>
          </cell>
          <cell r="D57">
            <v>565</v>
          </cell>
          <cell r="E57">
            <v>1</v>
          </cell>
          <cell r="F57">
            <v>6</v>
          </cell>
          <cell r="G57">
            <v>0.49069188673463482</v>
          </cell>
          <cell r="H57">
            <v>210</v>
          </cell>
          <cell r="I57" t="str">
            <v xml:space="preserve">10% MDGS Constant </v>
          </cell>
        </row>
        <row r="58">
          <cell r="A58">
            <v>4383</v>
          </cell>
          <cell r="B58">
            <v>574</v>
          </cell>
          <cell r="C58">
            <v>570</v>
          </cell>
          <cell r="D58">
            <v>572</v>
          </cell>
          <cell r="E58">
            <v>1</v>
          </cell>
          <cell r="F58">
            <v>6</v>
          </cell>
          <cell r="G58">
            <v>0.69575627583770738</v>
          </cell>
          <cell r="H58">
            <v>211</v>
          </cell>
          <cell r="I58" t="str">
            <v>Control</v>
          </cell>
        </row>
        <row r="59">
          <cell r="A59">
            <v>4498</v>
          </cell>
          <cell r="B59">
            <v>574</v>
          </cell>
          <cell r="C59">
            <v>576</v>
          </cell>
          <cell r="D59">
            <v>575</v>
          </cell>
          <cell r="E59">
            <v>1</v>
          </cell>
          <cell r="F59">
            <v>6</v>
          </cell>
          <cell r="G59">
            <v>0.78082891780537</v>
          </cell>
          <cell r="H59">
            <v>212</v>
          </cell>
          <cell r="I59" t="str">
            <v>25% MDGS Variable</v>
          </cell>
        </row>
        <row r="60">
          <cell r="A60">
            <v>4565</v>
          </cell>
          <cell r="B60">
            <v>576</v>
          </cell>
          <cell r="C60">
            <v>572</v>
          </cell>
          <cell r="D60">
            <v>574</v>
          </cell>
          <cell r="E60">
            <v>1</v>
          </cell>
          <cell r="F60">
            <v>6</v>
          </cell>
          <cell r="G60">
            <v>0.8931107154949891</v>
          </cell>
          <cell r="H60">
            <v>213</v>
          </cell>
          <cell r="I60" t="str">
            <v>10% MDGS Variable</v>
          </cell>
        </row>
        <row r="61">
          <cell r="A61">
            <v>4583</v>
          </cell>
          <cell r="B61">
            <v>576</v>
          </cell>
          <cell r="C61">
            <v>576</v>
          </cell>
          <cell r="D61">
            <v>576</v>
          </cell>
          <cell r="E61">
            <v>1</v>
          </cell>
          <cell r="F61">
            <v>6</v>
          </cell>
          <cell r="G61">
            <v>0.90405637649809811</v>
          </cell>
          <cell r="H61">
            <v>214</v>
          </cell>
          <cell r="I61" t="str">
            <v xml:space="preserve">25% MDGS Constant </v>
          </cell>
        </row>
        <row r="62">
          <cell r="A62">
            <v>4395</v>
          </cell>
          <cell r="B62">
            <v>580</v>
          </cell>
          <cell r="C62">
            <v>570</v>
          </cell>
          <cell r="D62">
            <v>575</v>
          </cell>
          <cell r="E62">
            <v>1</v>
          </cell>
          <cell r="F62">
            <v>7</v>
          </cell>
          <cell r="G62">
            <v>0.1725702337687729</v>
          </cell>
          <cell r="H62">
            <v>205</v>
          </cell>
          <cell r="I62" t="str">
            <v xml:space="preserve">10% MDGS Constant </v>
          </cell>
        </row>
        <row r="63">
          <cell r="A63">
            <v>4535</v>
          </cell>
          <cell r="B63">
            <v>580</v>
          </cell>
          <cell r="C63">
            <v>594</v>
          </cell>
          <cell r="D63">
            <v>587</v>
          </cell>
          <cell r="E63">
            <v>1</v>
          </cell>
          <cell r="F63">
            <v>7</v>
          </cell>
          <cell r="G63">
            <v>0.1891056666169989</v>
          </cell>
          <cell r="H63">
            <v>206</v>
          </cell>
          <cell r="I63" t="str">
            <v>10% MDGS Variable</v>
          </cell>
        </row>
        <row r="64">
          <cell r="A64">
            <v>4549</v>
          </cell>
          <cell r="B64">
            <v>580</v>
          </cell>
          <cell r="C64">
            <v>580</v>
          </cell>
          <cell r="D64">
            <v>580</v>
          </cell>
          <cell r="E64">
            <v>1</v>
          </cell>
          <cell r="F64">
            <v>7</v>
          </cell>
          <cell r="G64">
            <v>0.22049185081094957</v>
          </cell>
          <cell r="H64">
            <v>207</v>
          </cell>
          <cell r="I64" t="str">
            <v>Control</v>
          </cell>
        </row>
        <row r="65">
          <cell r="A65">
            <v>4736</v>
          </cell>
          <cell r="B65">
            <v>580</v>
          </cell>
          <cell r="C65">
            <v>582</v>
          </cell>
          <cell r="D65">
            <v>581</v>
          </cell>
          <cell r="E65">
            <v>1</v>
          </cell>
          <cell r="F65">
            <v>7</v>
          </cell>
          <cell r="G65">
            <v>0.48308647530405702</v>
          </cell>
          <cell r="H65">
            <v>208</v>
          </cell>
          <cell r="I65" t="str">
            <v>25% MDGS Variable</v>
          </cell>
        </row>
        <row r="66">
          <cell r="A66">
            <v>4415</v>
          </cell>
          <cell r="B66">
            <v>578</v>
          </cell>
          <cell r="C66">
            <v>586</v>
          </cell>
          <cell r="D66">
            <v>582</v>
          </cell>
          <cell r="E66">
            <v>1</v>
          </cell>
          <cell r="F66">
            <v>7</v>
          </cell>
          <cell r="G66">
            <v>0.48771191841099248</v>
          </cell>
          <cell r="H66">
            <v>209</v>
          </cell>
          <cell r="I66" t="str">
            <v xml:space="preserve">25% MDGS Constant </v>
          </cell>
        </row>
        <row r="67">
          <cell r="A67">
            <v>4339</v>
          </cell>
          <cell r="B67">
            <v>578</v>
          </cell>
          <cell r="C67">
            <v>586</v>
          </cell>
          <cell r="D67">
            <v>582</v>
          </cell>
          <cell r="E67">
            <v>1</v>
          </cell>
          <cell r="F67">
            <v>7</v>
          </cell>
          <cell r="G67">
            <v>0.70057535847945385</v>
          </cell>
          <cell r="H67">
            <v>210</v>
          </cell>
          <cell r="I67" t="str">
            <v xml:space="preserve">10% MDGS Constant </v>
          </cell>
        </row>
        <row r="68">
          <cell r="A68">
            <v>4660</v>
          </cell>
          <cell r="B68">
            <v>580</v>
          </cell>
          <cell r="C68">
            <v>582</v>
          </cell>
          <cell r="D68">
            <v>581</v>
          </cell>
          <cell r="E68">
            <v>1</v>
          </cell>
          <cell r="F68">
            <v>7</v>
          </cell>
          <cell r="G68">
            <v>0.70137742355125454</v>
          </cell>
          <cell r="H68">
            <v>211</v>
          </cell>
          <cell r="I68" t="str">
            <v>Control</v>
          </cell>
        </row>
        <row r="69">
          <cell r="A69">
            <v>4444</v>
          </cell>
          <cell r="B69">
            <v>580</v>
          </cell>
          <cell r="C69">
            <v>576</v>
          </cell>
          <cell r="D69">
            <v>578</v>
          </cell>
          <cell r="E69">
            <v>1</v>
          </cell>
          <cell r="F69">
            <v>7</v>
          </cell>
          <cell r="G69">
            <v>0.76591954523643779</v>
          </cell>
          <cell r="H69">
            <v>212</v>
          </cell>
          <cell r="I69" t="str">
            <v>25% MDGS Variable</v>
          </cell>
        </row>
        <row r="70">
          <cell r="A70">
            <v>4659</v>
          </cell>
          <cell r="B70">
            <v>580</v>
          </cell>
          <cell r="C70">
            <v>586</v>
          </cell>
          <cell r="D70">
            <v>583</v>
          </cell>
          <cell r="E70">
            <v>1</v>
          </cell>
          <cell r="F70">
            <v>7</v>
          </cell>
          <cell r="G70">
            <v>0.76641383921830186</v>
          </cell>
          <cell r="H70">
            <v>213</v>
          </cell>
          <cell r="I70" t="str">
            <v>10% MDGS Variable</v>
          </cell>
        </row>
        <row r="71">
          <cell r="A71">
            <v>4345</v>
          </cell>
          <cell r="B71">
            <v>580</v>
          </cell>
          <cell r="C71">
            <v>584</v>
          </cell>
          <cell r="D71">
            <v>582</v>
          </cell>
          <cell r="E71">
            <v>1</v>
          </cell>
          <cell r="F71">
            <v>7</v>
          </cell>
          <cell r="G71">
            <v>0.76800048747714489</v>
          </cell>
          <cell r="H71">
            <v>214</v>
          </cell>
          <cell r="I71" t="str">
            <v xml:space="preserve">25% MDGS Constant </v>
          </cell>
        </row>
        <row r="72">
          <cell r="A72">
            <v>4545</v>
          </cell>
          <cell r="B72">
            <v>584</v>
          </cell>
          <cell r="C72">
            <v>574</v>
          </cell>
          <cell r="D72">
            <v>579</v>
          </cell>
          <cell r="E72">
            <v>1</v>
          </cell>
          <cell r="F72">
            <v>8</v>
          </cell>
          <cell r="G72">
            <v>0.10196000293483043</v>
          </cell>
          <cell r="H72">
            <v>205</v>
          </cell>
          <cell r="I72" t="str">
            <v xml:space="preserve">10% MDGS Constant </v>
          </cell>
        </row>
        <row r="73">
          <cell r="A73">
            <v>4638</v>
          </cell>
          <cell r="B73">
            <v>584</v>
          </cell>
          <cell r="C73">
            <v>590</v>
          </cell>
          <cell r="D73">
            <v>587</v>
          </cell>
          <cell r="E73">
            <v>1</v>
          </cell>
          <cell r="F73">
            <v>8</v>
          </cell>
          <cell r="G73">
            <v>0.13170372475233638</v>
          </cell>
          <cell r="H73">
            <v>206</v>
          </cell>
          <cell r="I73" t="str">
            <v>10% MDGS Variable</v>
          </cell>
        </row>
        <row r="74">
          <cell r="A74">
            <v>4710</v>
          </cell>
          <cell r="B74">
            <v>582</v>
          </cell>
          <cell r="C74">
            <v>594</v>
          </cell>
          <cell r="D74">
            <v>588</v>
          </cell>
          <cell r="E74">
            <v>1</v>
          </cell>
          <cell r="F74">
            <v>8</v>
          </cell>
          <cell r="G74">
            <v>0.24497559154918536</v>
          </cell>
          <cell r="H74">
            <v>207</v>
          </cell>
          <cell r="I74" t="str">
            <v>Control</v>
          </cell>
        </row>
        <row r="75">
          <cell r="A75">
            <v>4602</v>
          </cell>
          <cell r="B75">
            <v>582</v>
          </cell>
          <cell r="C75">
            <v>582</v>
          </cell>
          <cell r="D75">
            <v>582</v>
          </cell>
          <cell r="E75">
            <v>1</v>
          </cell>
          <cell r="F75">
            <v>8</v>
          </cell>
          <cell r="G75">
            <v>0.42035538945004569</v>
          </cell>
          <cell r="H75">
            <v>208</v>
          </cell>
          <cell r="I75" t="str">
            <v>25% MDGS Variable</v>
          </cell>
        </row>
        <row r="76">
          <cell r="A76">
            <v>4682</v>
          </cell>
          <cell r="B76">
            <v>582</v>
          </cell>
          <cell r="C76">
            <v>600</v>
          </cell>
          <cell r="D76">
            <v>591</v>
          </cell>
          <cell r="E76">
            <v>1</v>
          </cell>
          <cell r="F76">
            <v>8</v>
          </cell>
          <cell r="G76">
            <v>0.44863527410285431</v>
          </cell>
          <cell r="H76">
            <v>209</v>
          </cell>
          <cell r="I76" t="str">
            <v xml:space="preserve">25% MDGS Constant </v>
          </cell>
        </row>
        <row r="77">
          <cell r="A77">
            <v>4760</v>
          </cell>
          <cell r="B77">
            <v>580</v>
          </cell>
          <cell r="C77">
            <v>596</v>
          </cell>
          <cell r="D77">
            <v>588</v>
          </cell>
          <cell r="E77">
            <v>1</v>
          </cell>
          <cell r="F77">
            <v>8</v>
          </cell>
          <cell r="G77">
            <v>0.48680998777118756</v>
          </cell>
          <cell r="H77">
            <v>210</v>
          </cell>
          <cell r="I77" t="str">
            <v xml:space="preserve">10% MDGS Constant </v>
          </cell>
        </row>
        <row r="78">
          <cell r="A78">
            <v>4311</v>
          </cell>
          <cell r="B78">
            <v>586</v>
          </cell>
          <cell r="C78">
            <v>596</v>
          </cell>
          <cell r="D78">
            <v>591</v>
          </cell>
          <cell r="E78">
            <v>1</v>
          </cell>
          <cell r="F78">
            <v>8</v>
          </cell>
          <cell r="G78">
            <v>0.63533078098269258</v>
          </cell>
          <cell r="H78">
            <v>211</v>
          </cell>
          <cell r="I78" t="str">
            <v>Control</v>
          </cell>
        </row>
        <row r="79">
          <cell r="A79">
            <v>4770</v>
          </cell>
          <cell r="B79">
            <v>584</v>
          </cell>
          <cell r="C79">
            <v>582</v>
          </cell>
          <cell r="D79">
            <v>583</v>
          </cell>
          <cell r="E79">
            <v>1</v>
          </cell>
          <cell r="F79">
            <v>8</v>
          </cell>
          <cell r="G79">
            <v>0.64825977226260501</v>
          </cell>
          <cell r="H79">
            <v>212</v>
          </cell>
          <cell r="I79" t="str">
            <v>25% MDGS Variable</v>
          </cell>
        </row>
        <row r="80">
          <cell r="A80">
            <v>4504</v>
          </cell>
          <cell r="B80">
            <v>582</v>
          </cell>
          <cell r="C80">
            <v>574</v>
          </cell>
          <cell r="D80">
            <v>578</v>
          </cell>
          <cell r="E80">
            <v>1</v>
          </cell>
          <cell r="F80">
            <v>8</v>
          </cell>
          <cell r="G80">
            <v>0.73059347561769317</v>
          </cell>
          <cell r="H80">
            <v>213</v>
          </cell>
          <cell r="I80" t="str">
            <v>10% MDGS Variable</v>
          </cell>
        </row>
        <row r="81">
          <cell r="A81">
            <v>4593</v>
          </cell>
          <cell r="B81">
            <v>582</v>
          </cell>
          <cell r="C81">
            <v>598</v>
          </cell>
          <cell r="D81">
            <v>590</v>
          </cell>
          <cell r="E81">
            <v>1</v>
          </cell>
          <cell r="F81">
            <v>8</v>
          </cell>
          <cell r="G81">
            <v>0.90969687363223128</v>
          </cell>
          <cell r="H81">
            <v>214</v>
          </cell>
          <cell r="I81" t="str">
            <v xml:space="preserve">25% MDGS Constant </v>
          </cell>
        </row>
        <row r="82">
          <cell r="A82">
            <v>4336</v>
          </cell>
          <cell r="B82">
            <v>586</v>
          </cell>
          <cell r="C82">
            <v>606</v>
          </cell>
          <cell r="D82">
            <v>596</v>
          </cell>
          <cell r="E82">
            <v>1</v>
          </cell>
          <cell r="F82">
            <v>9</v>
          </cell>
          <cell r="G82">
            <v>0.1412090500715919</v>
          </cell>
          <cell r="H82">
            <v>205</v>
          </cell>
          <cell r="I82" t="str">
            <v xml:space="preserve">10% MDGS Constant </v>
          </cell>
        </row>
        <row r="83">
          <cell r="A83">
            <v>4747</v>
          </cell>
          <cell r="B83">
            <v>586</v>
          </cell>
          <cell r="C83">
            <v>582</v>
          </cell>
          <cell r="D83">
            <v>584</v>
          </cell>
          <cell r="E83">
            <v>1</v>
          </cell>
          <cell r="F83">
            <v>9</v>
          </cell>
          <cell r="G83">
            <v>0.35906640434303339</v>
          </cell>
          <cell r="H83">
            <v>206</v>
          </cell>
          <cell r="I83" t="str">
            <v>10% MDGS Variable</v>
          </cell>
        </row>
        <row r="84">
          <cell r="A84">
            <v>4769</v>
          </cell>
          <cell r="B84">
            <v>586</v>
          </cell>
          <cell r="C84">
            <v>598</v>
          </cell>
          <cell r="D84">
            <v>592</v>
          </cell>
          <cell r="E84">
            <v>1</v>
          </cell>
          <cell r="F84">
            <v>9</v>
          </cell>
          <cell r="G84">
            <v>0.41571224766763859</v>
          </cell>
          <cell r="H84">
            <v>207</v>
          </cell>
          <cell r="I84" t="str">
            <v>Control</v>
          </cell>
        </row>
        <row r="85">
          <cell r="A85">
            <v>4678</v>
          </cell>
          <cell r="B85">
            <v>586</v>
          </cell>
          <cell r="C85">
            <v>580</v>
          </cell>
          <cell r="D85">
            <v>583</v>
          </cell>
          <cell r="E85">
            <v>1</v>
          </cell>
          <cell r="F85">
            <v>9</v>
          </cell>
          <cell r="G85">
            <v>0.44140096226305425</v>
          </cell>
          <cell r="H85">
            <v>208</v>
          </cell>
          <cell r="I85" t="str">
            <v>25% MDGS Variable</v>
          </cell>
        </row>
        <row r="86">
          <cell r="A86">
            <v>4391</v>
          </cell>
          <cell r="B86">
            <v>586</v>
          </cell>
          <cell r="C86">
            <v>590</v>
          </cell>
          <cell r="D86">
            <v>588</v>
          </cell>
          <cell r="E86">
            <v>1</v>
          </cell>
          <cell r="F86">
            <v>9</v>
          </cell>
          <cell r="G86">
            <v>0.50498087625068344</v>
          </cell>
          <cell r="H86">
            <v>209</v>
          </cell>
          <cell r="I86" t="str">
            <v xml:space="preserve">25% MDGS Constant </v>
          </cell>
        </row>
        <row r="87">
          <cell r="A87">
            <v>4421</v>
          </cell>
          <cell r="B87">
            <v>586</v>
          </cell>
          <cell r="C87">
            <v>588</v>
          </cell>
          <cell r="D87">
            <v>587</v>
          </cell>
          <cell r="E87">
            <v>1</v>
          </cell>
          <cell r="F87">
            <v>9</v>
          </cell>
          <cell r="G87">
            <v>0.70481273972122005</v>
          </cell>
          <cell r="H87">
            <v>210</v>
          </cell>
          <cell r="I87" t="str">
            <v xml:space="preserve">10% MDGS Constant </v>
          </cell>
        </row>
        <row r="88">
          <cell r="A88">
            <v>4443</v>
          </cell>
          <cell r="B88">
            <v>586</v>
          </cell>
          <cell r="C88">
            <v>576</v>
          </cell>
          <cell r="D88">
            <v>581</v>
          </cell>
          <cell r="E88">
            <v>1</v>
          </cell>
          <cell r="F88">
            <v>9</v>
          </cell>
          <cell r="G88">
            <v>0.76485247385471433</v>
          </cell>
          <cell r="H88">
            <v>211</v>
          </cell>
          <cell r="I88" t="str">
            <v>Control</v>
          </cell>
        </row>
        <row r="89">
          <cell r="A89">
            <v>4433</v>
          </cell>
          <cell r="B89">
            <v>588</v>
          </cell>
          <cell r="C89">
            <v>604</v>
          </cell>
          <cell r="D89">
            <v>596</v>
          </cell>
          <cell r="E89">
            <v>1</v>
          </cell>
          <cell r="F89">
            <v>9</v>
          </cell>
          <cell r="G89">
            <v>0.94398142714179667</v>
          </cell>
          <cell r="H89">
            <v>212</v>
          </cell>
          <cell r="I89" t="str">
            <v>25% MDGS Variable</v>
          </cell>
        </row>
        <row r="90">
          <cell r="A90">
            <v>4355</v>
          </cell>
          <cell r="B90">
            <v>586</v>
          </cell>
          <cell r="C90">
            <v>600</v>
          </cell>
          <cell r="D90">
            <v>593</v>
          </cell>
          <cell r="E90">
            <v>1</v>
          </cell>
          <cell r="F90">
            <v>9</v>
          </cell>
          <cell r="G90">
            <v>0.98066018587623149</v>
          </cell>
          <cell r="H90">
            <v>213</v>
          </cell>
          <cell r="I90" t="str">
            <v>10% MDGS Variable</v>
          </cell>
        </row>
        <row r="91">
          <cell r="A91">
            <v>4576</v>
          </cell>
          <cell r="B91">
            <v>586</v>
          </cell>
          <cell r="C91">
            <v>602</v>
          </cell>
          <cell r="D91">
            <v>594</v>
          </cell>
          <cell r="E91">
            <v>1</v>
          </cell>
          <cell r="F91">
            <v>9</v>
          </cell>
          <cell r="G91">
            <v>0.99928253874714745</v>
          </cell>
          <cell r="H91">
            <v>214</v>
          </cell>
          <cell r="I91" t="str">
            <v xml:space="preserve">25% MDGS Constant </v>
          </cell>
        </row>
        <row r="92">
          <cell r="A92">
            <v>4483</v>
          </cell>
          <cell r="B92">
            <v>588</v>
          </cell>
          <cell r="C92">
            <v>572</v>
          </cell>
          <cell r="D92">
            <v>580</v>
          </cell>
          <cell r="E92">
            <v>1</v>
          </cell>
          <cell r="F92">
            <v>10</v>
          </cell>
          <cell r="G92">
            <v>0.12516870478556308</v>
          </cell>
          <cell r="H92">
            <v>205</v>
          </cell>
          <cell r="I92" t="str">
            <v xml:space="preserve">10% MDGS Constant </v>
          </cell>
        </row>
        <row r="93">
          <cell r="A93">
            <v>4651</v>
          </cell>
          <cell r="B93">
            <v>590</v>
          </cell>
          <cell r="C93">
            <v>572</v>
          </cell>
          <cell r="D93">
            <v>581</v>
          </cell>
          <cell r="E93">
            <v>1</v>
          </cell>
          <cell r="F93">
            <v>10</v>
          </cell>
          <cell r="G93">
            <v>0.27700322175270875</v>
          </cell>
          <cell r="H93">
            <v>206</v>
          </cell>
          <cell r="I93" t="str">
            <v>10% MDGS Variable</v>
          </cell>
        </row>
        <row r="94">
          <cell r="A94">
            <v>4427</v>
          </cell>
          <cell r="B94">
            <v>590</v>
          </cell>
          <cell r="C94">
            <v>598</v>
          </cell>
          <cell r="D94">
            <v>594</v>
          </cell>
          <cell r="E94">
            <v>1</v>
          </cell>
          <cell r="F94">
            <v>10</v>
          </cell>
          <cell r="G94">
            <v>0.29734586141095798</v>
          </cell>
          <cell r="H94">
            <v>207</v>
          </cell>
          <cell r="I94" t="str">
            <v>Control</v>
          </cell>
        </row>
        <row r="95">
          <cell r="A95">
            <v>4640</v>
          </cell>
          <cell r="B95">
            <v>590</v>
          </cell>
          <cell r="C95">
            <v>598</v>
          </cell>
          <cell r="D95">
            <v>594</v>
          </cell>
          <cell r="E95">
            <v>1</v>
          </cell>
          <cell r="F95">
            <v>10</v>
          </cell>
          <cell r="G95">
            <v>0.3918876975589104</v>
          </cell>
          <cell r="H95">
            <v>208</v>
          </cell>
          <cell r="I95" t="str">
            <v>25% MDGS Variable</v>
          </cell>
        </row>
        <row r="96">
          <cell r="A96">
            <v>4454</v>
          </cell>
          <cell r="B96">
            <v>588</v>
          </cell>
          <cell r="C96">
            <v>564</v>
          </cell>
          <cell r="D96">
            <v>576</v>
          </cell>
          <cell r="E96">
            <v>1</v>
          </cell>
          <cell r="F96">
            <v>10</v>
          </cell>
          <cell r="G96">
            <v>0.49102264321139555</v>
          </cell>
          <cell r="H96">
            <v>209</v>
          </cell>
          <cell r="I96" t="str">
            <v xml:space="preserve">25% MDGS Constant </v>
          </cell>
        </row>
        <row r="97">
          <cell r="A97">
            <v>4572</v>
          </cell>
          <cell r="B97">
            <v>588</v>
          </cell>
          <cell r="C97">
            <v>576</v>
          </cell>
          <cell r="D97">
            <v>582</v>
          </cell>
          <cell r="E97">
            <v>1</v>
          </cell>
          <cell r="F97">
            <v>10</v>
          </cell>
          <cell r="G97">
            <v>0.61330717483621666</v>
          </cell>
          <cell r="H97">
            <v>210</v>
          </cell>
          <cell r="I97" t="str">
            <v xml:space="preserve">10% MDGS Constant </v>
          </cell>
        </row>
        <row r="98">
          <cell r="A98">
            <v>4767</v>
          </cell>
          <cell r="B98">
            <v>588</v>
          </cell>
          <cell r="C98">
            <v>596</v>
          </cell>
          <cell r="D98">
            <v>592</v>
          </cell>
          <cell r="E98">
            <v>1</v>
          </cell>
          <cell r="F98">
            <v>10</v>
          </cell>
          <cell r="G98">
            <v>0.74304978575731295</v>
          </cell>
          <cell r="H98">
            <v>211</v>
          </cell>
          <cell r="I98" t="str">
            <v>Control</v>
          </cell>
        </row>
        <row r="99">
          <cell r="A99">
            <v>4490</v>
          </cell>
          <cell r="B99">
            <v>588</v>
          </cell>
          <cell r="C99">
            <v>612</v>
          </cell>
          <cell r="D99">
            <v>600</v>
          </cell>
          <cell r="E99">
            <v>1</v>
          </cell>
          <cell r="F99">
            <v>10</v>
          </cell>
          <cell r="G99">
            <v>0.84983149126055713</v>
          </cell>
          <cell r="H99">
            <v>212</v>
          </cell>
          <cell r="I99" t="str">
            <v>25% MDGS Variable</v>
          </cell>
        </row>
        <row r="100">
          <cell r="A100">
            <v>4675</v>
          </cell>
          <cell r="B100">
            <v>588</v>
          </cell>
          <cell r="C100">
            <v>578</v>
          </cell>
          <cell r="D100">
            <v>583</v>
          </cell>
          <cell r="E100">
            <v>1</v>
          </cell>
          <cell r="F100">
            <v>10</v>
          </cell>
          <cell r="G100">
            <v>0.86930371915068461</v>
          </cell>
          <cell r="H100">
            <v>213</v>
          </cell>
          <cell r="I100" t="str">
            <v>10% MDGS Variable</v>
          </cell>
        </row>
        <row r="101">
          <cell r="A101">
            <v>4649</v>
          </cell>
          <cell r="B101">
            <v>588</v>
          </cell>
          <cell r="C101">
            <v>576</v>
          </cell>
          <cell r="D101">
            <v>582</v>
          </cell>
          <cell r="E101">
            <v>1</v>
          </cell>
          <cell r="F101">
            <v>10</v>
          </cell>
          <cell r="G101">
            <v>0.94557195108110481</v>
          </cell>
          <cell r="H101">
            <v>214</v>
          </cell>
          <cell r="I101" t="str">
            <v xml:space="preserve">25% MDGS Constant </v>
          </cell>
        </row>
        <row r="102">
          <cell r="A102">
            <v>4471</v>
          </cell>
          <cell r="B102">
            <v>594</v>
          </cell>
          <cell r="C102">
            <v>604</v>
          </cell>
          <cell r="D102">
            <v>599</v>
          </cell>
          <cell r="E102">
            <v>2</v>
          </cell>
          <cell r="F102">
            <v>1</v>
          </cell>
          <cell r="G102">
            <v>1.4756082583818886E-2</v>
          </cell>
          <cell r="H102">
            <v>215</v>
          </cell>
          <cell r="I102" t="str">
            <v>10% MDGS Variable</v>
          </cell>
        </row>
        <row r="103">
          <cell r="A103">
            <v>4639</v>
          </cell>
          <cell r="B103">
            <v>592</v>
          </cell>
          <cell r="C103">
            <v>604</v>
          </cell>
          <cell r="D103">
            <v>598</v>
          </cell>
          <cell r="E103">
            <v>2</v>
          </cell>
          <cell r="F103">
            <v>1</v>
          </cell>
          <cell r="G103">
            <v>4.7402768234176107E-2</v>
          </cell>
          <cell r="H103">
            <v>216</v>
          </cell>
          <cell r="I103" t="str">
            <v xml:space="preserve">10% MDGS Constant </v>
          </cell>
        </row>
        <row r="104">
          <cell r="A104">
            <v>4611</v>
          </cell>
          <cell r="B104">
            <v>592</v>
          </cell>
          <cell r="C104">
            <v>600</v>
          </cell>
          <cell r="D104">
            <v>596</v>
          </cell>
          <cell r="E104">
            <v>2</v>
          </cell>
          <cell r="F104">
            <v>1</v>
          </cell>
          <cell r="G104">
            <v>5.7049458223745297E-2</v>
          </cell>
          <cell r="H104">
            <v>301</v>
          </cell>
          <cell r="I104" t="str">
            <v xml:space="preserve">25% MDGS Constant </v>
          </cell>
        </row>
        <row r="105">
          <cell r="A105">
            <v>4389</v>
          </cell>
          <cell r="B105">
            <v>596</v>
          </cell>
          <cell r="C105">
            <v>588</v>
          </cell>
          <cell r="D105">
            <v>592</v>
          </cell>
          <cell r="E105">
            <v>2</v>
          </cell>
          <cell r="F105">
            <v>1</v>
          </cell>
          <cell r="G105">
            <v>0.14789000845133149</v>
          </cell>
          <cell r="H105">
            <v>302</v>
          </cell>
          <cell r="I105" t="str">
            <v>25% MDGS Variable</v>
          </cell>
        </row>
        <row r="106">
          <cell r="A106">
            <v>4537</v>
          </cell>
          <cell r="B106">
            <v>592</v>
          </cell>
          <cell r="C106">
            <v>612</v>
          </cell>
          <cell r="D106">
            <v>602</v>
          </cell>
          <cell r="E106">
            <v>2</v>
          </cell>
          <cell r="F106">
            <v>1</v>
          </cell>
          <cell r="G106">
            <v>0.18642295912438389</v>
          </cell>
          <cell r="H106">
            <v>303</v>
          </cell>
          <cell r="I106" t="str">
            <v>Control</v>
          </cell>
        </row>
        <row r="107">
          <cell r="A107">
            <v>4394</v>
          </cell>
          <cell r="B107">
            <v>596</v>
          </cell>
          <cell r="C107">
            <v>604</v>
          </cell>
          <cell r="D107">
            <v>600</v>
          </cell>
          <cell r="E107">
            <v>2</v>
          </cell>
          <cell r="F107">
            <v>1</v>
          </cell>
          <cell r="G107">
            <v>0.25662736240487349</v>
          </cell>
          <cell r="H107">
            <v>304</v>
          </cell>
          <cell r="I107" t="str">
            <v>10% MDGS Variable</v>
          </cell>
        </row>
        <row r="108">
          <cell r="A108">
            <v>4612</v>
          </cell>
          <cell r="B108">
            <v>596</v>
          </cell>
          <cell r="C108">
            <v>586</v>
          </cell>
          <cell r="D108">
            <v>591</v>
          </cell>
          <cell r="E108">
            <v>2</v>
          </cell>
          <cell r="F108">
            <v>1</v>
          </cell>
          <cell r="G108">
            <v>0.33997981867395999</v>
          </cell>
          <cell r="H108">
            <v>305</v>
          </cell>
          <cell r="I108" t="str">
            <v xml:space="preserve">10% MDGS Constant </v>
          </cell>
        </row>
        <row r="109">
          <cell r="A109">
            <v>4496</v>
          </cell>
          <cell r="B109">
            <v>596</v>
          </cell>
          <cell r="C109">
            <v>592</v>
          </cell>
          <cell r="D109">
            <v>594</v>
          </cell>
          <cell r="E109">
            <v>2</v>
          </cell>
          <cell r="F109">
            <v>1</v>
          </cell>
          <cell r="G109">
            <v>0.48181107045737648</v>
          </cell>
          <cell r="H109">
            <v>306</v>
          </cell>
          <cell r="I109" t="str">
            <v>Control</v>
          </cell>
        </row>
        <row r="110">
          <cell r="A110">
            <v>4628</v>
          </cell>
          <cell r="B110">
            <v>592</v>
          </cell>
          <cell r="C110">
            <v>568</v>
          </cell>
          <cell r="D110">
            <v>580</v>
          </cell>
          <cell r="E110">
            <v>2</v>
          </cell>
          <cell r="F110">
            <v>1</v>
          </cell>
          <cell r="G110">
            <v>0.48818416913634477</v>
          </cell>
          <cell r="H110">
            <v>307</v>
          </cell>
          <cell r="I110" t="str">
            <v>25% MDGS Variable</v>
          </cell>
        </row>
        <row r="111">
          <cell r="A111">
            <v>4600</v>
          </cell>
          <cell r="B111">
            <v>596</v>
          </cell>
          <cell r="C111">
            <v>592</v>
          </cell>
          <cell r="D111">
            <v>594</v>
          </cell>
          <cell r="E111">
            <v>2</v>
          </cell>
          <cell r="F111">
            <v>1</v>
          </cell>
          <cell r="G111">
            <v>0.49179816181969338</v>
          </cell>
          <cell r="H111">
            <v>308</v>
          </cell>
          <cell r="I111" t="str">
            <v xml:space="preserve">25% MDGS Constant </v>
          </cell>
        </row>
        <row r="112">
          <cell r="A112">
            <v>4696</v>
          </cell>
          <cell r="B112">
            <v>594</v>
          </cell>
          <cell r="C112">
            <v>588</v>
          </cell>
          <cell r="D112">
            <v>591</v>
          </cell>
          <cell r="E112">
            <v>2</v>
          </cell>
          <cell r="F112">
            <v>1</v>
          </cell>
          <cell r="G112">
            <v>0.50595051791786005</v>
          </cell>
          <cell r="H112">
            <v>309</v>
          </cell>
          <cell r="I112" t="str">
            <v>Control</v>
          </cell>
        </row>
        <row r="113">
          <cell r="A113">
            <v>4674</v>
          </cell>
          <cell r="B113">
            <v>592</v>
          </cell>
          <cell r="C113">
            <v>598</v>
          </cell>
          <cell r="D113">
            <v>595</v>
          </cell>
          <cell r="E113">
            <v>2</v>
          </cell>
          <cell r="F113">
            <v>1</v>
          </cell>
          <cell r="G113">
            <v>0.62764015654280703</v>
          </cell>
          <cell r="H113">
            <v>310</v>
          </cell>
          <cell r="I113" t="str">
            <v>10% MDGS Variable</v>
          </cell>
        </row>
        <row r="114">
          <cell r="A114">
            <v>4752</v>
          </cell>
          <cell r="B114">
            <v>596</v>
          </cell>
          <cell r="C114">
            <v>606</v>
          </cell>
          <cell r="D114">
            <v>601</v>
          </cell>
          <cell r="E114">
            <v>2</v>
          </cell>
          <cell r="F114">
            <v>1</v>
          </cell>
          <cell r="G114">
            <v>0.74214541651445576</v>
          </cell>
          <cell r="H114">
            <v>311</v>
          </cell>
          <cell r="I114" t="str">
            <v xml:space="preserve">10% MDGS Constant </v>
          </cell>
        </row>
        <row r="115">
          <cell r="A115">
            <v>4408</v>
          </cell>
          <cell r="B115">
            <v>596</v>
          </cell>
          <cell r="C115">
            <v>596</v>
          </cell>
          <cell r="D115">
            <v>596</v>
          </cell>
          <cell r="E115">
            <v>2</v>
          </cell>
          <cell r="F115">
            <v>1</v>
          </cell>
          <cell r="G115">
            <v>0.76936951566099665</v>
          </cell>
          <cell r="H115">
            <v>312</v>
          </cell>
          <cell r="I115" t="str">
            <v xml:space="preserve">25% MDGS Constant </v>
          </cell>
        </row>
        <row r="116">
          <cell r="A116">
            <v>4329</v>
          </cell>
          <cell r="B116">
            <v>596</v>
          </cell>
          <cell r="C116">
            <v>598</v>
          </cell>
          <cell r="D116">
            <v>597</v>
          </cell>
          <cell r="E116">
            <v>2</v>
          </cell>
          <cell r="F116">
            <v>1</v>
          </cell>
          <cell r="G116">
            <v>0.77103182326793918</v>
          </cell>
          <cell r="H116">
            <v>313</v>
          </cell>
          <cell r="I116" t="str">
            <v>25% MDGS Variable</v>
          </cell>
        </row>
        <row r="117">
          <cell r="A117">
            <v>4439</v>
          </cell>
          <cell r="B117">
            <v>598</v>
          </cell>
          <cell r="C117">
            <v>614</v>
          </cell>
          <cell r="D117">
            <v>606</v>
          </cell>
          <cell r="E117">
            <v>2</v>
          </cell>
          <cell r="F117">
            <v>1</v>
          </cell>
          <cell r="G117">
            <v>0.77599775073479937</v>
          </cell>
          <cell r="H117">
            <v>314</v>
          </cell>
          <cell r="I117" t="str">
            <v>25% MDGS Variable</v>
          </cell>
        </row>
        <row r="118">
          <cell r="A118">
            <v>4634</v>
          </cell>
          <cell r="B118">
            <v>594</v>
          </cell>
          <cell r="C118">
            <v>596</v>
          </cell>
          <cell r="D118">
            <v>595</v>
          </cell>
          <cell r="E118">
            <v>2</v>
          </cell>
          <cell r="F118">
            <v>1</v>
          </cell>
          <cell r="G118">
            <v>0.80618911787319347</v>
          </cell>
          <cell r="H118">
            <v>315</v>
          </cell>
          <cell r="I118" t="str">
            <v xml:space="preserve">25% MDGS Constant </v>
          </cell>
        </row>
        <row r="119">
          <cell r="A119">
            <v>4690</v>
          </cell>
          <cell r="B119">
            <v>592</v>
          </cell>
          <cell r="C119">
            <v>604</v>
          </cell>
          <cell r="D119">
            <v>598</v>
          </cell>
          <cell r="E119">
            <v>2</v>
          </cell>
          <cell r="F119">
            <v>1</v>
          </cell>
          <cell r="G119">
            <v>0.81896100288473794</v>
          </cell>
          <cell r="H119">
            <v>316</v>
          </cell>
          <cell r="I119" t="str">
            <v xml:space="preserve">10% MDGS Constant </v>
          </cell>
        </row>
        <row r="120">
          <cell r="A120">
            <v>4467</v>
          </cell>
          <cell r="B120">
            <v>596</v>
          </cell>
          <cell r="C120">
            <v>606</v>
          </cell>
          <cell r="D120">
            <v>601</v>
          </cell>
          <cell r="E120">
            <v>2</v>
          </cell>
          <cell r="F120">
            <v>1</v>
          </cell>
          <cell r="G120">
            <v>0.87251119098919461</v>
          </cell>
          <cell r="H120">
            <v>317</v>
          </cell>
          <cell r="I120" t="str">
            <v>Control</v>
          </cell>
        </row>
        <row r="121">
          <cell r="A121">
            <v>4479</v>
          </cell>
          <cell r="B121">
            <v>592</v>
          </cell>
          <cell r="C121">
            <v>600</v>
          </cell>
          <cell r="D121">
            <v>596</v>
          </cell>
          <cell r="E121">
            <v>2</v>
          </cell>
          <cell r="F121">
            <v>1</v>
          </cell>
          <cell r="G121">
            <v>0.97228927987614155</v>
          </cell>
          <cell r="H121">
            <v>318</v>
          </cell>
          <cell r="I121" t="str">
            <v>10% MDGS Variable</v>
          </cell>
        </row>
        <row r="122">
          <cell r="A122">
            <v>4727</v>
          </cell>
          <cell r="B122">
            <v>602</v>
          </cell>
          <cell r="C122">
            <v>614</v>
          </cell>
          <cell r="D122">
            <v>608</v>
          </cell>
          <cell r="E122">
            <v>2</v>
          </cell>
          <cell r="F122">
            <v>2</v>
          </cell>
          <cell r="G122">
            <v>9.3112066745773103E-2</v>
          </cell>
          <cell r="H122">
            <v>215</v>
          </cell>
          <cell r="I122" t="str">
            <v>10% MDGS Variable</v>
          </cell>
        </row>
        <row r="123">
          <cell r="A123">
            <v>4524</v>
          </cell>
          <cell r="B123">
            <v>602</v>
          </cell>
          <cell r="C123">
            <v>600</v>
          </cell>
          <cell r="D123">
            <v>601</v>
          </cell>
          <cell r="E123">
            <v>2</v>
          </cell>
          <cell r="F123">
            <v>2</v>
          </cell>
          <cell r="G123">
            <v>0.13815616028413791</v>
          </cell>
          <cell r="H123">
            <v>216</v>
          </cell>
          <cell r="I123" t="str">
            <v xml:space="preserve">10% MDGS Constant </v>
          </cell>
        </row>
        <row r="124">
          <cell r="A124">
            <v>4614</v>
          </cell>
          <cell r="B124">
            <v>602</v>
          </cell>
          <cell r="C124">
            <v>602</v>
          </cell>
          <cell r="D124">
            <v>602</v>
          </cell>
          <cell r="E124">
            <v>2</v>
          </cell>
          <cell r="F124">
            <v>2</v>
          </cell>
          <cell r="G124">
            <v>0.14155921281742978</v>
          </cell>
          <cell r="H124">
            <v>301</v>
          </cell>
          <cell r="I124" t="str">
            <v xml:space="preserve">25% MDGS Constant </v>
          </cell>
        </row>
        <row r="125">
          <cell r="A125">
            <v>4446</v>
          </cell>
          <cell r="B125">
            <v>602</v>
          </cell>
          <cell r="C125">
            <v>626</v>
          </cell>
          <cell r="D125">
            <v>614</v>
          </cell>
          <cell r="E125">
            <v>2</v>
          </cell>
          <cell r="F125">
            <v>2</v>
          </cell>
          <cell r="G125">
            <v>0.14264104422510882</v>
          </cell>
          <cell r="H125">
            <v>302</v>
          </cell>
          <cell r="I125" t="str">
            <v>25% MDGS Variable</v>
          </cell>
        </row>
        <row r="126">
          <cell r="A126">
            <v>4718</v>
          </cell>
          <cell r="B126">
            <v>598</v>
          </cell>
          <cell r="C126">
            <v>598</v>
          </cell>
          <cell r="D126">
            <v>598</v>
          </cell>
          <cell r="E126">
            <v>2</v>
          </cell>
          <cell r="F126">
            <v>2</v>
          </cell>
          <cell r="G126">
            <v>0.14938604490814034</v>
          </cell>
          <cell r="H126">
            <v>303</v>
          </cell>
          <cell r="I126" t="str">
            <v>Control</v>
          </cell>
        </row>
        <row r="127">
          <cell r="A127">
            <v>4404</v>
          </cell>
          <cell r="B127">
            <v>602</v>
          </cell>
          <cell r="C127">
            <v>606</v>
          </cell>
          <cell r="D127">
            <v>604</v>
          </cell>
          <cell r="E127">
            <v>2</v>
          </cell>
          <cell r="F127">
            <v>2</v>
          </cell>
          <cell r="G127">
            <v>0.21996919860187591</v>
          </cell>
          <cell r="H127">
            <v>304</v>
          </cell>
          <cell r="I127" t="str">
            <v>10% MDGS Variable</v>
          </cell>
        </row>
        <row r="128">
          <cell r="A128">
            <v>4428</v>
          </cell>
          <cell r="B128">
            <v>606</v>
          </cell>
          <cell r="C128">
            <v>604</v>
          </cell>
          <cell r="D128">
            <v>605</v>
          </cell>
          <cell r="E128">
            <v>2</v>
          </cell>
          <cell r="F128">
            <v>2</v>
          </cell>
          <cell r="G128">
            <v>0.24474136903889254</v>
          </cell>
          <cell r="H128">
            <v>305</v>
          </cell>
          <cell r="I128" t="str">
            <v xml:space="preserve">10% MDGS Constant </v>
          </cell>
        </row>
        <row r="129">
          <cell r="A129">
            <v>4473</v>
          </cell>
          <cell r="B129">
            <v>602</v>
          </cell>
          <cell r="C129">
            <v>602</v>
          </cell>
          <cell r="D129">
            <v>602</v>
          </cell>
          <cell r="E129">
            <v>2</v>
          </cell>
          <cell r="F129">
            <v>2</v>
          </cell>
          <cell r="G129">
            <v>0.29437802963269888</v>
          </cell>
          <cell r="H129">
            <v>306</v>
          </cell>
          <cell r="I129" t="str">
            <v>Control</v>
          </cell>
        </row>
        <row r="130">
          <cell r="A130">
            <v>4636</v>
          </cell>
          <cell r="B130">
            <v>604</v>
          </cell>
          <cell r="C130">
            <v>598</v>
          </cell>
          <cell r="D130">
            <v>601</v>
          </cell>
          <cell r="E130">
            <v>2</v>
          </cell>
          <cell r="F130">
            <v>2</v>
          </cell>
          <cell r="G130">
            <v>0.42589943864821633</v>
          </cell>
          <cell r="H130">
            <v>307</v>
          </cell>
          <cell r="I130" t="str">
            <v>25% MDGS Variable</v>
          </cell>
        </row>
        <row r="131">
          <cell r="A131">
            <v>4356</v>
          </cell>
          <cell r="B131">
            <v>600</v>
          </cell>
          <cell r="C131">
            <v>598</v>
          </cell>
          <cell r="D131">
            <v>599</v>
          </cell>
          <cell r="E131">
            <v>2</v>
          </cell>
          <cell r="F131">
            <v>2</v>
          </cell>
          <cell r="G131">
            <v>0.50895191126004813</v>
          </cell>
          <cell r="H131">
            <v>308</v>
          </cell>
          <cell r="I131" t="str">
            <v xml:space="preserve">25% MDGS Constant </v>
          </cell>
        </row>
        <row r="132">
          <cell r="A132">
            <v>4668</v>
          </cell>
          <cell r="B132">
            <v>604</v>
          </cell>
          <cell r="C132">
            <v>592</v>
          </cell>
          <cell r="D132">
            <v>598</v>
          </cell>
          <cell r="E132">
            <v>2</v>
          </cell>
          <cell r="F132">
            <v>2</v>
          </cell>
          <cell r="G132">
            <v>0.55655502798720036</v>
          </cell>
          <cell r="H132">
            <v>309</v>
          </cell>
          <cell r="I132" t="str">
            <v>Control</v>
          </cell>
        </row>
        <row r="133">
          <cell r="A133">
            <v>4347</v>
          </cell>
          <cell r="B133">
            <v>602</v>
          </cell>
          <cell r="C133">
            <v>602</v>
          </cell>
          <cell r="D133">
            <v>602</v>
          </cell>
          <cell r="E133">
            <v>2</v>
          </cell>
          <cell r="F133">
            <v>2</v>
          </cell>
          <cell r="G133">
            <v>0.56434096875360173</v>
          </cell>
          <cell r="H133">
            <v>310</v>
          </cell>
          <cell r="I133" t="str">
            <v>10% MDGS Variable</v>
          </cell>
        </row>
        <row r="134">
          <cell r="A134">
            <v>4701</v>
          </cell>
          <cell r="B134">
            <v>598</v>
          </cell>
          <cell r="C134">
            <v>650</v>
          </cell>
          <cell r="D134">
            <v>624</v>
          </cell>
          <cell r="E134">
            <v>2</v>
          </cell>
          <cell r="F134">
            <v>2</v>
          </cell>
          <cell r="G134">
            <v>0.59068154592614552</v>
          </cell>
          <cell r="H134">
            <v>311</v>
          </cell>
          <cell r="I134" t="str">
            <v xml:space="preserve">10% MDGS Constant </v>
          </cell>
        </row>
        <row r="135">
          <cell r="A135">
            <v>4714</v>
          </cell>
          <cell r="B135">
            <v>604</v>
          </cell>
          <cell r="C135">
            <v>630</v>
          </cell>
          <cell r="D135">
            <v>617</v>
          </cell>
          <cell r="E135">
            <v>2</v>
          </cell>
          <cell r="F135">
            <v>2</v>
          </cell>
          <cell r="G135">
            <v>0.59328773748427588</v>
          </cell>
          <cell r="H135">
            <v>312</v>
          </cell>
          <cell r="I135" t="str">
            <v xml:space="preserve">25% MDGS Constant </v>
          </cell>
        </row>
        <row r="136">
          <cell r="A136">
            <v>4477</v>
          </cell>
          <cell r="B136">
            <v>606</v>
          </cell>
          <cell r="C136">
            <v>614</v>
          </cell>
          <cell r="D136">
            <v>610</v>
          </cell>
          <cell r="E136">
            <v>2</v>
          </cell>
          <cell r="F136">
            <v>2</v>
          </cell>
          <cell r="G136">
            <v>0.71093771533920913</v>
          </cell>
          <cell r="H136">
            <v>313</v>
          </cell>
          <cell r="I136" t="str">
            <v>25% MDGS Variable</v>
          </cell>
        </row>
        <row r="137">
          <cell r="A137">
            <v>4459</v>
          </cell>
          <cell r="B137">
            <v>606</v>
          </cell>
          <cell r="C137">
            <v>614</v>
          </cell>
          <cell r="D137">
            <v>610</v>
          </cell>
          <cell r="E137">
            <v>2</v>
          </cell>
          <cell r="F137">
            <v>2</v>
          </cell>
          <cell r="G137">
            <v>0.71237204107635532</v>
          </cell>
          <cell r="H137">
            <v>314</v>
          </cell>
          <cell r="I137" t="str">
            <v>25% MDGS Variable</v>
          </cell>
        </row>
        <row r="138">
          <cell r="A138">
            <v>4432</v>
          </cell>
          <cell r="B138">
            <v>604</v>
          </cell>
          <cell r="C138">
            <v>610</v>
          </cell>
          <cell r="D138">
            <v>607</v>
          </cell>
          <cell r="E138">
            <v>2</v>
          </cell>
          <cell r="F138">
            <v>2</v>
          </cell>
          <cell r="G138">
            <v>0.79126431560618649</v>
          </cell>
          <cell r="H138">
            <v>315</v>
          </cell>
          <cell r="I138" t="str">
            <v xml:space="preserve">25% MDGS Constant </v>
          </cell>
        </row>
        <row r="139">
          <cell r="A139">
            <v>4598</v>
          </cell>
          <cell r="B139">
            <v>602</v>
          </cell>
          <cell r="C139">
            <v>630</v>
          </cell>
          <cell r="D139">
            <v>616</v>
          </cell>
          <cell r="E139">
            <v>2</v>
          </cell>
          <cell r="F139">
            <v>2</v>
          </cell>
          <cell r="G139">
            <v>0.83871095968746889</v>
          </cell>
          <cell r="H139">
            <v>316</v>
          </cell>
          <cell r="I139" t="str">
            <v xml:space="preserve">10% MDGS Constant </v>
          </cell>
        </row>
        <row r="140">
          <cell r="A140">
            <v>4709</v>
          </cell>
          <cell r="B140">
            <v>600</v>
          </cell>
          <cell r="C140">
            <v>586</v>
          </cell>
          <cell r="D140">
            <v>593</v>
          </cell>
          <cell r="E140">
            <v>2</v>
          </cell>
          <cell r="F140">
            <v>2</v>
          </cell>
          <cell r="G140">
            <v>0.86446508204237971</v>
          </cell>
          <cell r="H140">
            <v>317</v>
          </cell>
          <cell r="I140" t="str">
            <v>Control</v>
          </cell>
        </row>
        <row r="141">
          <cell r="A141">
            <v>4334</v>
          </cell>
          <cell r="B141">
            <v>606</v>
          </cell>
          <cell r="C141">
            <v>610</v>
          </cell>
          <cell r="D141">
            <v>608</v>
          </cell>
          <cell r="E141">
            <v>2</v>
          </cell>
          <cell r="F141">
            <v>2</v>
          </cell>
          <cell r="G141">
            <v>0.97020955983932244</v>
          </cell>
          <cell r="H141">
            <v>318</v>
          </cell>
          <cell r="I141" t="str">
            <v>10% MDGS Variable</v>
          </cell>
        </row>
        <row r="142">
          <cell r="A142">
            <v>4761</v>
          </cell>
          <cell r="B142">
            <v>614</v>
          </cell>
          <cell r="C142">
            <v>620</v>
          </cell>
          <cell r="D142">
            <v>617</v>
          </cell>
          <cell r="E142">
            <v>2</v>
          </cell>
          <cell r="F142">
            <v>3</v>
          </cell>
          <cell r="G142">
            <v>5.626567224079615E-4</v>
          </cell>
          <cell r="H142">
            <v>215</v>
          </cell>
          <cell r="I142" t="str">
            <v>10% MDGS Variable</v>
          </cell>
        </row>
        <row r="143">
          <cell r="A143">
            <v>4586</v>
          </cell>
          <cell r="B143">
            <v>614</v>
          </cell>
          <cell r="C143">
            <v>614</v>
          </cell>
          <cell r="D143">
            <v>614</v>
          </cell>
          <cell r="E143">
            <v>2</v>
          </cell>
          <cell r="F143">
            <v>3</v>
          </cell>
          <cell r="G143">
            <v>0.12270032414404819</v>
          </cell>
          <cell r="H143">
            <v>216</v>
          </cell>
          <cell r="I143" t="str">
            <v xml:space="preserve">10% MDGS Constant </v>
          </cell>
        </row>
        <row r="144">
          <cell r="A144">
            <v>4464</v>
          </cell>
          <cell r="B144">
            <v>608</v>
          </cell>
          <cell r="C144">
            <v>606</v>
          </cell>
          <cell r="D144">
            <v>607</v>
          </cell>
          <cell r="E144">
            <v>2</v>
          </cell>
          <cell r="F144">
            <v>3</v>
          </cell>
          <cell r="G144">
            <v>0.14355179343387114</v>
          </cell>
          <cell r="H144">
            <v>301</v>
          </cell>
          <cell r="I144" t="str">
            <v xml:space="preserve">25% MDGS Constant </v>
          </cell>
        </row>
        <row r="145">
          <cell r="A145">
            <v>4610</v>
          </cell>
          <cell r="B145">
            <v>608</v>
          </cell>
          <cell r="C145">
            <v>614</v>
          </cell>
          <cell r="D145">
            <v>611</v>
          </cell>
          <cell r="E145">
            <v>2</v>
          </cell>
          <cell r="F145">
            <v>3</v>
          </cell>
          <cell r="G145">
            <v>0.1447208552156638</v>
          </cell>
          <cell r="H145">
            <v>302</v>
          </cell>
          <cell r="I145" t="str">
            <v>25% MDGS Variable</v>
          </cell>
        </row>
        <row r="146">
          <cell r="A146">
            <v>4621</v>
          </cell>
          <cell r="B146">
            <v>606</v>
          </cell>
          <cell r="C146">
            <v>608</v>
          </cell>
          <cell r="D146">
            <v>607</v>
          </cell>
          <cell r="E146">
            <v>2</v>
          </cell>
          <cell r="F146">
            <v>3</v>
          </cell>
          <cell r="G146">
            <v>0.28928262603253563</v>
          </cell>
          <cell r="H146">
            <v>303</v>
          </cell>
          <cell r="I146" t="str">
            <v>Control</v>
          </cell>
        </row>
        <row r="147">
          <cell r="A147">
            <v>4550</v>
          </cell>
          <cell r="B147">
            <v>612</v>
          </cell>
          <cell r="C147">
            <v>612</v>
          </cell>
          <cell r="D147">
            <v>612</v>
          </cell>
          <cell r="E147">
            <v>2</v>
          </cell>
          <cell r="F147">
            <v>3</v>
          </cell>
          <cell r="G147">
            <v>0.30218401929346705</v>
          </cell>
          <cell r="H147">
            <v>304</v>
          </cell>
          <cell r="I147" t="str">
            <v>10% MDGS Variable</v>
          </cell>
        </row>
        <row r="148">
          <cell r="A148">
            <v>4750</v>
          </cell>
          <cell r="B148">
            <v>608</v>
          </cell>
          <cell r="C148">
            <v>614</v>
          </cell>
          <cell r="D148">
            <v>611</v>
          </cell>
          <cell r="E148">
            <v>2</v>
          </cell>
          <cell r="F148">
            <v>3</v>
          </cell>
          <cell r="G148">
            <v>0.31631466551789233</v>
          </cell>
          <cell r="H148">
            <v>305</v>
          </cell>
          <cell r="I148" t="str">
            <v xml:space="preserve">10% MDGS Constant </v>
          </cell>
        </row>
        <row r="149">
          <cell r="A149">
            <v>4466</v>
          </cell>
          <cell r="B149">
            <v>608</v>
          </cell>
          <cell r="C149">
            <v>600</v>
          </cell>
          <cell r="D149">
            <v>604</v>
          </cell>
          <cell r="E149">
            <v>2</v>
          </cell>
          <cell r="F149">
            <v>3</v>
          </cell>
          <cell r="G149">
            <v>0.36155796035502963</v>
          </cell>
          <cell r="H149">
            <v>306</v>
          </cell>
          <cell r="I149" t="str">
            <v>Control</v>
          </cell>
        </row>
        <row r="150">
          <cell r="A150">
            <v>4512</v>
          </cell>
          <cell r="B150">
            <v>608</v>
          </cell>
          <cell r="C150">
            <v>624</v>
          </cell>
          <cell r="D150">
            <v>616</v>
          </cell>
          <cell r="E150">
            <v>2</v>
          </cell>
          <cell r="F150">
            <v>3</v>
          </cell>
          <cell r="G150">
            <v>0.40027242266934737</v>
          </cell>
          <cell r="H150">
            <v>307</v>
          </cell>
          <cell r="I150" t="str">
            <v>25% MDGS Variable</v>
          </cell>
        </row>
        <row r="151">
          <cell r="A151">
            <v>4726</v>
          </cell>
          <cell r="B151">
            <v>608</v>
          </cell>
          <cell r="C151">
            <v>638</v>
          </cell>
          <cell r="D151">
            <v>623</v>
          </cell>
          <cell r="E151">
            <v>2</v>
          </cell>
          <cell r="F151">
            <v>3</v>
          </cell>
          <cell r="G151">
            <v>0.43072127101176361</v>
          </cell>
          <cell r="H151">
            <v>308</v>
          </cell>
          <cell r="I151" t="str">
            <v xml:space="preserve">25% MDGS Constant </v>
          </cell>
        </row>
        <row r="152">
          <cell r="A152">
            <v>4589</v>
          </cell>
          <cell r="B152">
            <v>608</v>
          </cell>
          <cell r="C152">
            <v>614</v>
          </cell>
          <cell r="D152">
            <v>611</v>
          </cell>
          <cell r="E152">
            <v>2</v>
          </cell>
          <cell r="F152">
            <v>3</v>
          </cell>
          <cell r="G152">
            <v>0.44842709350639398</v>
          </cell>
          <cell r="H152">
            <v>309</v>
          </cell>
          <cell r="I152" t="str">
            <v>Control</v>
          </cell>
        </row>
        <row r="153">
          <cell r="A153">
            <v>4343</v>
          </cell>
          <cell r="B153">
            <v>616</v>
          </cell>
          <cell r="C153">
            <v>622</v>
          </cell>
          <cell r="D153">
            <v>619</v>
          </cell>
          <cell r="E153">
            <v>2</v>
          </cell>
          <cell r="F153">
            <v>3</v>
          </cell>
          <cell r="G153">
            <v>0.48540968391453032</v>
          </cell>
          <cell r="H153">
            <v>310</v>
          </cell>
          <cell r="I153" t="str">
            <v>10% MDGS Variable</v>
          </cell>
        </row>
        <row r="154">
          <cell r="A154">
            <v>4332</v>
          </cell>
          <cell r="B154">
            <v>608</v>
          </cell>
          <cell r="C154">
            <v>604</v>
          </cell>
          <cell r="D154">
            <v>606</v>
          </cell>
          <cell r="E154">
            <v>2</v>
          </cell>
          <cell r="F154">
            <v>3</v>
          </cell>
          <cell r="G154">
            <v>0.54924753049393005</v>
          </cell>
          <cell r="H154">
            <v>311</v>
          </cell>
          <cell r="I154" t="str">
            <v xml:space="preserve">10% MDGS Constant </v>
          </cell>
        </row>
        <row r="155">
          <cell r="A155">
            <v>4318</v>
          </cell>
          <cell r="B155">
            <v>608</v>
          </cell>
          <cell r="C155">
            <v>616</v>
          </cell>
          <cell r="D155">
            <v>612</v>
          </cell>
          <cell r="E155">
            <v>2</v>
          </cell>
          <cell r="F155">
            <v>3</v>
          </cell>
          <cell r="G155">
            <v>0.56113255637133708</v>
          </cell>
          <cell r="H155">
            <v>312</v>
          </cell>
          <cell r="I155" t="str">
            <v xml:space="preserve">25% MDGS Constant </v>
          </cell>
        </row>
        <row r="156">
          <cell r="A156">
            <v>4320</v>
          </cell>
          <cell r="B156">
            <v>616</v>
          </cell>
          <cell r="C156">
            <v>624</v>
          </cell>
          <cell r="D156">
            <v>620</v>
          </cell>
          <cell r="E156">
            <v>2</v>
          </cell>
          <cell r="F156">
            <v>3</v>
          </cell>
          <cell r="G156">
            <v>0.77818061835944197</v>
          </cell>
          <cell r="H156">
            <v>313</v>
          </cell>
          <cell r="I156" t="str">
            <v>25% MDGS Variable</v>
          </cell>
        </row>
        <row r="157">
          <cell r="A157">
            <v>4456</v>
          </cell>
          <cell r="B157">
            <v>614</v>
          </cell>
          <cell r="C157">
            <v>630</v>
          </cell>
          <cell r="D157">
            <v>622</v>
          </cell>
          <cell r="E157">
            <v>2</v>
          </cell>
          <cell r="F157">
            <v>3</v>
          </cell>
          <cell r="G157">
            <v>0.78690572570848216</v>
          </cell>
          <cell r="H157">
            <v>314</v>
          </cell>
          <cell r="I157" t="str">
            <v>25% MDGS Variable</v>
          </cell>
        </row>
        <row r="158">
          <cell r="A158">
            <v>4517</v>
          </cell>
          <cell r="B158">
            <v>610</v>
          </cell>
          <cell r="C158">
            <v>600</v>
          </cell>
          <cell r="D158">
            <v>605</v>
          </cell>
          <cell r="E158">
            <v>2</v>
          </cell>
          <cell r="F158">
            <v>3</v>
          </cell>
          <cell r="G158">
            <v>0.83125431983748366</v>
          </cell>
          <cell r="H158">
            <v>315</v>
          </cell>
          <cell r="I158" t="str">
            <v xml:space="preserve">25% MDGS Constant </v>
          </cell>
        </row>
        <row r="159">
          <cell r="A159">
            <v>4411</v>
          </cell>
          <cell r="B159">
            <v>608</v>
          </cell>
          <cell r="C159">
            <v>604</v>
          </cell>
          <cell r="D159">
            <v>606</v>
          </cell>
          <cell r="E159">
            <v>2</v>
          </cell>
          <cell r="F159">
            <v>3</v>
          </cell>
          <cell r="G159">
            <v>0.89111247230312951</v>
          </cell>
          <cell r="H159">
            <v>316</v>
          </cell>
          <cell r="I159" t="str">
            <v xml:space="preserve">10% MDGS Constant </v>
          </cell>
        </row>
        <row r="160">
          <cell r="A160">
            <v>4344</v>
          </cell>
          <cell r="B160">
            <v>612</v>
          </cell>
          <cell r="C160">
            <v>608</v>
          </cell>
          <cell r="D160">
            <v>610</v>
          </cell>
          <cell r="E160">
            <v>2</v>
          </cell>
          <cell r="F160">
            <v>3</v>
          </cell>
          <cell r="G160">
            <v>0.90186397215938519</v>
          </cell>
          <cell r="H160">
            <v>317</v>
          </cell>
          <cell r="I160" t="str">
            <v>Control</v>
          </cell>
        </row>
        <row r="161">
          <cell r="A161">
            <v>4353</v>
          </cell>
          <cell r="B161">
            <v>610</v>
          </cell>
          <cell r="C161">
            <v>616</v>
          </cell>
          <cell r="D161">
            <v>613</v>
          </cell>
          <cell r="E161">
            <v>2</v>
          </cell>
          <cell r="F161">
            <v>3</v>
          </cell>
          <cell r="G161">
            <v>0.9489271115018546</v>
          </cell>
          <cell r="H161">
            <v>318</v>
          </cell>
          <cell r="I161" t="str">
            <v>10% MDGS Variable</v>
          </cell>
        </row>
        <row r="162">
          <cell r="A162">
            <v>4622</v>
          </cell>
          <cell r="B162">
            <v>616</v>
          </cell>
          <cell r="C162">
            <v>618</v>
          </cell>
          <cell r="D162">
            <v>617</v>
          </cell>
          <cell r="E162">
            <v>2</v>
          </cell>
          <cell r="F162">
            <v>4</v>
          </cell>
          <cell r="G162">
            <v>5.733643807814226E-2</v>
          </cell>
          <cell r="H162">
            <v>215</v>
          </cell>
          <cell r="I162" t="str">
            <v>10% MDGS Variable</v>
          </cell>
        </row>
        <row r="163">
          <cell r="A163">
            <v>4703</v>
          </cell>
          <cell r="B163">
            <v>618</v>
          </cell>
          <cell r="C163">
            <v>640</v>
          </cell>
          <cell r="D163">
            <v>629</v>
          </cell>
          <cell r="E163">
            <v>2</v>
          </cell>
          <cell r="F163">
            <v>4</v>
          </cell>
          <cell r="G163">
            <v>8.2459893026937237E-2</v>
          </cell>
          <cell r="H163">
            <v>216</v>
          </cell>
          <cell r="I163" t="str">
            <v xml:space="preserve">10% MDGS Constant </v>
          </cell>
        </row>
        <row r="164">
          <cell r="A164">
            <v>4617</v>
          </cell>
          <cell r="B164">
            <v>618</v>
          </cell>
          <cell r="C164">
            <v>618</v>
          </cell>
          <cell r="D164">
            <v>618</v>
          </cell>
          <cell r="E164">
            <v>2</v>
          </cell>
          <cell r="F164">
            <v>4</v>
          </cell>
          <cell r="G164">
            <v>0.16280348963078828</v>
          </cell>
          <cell r="H164">
            <v>301</v>
          </cell>
          <cell r="I164" t="str">
            <v xml:space="preserve">25% MDGS Constant </v>
          </cell>
        </row>
        <row r="165">
          <cell r="A165">
            <v>4522</v>
          </cell>
          <cell r="B165">
            <v>618</v>
          </cell>
          <cell r="C165">
            <v>634</v>
          </cell>
          <cell r="D165">
            <v>626</v>
          </cell>
          <cell r="E165">
            <v>2</v>
          </cell>
          <cell r="F165">
            <v>4</v>
          </cell>
          <cell r="G165">
            <v>0.28590952818832549</v>
          </cell>
          <cell r="H165">
            <v>302</v>
          </cell>
          <cell r="I165" t="str">
            <v>25% MDGS Variable</v>
          </cell>
        </row>
        <row r="166">
          <cell r="A166">
            <v>4547</v>
          </cell>
          <cell r="B166">
            <v>618</v>
          </cell>
          <cell r="C166">
            <v>624</v>
          </cell>
          <cell r="D166">
            <v>621</v>
          </cell>
          <cell r="E166">
            <v>2</v>
          </cell>
          <cell r="F166">
            <v>4</v>
          </cell>
          <cell r="G166">
            <v>0.30104179988679158</v>
          </cell>
          <cell r="H166">
            <v>303</v>
          </cell>
          <cell r="I166" t="str">
            <v>Control</v>
          </cell>
        </row>
        <row r="167">
          <cell r="A167">
            <v>4665</v>
          </cell>
          <cell r="B167">
            <v>618</v>
          </cell>
          <cell r="C167">
            <v>612</v>
          </cell>
          <cell r="D167">
            <v>615</v>
          </cell>
          <cell r="E167">
            <v>2</v>
          </cell>
          <cell r="F167">
            <v>4</v>
          </cell>
          <cell r="G167">
            <v>0.30487644486653886</v>
          </cell>
          <cell r="H167">
            <v>304</v>
          </cell>
          <cell r="I167" t="str">
            <v>10% MDGS Variable</v>
          </cell>
        </row>
        <row r="168">
          <cell r="A168">
            <v>4350</v>
          </cell>
          <cell r="B168">
            <v>616</v>
          </cell>
          <cell r="C168">
            <v>620</v>
          </cell>
          <cell r="D168">
            <v>618</v>
          </cell>
          <cell r="E168">
            <v>2</v>
          </cell>
          <cell r="F168">
            <v>4</v>
          </cell>
          <cell r="G168">
            <v>0.32071294474505885</v>
          </cell>
          <cell r="H168">
            <v>305</v>
          </cell>
          <cell r="I168" t="str">
            <v xml:space="preserve">10% MDGS Constant </v>
          </cell>
        </row>
        <row r="169">
          <cell r="A169">
            <v>4465</v>
          </cell>
          <cell r="B169">
            <v>618</v>
          </cell>
          <cell r="C169">
            <v>608</v>
          </cell>
          <cell r="D169">
            <v>613</v>
          </cell>
          <cell r="E169">
            <v>2</v>
          </cell>
          <cell r="F169">
            <v>4</v>
          </cell>
          <cell r="G169">
            <v>0.33869633887564754</v>
          </cell>
          <cell r="H169">
            <v>306</v>
          </cell>
          <cell r="I169" t="str">
            <v>Control</v>
          </cell>
        </row>
        <row r="170">
          <cell r="A170">
            <v>4704</v>
          </cell>
          <cell r="B170">
            <v>616</v>
          </cell>
          <cell r="C170">
            <v>602</v>
          </cell>
          <cell r="D170">
            <v>609</v>
          </cell>
          <cell r="E170">
            <v>2</v>
          </cell>
          <cell r="F170">
            <v>4</v>
          </cell>
          <cell r="G170">
            <v>0.46427678305234998</v>
          </cell>
          <cell r="H170">
            <v>307</v>
          </cell>
          <cell r="I170" t="str">
            <v>25% MDGS Variable</v>
          </cell>
        </row>
        <row r="171">
          <cell r="A171">
            <v>4378</v>
          </cell>
          <cell r="B171">
            <v>618</v>
          </cell>
          <cell r="C171">
            <v>614</v>
          </cell>
          <cell r="D171">
            <v>616</v>
          </cell>
          <cell r="E171">
            <v>2</v>
          </cell>
          <cell r="F171">
            <v>4</v>
          </cell>
          <cell r="G171">
            <v>0.53482409763612193</v>
          </cell>
          <cell r="H171">
            <v>308</v>
          </cell>
          <cell r="I171" t="str">
            <v xml:space="preserve">25% MDGS Constant </v>
          </cell>
        </row>
        <row r="172">
          <cell r="A172">
            <v>4406</v>
          </cell>
          <cell r="B172">
            <v>618</v>
          </cell>
          <cell r="C172">
            <v>626</v>
          </cell>
          <cell r="D172">
            <v>622</v>
          </cell>
          <cell r="E172">
            <v>2</v>
          </cell>
          <cell r="F172">
            <v>4</v>
          </cell>
          <cell r="G172">
            <v>0.60587619116932179</v>
          </cell>
          <cell r="H172">
            <v>309</v>
          </cell>
          <cell r="I172" t="str">
            <v>Control</v>
          </cell>
        </row>
        <row r="173">
          <cell r="A173">
            <v>4368</v>
          </cell>
          <cell r="B173">
            <v>616</v>
          </cell>
          <cell r="C173">
            <v>618</v>
          </cell>
          <cell r="D173">
            <v>617</v>
          </cell>
          <cell r="E173">
            <v>2</v>
          </cell>
          <cell r="F173">
            <v>4</v>
          </cell>
          <cell r="G173">
            <v>0.66601219518790045</v>
          </cell>
          <cell r="H173">
            <v>310</v>
          </cell>
          <cell r="I173" t="str">
            <v>10% MDGS Variable</v>
          </cell>
        </row>
        <row r="174">
          <cell r="A174">
            <v>4472</v>
          </cell>
          <cell r="B174">
            <v>618</v>
          </cell>
          <cell r="C174">
            <v>604</v>
          </cell>
          <cell r="D174">
            <v>611</v>
          </cell>
          <cell r="E174">
            <v>2</v>
          </cell>
          <cell r="F174">
            <v>4</v>
          </cell>
          <cell r="G174">
            <v>0.66733532273463292</v>
          </cell>
          <cell r="H174">
            <v>311</v>
          </cell>
          <cell r="I174" t="str">
            <v xml:space="preserve">10% MDGS Constant </v>
          </cell>
        </row>
        <row r="175">
          <cell r="A175">
            <v>4481</v>
          </cell>
          <cell r="B175">
            <v>618</v>
          </cell>
          <cell r="C175">
            <v>630</v>
          </cell>
          <cell r="D175">
            <v>624</v>
          </cell>
          <cell r="E175">
            <v>2</v>
          </cell>
          <cell r="F175">
            <v>4</v>
          </cell>
          <cell r="G175">
            <v>0.72287182065362676</v>
          </cell>
          <cell r="H175">
            <v>312</v>
          </cell>
          <cell r="I175" t="str">
            <v xml:space="preserve">25% MDGS Constant </v>
          </cell>
        </row>
        <row r="176">
          <cell r="A176">
            <v>4488</v>
          </cell>
          <cell r="B176">
            <v>618</v>
          </cell>
          <cell r="C176">
            <v>608</v>
          </cell>
          <cell r="D176">
            <v>613</v>
          </cell>
          <cell r="E176">
            <v>2</v>
          </cell>
          <cell r="F176">
            <v>4</v>
          </cell>
          <cell r="G176">
            <v>0.72476465156168768</v>
          </cell>
          <cell r="H176">
            <v>313</v>
          </cell>
          <cell r="I176" t="str">
            <v>25% MDGS Variable</v>
          </cell>
        </row>
        <row r="177">
          <cell r="A177">
            <v>4351</v>
          </cell>
          <cell r="B177">
            <v>616</v>
          </cell>
          <cell r="C177">
            <v>612</v>
          </cell>
          <cell r="D177">
            <v>614</v>
          </cell>
          <cell r="E177">
            <v>2</v>
          </cell>
          <cell r="F177">
            <v>4</v>
          </cell>
          <cell r="G177">
            <v>0.77649215864800014</v>
          </cell>
          <cell r="H177">
            <v>314</v>
          </cell>
          <cell r="I177" t="str">
            <v>25% MDGS Variable</v>
          </cell>
        </row>
        <row r="178">
          <cell r="A178">
            <v>4323</v>
          </cell>
          <cell r="B178">
            <v>618</v>
          </cell>
          <cell r="C178">
            <v>626</v>
          </cell>
          <cell r="D178">
            <v>622</v>
          </cell>
          <cell r="E178">
            <v>2</v>
          </cell>
          <cell r="F178">
            <v>4</v>
          </cell>
          <cell r="G178">
            <v>0.8698331700404125</v>
          </cell>
          <cell r="H178">
            <v>315</v>
          </cell>
          <cell r="I178" t="str">
            <v xml:space="preserve">25% MDGS Constant </v>
          </cell>
        </row>
        <row r="179">
          <cell r="A179">
            <v>4642</v>
          </cell>
          <cell r="B179">
            <v>618</v>
          </cell>
          <cell r="C179">
            <v>618</v>
          </cell>
          <cell r="D179">
            <v>618</v>
          </cell>
          <cell r="E179">
            <v>2</v>
          </cell>
          <cell r="F179">
            <v>4</v>
          </cell>
          <cell r="G179">
            <v>0.88389775283968552</v>
          </cell>
          <cell r="H179">
            <v>316</v>
          </cell>
          <cell r="I179" t="str">
            <v xml:space="preserve">10% MDGS Constant </v>
          </cell>
        </row>
        <row r="180">
          <cell r="A180">
            <v>4413</v>
          </cell>
          <cell r="B180">
            <v>618</v>
          </cell>
          <cell r="C180">
            <v>626</v>
          </cell>
          <cell r="D180">
            <v>622</v>
          </cell>
          <cell r="E180">
            <v>2</v>
          </cell>
          <cell r="F180">
            <v>4</v>
          </cell>
          <cell r="G180">
            <v>0.91919560669742761</v>
          </cell>
          <cell r="H180">
            <v>317</v>
          </cell>
          <cell r="I180" t="str">
            <v>Control</v>
          </cell>
        </row>
        <row r="181">
          <cell r="A181">
            <v>4559</v>
          </cell>
          <cell r="B181">
            <v>616</v>
          </cell>
          <cell r="C181">
            <v>620</v>
          </cell>
          <cell r="D181">
            <v>618</v>
          </cell>
          <cell r="E181">
            <v>2</v>
          </cell>
          <cell r="F181">
            <v>4</v>
          </cell>
          <cell r="G181">
            <v>0.98343248675091532</v>
          </cell>
          <cell r="H181">
            <v>318</v>
          </cell>
          <cell r="I181" t="str">
            <v>10% MDGS Variable</v>
          </cell>
        </row>
        <row r="182">
          <cell r="A182">
            <v>4531</v>
          </cell>
          <cell r="B182">
            <v>624</v>
          </cell>
          <cell r="C182">
            <v>636</v>
          </cell>
          <cell r="D182">
            <v>630</v>
          </cell>
          <cell r="E182">
            <v>2</v>
          </cell>
          <cell r="F182">
            <v>5</v>
          </cell>
          <cell r="G182">
            <v>6.8033846188889635E-3</v>
          </cell>
          <cell r="H182">
            <v>215</v>
          </cell>
          <cell r="I182" t="str">
            <v>10% MDGS Variable</v>
          </cell>
        </row>
        <row r="183">
          <cell r="A183">
            <v>4511</v>
          </cell>
          <cell r="B183">
            <v>620</v>
          </cell>
          <cell r="C183">
            <v>602</v>
          </cell>
          <cell r="D183">
            <v>611</v>
          </cell>
          <cell r="E183">
            <v>2</v>
          </cell>
          <cell r="F183">
            <v>5</v>
          </cell>
          <cell r="G183">
            <v>1.4701750534922731E-2</v>
          </cell>
          <cell r="H183">
            <v>216</v>
          </cell>
          <cell r="I183" t="str">
            <v xml:space="preserve">10% MDGS Constant </v>
          </cell>
        </row>
        <row r="184">
          <cell r="A184">
            <v>4646</v>
          </cell>
          <cell r="B184">
            <v>624</v>
          </cell>
          <cell r="C184">
            <v>640</v>
          </cell>
          <cell r="D184">
            <v>632</v>
          </cell>
          <cell r="E184">
            <v>2</v>
          </cell>
          <cell r="F184">
            <v>5</v>
          </cell>
          <cell r="G184">
            <v>2.7485194967023618E-2</v>
          </cell>
          <cell r="H184">
            <v>301</v>
          </cell>
          <cell r="I184" t="str">
            <v xml:space="preserve">25% MDGS Constant </v>
          </cell>
        </row>
        <row r="185">
          <cell r="A185">
            <v>4500</v>
          </cell>
          <cell r="B185">
            <v>622</v>
          </cell>
          <cell r="C185">
            <v>612</v>
          </cell>
          <cell r="D185">
            <v>617</v>
          </cell>
          <cell r="E185">
            <v>2</v>
          </cell>
          <cell r="F185">
            <v>5</v>
          </cell>
          <cell r="G185">
            <v>3.4243381876801426E-2</v>
          </cell>
          <cell r="H185">
            <v>302</v>
          </cell>
          <cell r="I185" t="str">
            <v>25% MDGS Variable</v>
          </cell>
        </row>
        <row r="186">
          <cell r="A186">
            <v>4321</v>
          </cell>
          <cell r="B186">
            <v>626</v>
          </cell>
          <cell r="C186">
            <v>640</v>
          </cell>
          <cell r="D186">
            <v>633</v>
          </cell>
          <cell r="E186">
            <v>2</v>
          </cell>
          <cell r="F186">
            <v>5</v>
          </cell>
          <cell r="G186">
            <v>0.12680060964484752</v>
          </cell>
          <cell r="H186">
            <v>303</v>
          </cell>
          <cell r="I186" t="str">
            <v>Control</v>
          </cell>
        </row>
        <row r="187">
          <cell r="A187">
            <v>4527</v>
          </cell>
          <cell r="B187">
            <v>620</v>
          </cell>
          <cell r="C187">
            <v>624</v>
          </cell>
          <cell r="D187">
            <v>622</v>
          </cell>
          <cell r="E187">
            <v>2</v>
          </cell>
          <cell r="F187">
            <v>5</v>
          </cell>
          <cell r="G187">
            <v>0.31973530945024509</v>
          </cell>
          <cell r="H187">
            <v>304</v>
          </cell>
          <cell r="I187" t="str">
            <v>10% MDGS Variable</v>
          </cell>
        </row>
        <row r="188">
          <cell r="A188">
            <v>4513</v>
          </cell>
          <cell r="B188">
            <v>626</v>
          </cell>
          <cell r="C188">
            <v>630</v>
          </cell>
          <cell r="D188">
            <v>628</v>
          </cell>
          <cell r="E188">
            <v>2</v>
          </cell>
          <cell r="F188">
            <v>5</v>
          </cell>
          <cell r="G188">
            <v>0.40609950488640101</v>
          </cell>
          <cell r="H188">
            <v>305</v>
          </cell>
          <cell r="I188" t="str">
            <v xml:space="preserve">10% MDGS Constant </v>
          </cell>
        </row>
        <row r="189">
          <cell r="A189">
            <v>4385</v>
          </cell>
          <cell r="B189">
            <v>620</v>
          </cell>
          <cell r="C189">
            <v>608</v>
          </cell>
          <cell r="D189">
            <v>614</v>
          </cell>
          <cell r="E189">
            <v>2</v>
          </cell>
          <cell r="F189">
            <v>5</v>
          </cell>
          <cell r="G189">
            <v>0.45995677669159007</v>
          </cell>
          <cell r="H189">
            <v>306</v>
          </cell>
          <cell r="I189" t="str">
            <v>Control</v>
          </cell>
        </row>
        <row r="190">
          <cell r="A190">
            <v>4410</v>
          </cell>
          <cell r="B190">
            <v>622</v>
          </cell>
          <cell r="C190">
            <v>636</v>
          </cell>
          <cell r="D190">
            <v>629</v>
          </cell>
          <cell r="E190">
            <v>2</v>
          </cell>
          <cell r="F190">
            <v>5</v>
          </cell>
          <cell r="G190">
            <v>0.46350334329507203</v>
          </cell>
          <cell r="H190">
            <v>307</v>
          </cell>
          <cell r="I190" t="str">
            <v>25% MDGS Variable</v>
          </cell>
        </row>
        <row r="191">
          <cell r="A191">
            <v>4681</v>
          </cell>
          <cell r="B191">
            <v>624</v>
          </cell>
          <cell r="C191">
            <v>622</v>
          </cell>
          <cell r="D191">
            <v>623</v>
          </cell>
          <cell r="E191">
            <v>2</v>
          </cell>
          <cell r="F191">
            <v>5</v>
          </cell>
          <cell r="G191">
            <v>0.49266880427212456</v>
          </cell>
          <cell r="H191">
            <v>308</v>
          </cell>
          <cell r="I191" t="str">
            <v xml:space="preserve">25% MDGS Constant </v>
          </cell>
        </row>
        <row r="192">
          <cell r="A192">
            <v>4587</v>
          </cell>
          <cell r="B192">
            <v>626</v>
          </cell>
          <cell r="C192">
            <v>638</v>
          </cell>
          <cell r="D192">
            <v>632</v>
          </cell>
          <cell r="E192">
            <v>2</v>
          </cell>
          <cell r="F192">
            <v>5</v>
          </cell>
          <cell r="G192">
            <v>0.52364762067651993</v>
          </cell>
          <cell r="H192">
            <v>309</v>
          </cell>
          <cell r="I192" t="str">
            <v>Control</v>
          </cell>
        </row>
        <row r="193">
          <cell r="A193">
            <v>4528</v>
          </cell>
          <cell r="B193">
            <v>626</v>
          </cell>
          <cell r="C193">
            <v>636</v>
          </cell>
          <cell r="D193">
            <v>631</v>
          </cell>
          <cell r="E193">
            <v>2</v>
          </cell>
          <cell r="F193">
            <v>5</v>
          </cell>
          <cell r="G193">
            <v>0.6068074412951</v>
          </cell>
          <cell r="H193">
            <v>310</v>
          </cell>
          <cell r="I193" t="str">
            <v>10% MDGS Variable</v>
          </cell>
        </row>
        <row r="194">
          <cell r="A194">
            <v>4742</v>
          </cell>
          <cell r="B194">
            <v>626</v>
          </cell>
          <cell r="C194">
            <v>626</v>
          </cell>
          <cell r="D194">
            <v>626</v>
          </cell>
          <cell r="E194">
            <v>2</v>
          </cell>
          <cell r="F194">
            <v>5</v>
          </cell>
          <cell r="G194">
            <v>0.61851410388864037</v>
          </cell>
          <cell r="H194">
            <v>311</v>
          </cell>
          <cell r="I194" t="str">
            <v xml:space="preserve">10% MDGS Constant </v>
          </cell>
        </row>
        <row r="195">
          <cell r="A195">
            <v>4560</v>
          </cell>
          <cell r="B195">
            <v>626</v>
          </cell>
          <cell r="C195">
            <v>614</v>
          </cell>
          <cell r="D195">
            <v>620</v>
          </cell>
          <cell r="E195">
            <v>2</v>
          </cell>
          <cell r="F195">
            <v>5</v>
          </cell>
          <cell r="G195">
            <v>0.65901743596973761</v>
          </cell>
          <cell r="H195">
            <v>312</v>
          </cell>
          <cell r="I195" t="str">
            <v xml:space="preserve">25% MDGS Constant </v>
          </cell>
        </row>
        <row r="196">
          <cell r="A196">
            <v>4523</v>
          </cell>
          <cell r="B196">
            <v>620</v>
          </cell>
          <cell r="C196">
            <v>644</v>
          </cell>
          <cell r="D196">
            <v>632</v>
          </cell>
          <cell r="E196">
            <v>2</v>
          </cell>
          <cell r="F196">
            <v>5</v>
          </cell>
          <cell r="G196">
            <v>0.67548121295803676</v>
          </cell>
          <cell r="H196">
            <v>313</v>
          </cell>
          <cell r="I196" t="str">
            <v>25% MDGS Variable</v>
          </cell>
        </row>
        <row r="197">
          <cell r="A197">
            <v>4548</v>
          </cell>
          <cell r="B197">
            <v>626</v>
          </cell>
          <cell r="C197">
            <v>614</v>
          </cell>
          <cell r="D197">
            <v>620</v>
          </cell>
          <cell r="E197">
            <v>2</v>
          </cell>
          <cell r="F197">
            <v>5</v>
          </cell>
          <cell r="G197">
            <v>0.74897909639592319</v>
          </cell>
          <cell r="H197">
            <v>314</v>
          </cell>
          <cell r="I197" t="str">
            <v>25% MDGS Variable</v>
          </cell>
        </row>
        <row r="198">
          <cell r="A198">
            <v>4575</v>
          </cell>
          <cell r="B198">
            <v>622</v>
          </cell>
          <cell r="C198">
            <v>608</v>
          </cell>
          <cell r="D198">
            <v>615</v>
          </cell>
          <cell r="E198">
            <v>2</v>
          </cell>
          <cell r="F198">
            <v>5</v>
          </cell>
          <cell r="G198">
            <v>0.83499027036862827</v>
          </cell>
          <cell r="H198">
            <v>315</v>
          </cell>
          <cell r="I198" t="str">
            <v xml:space="preserve">25% MDGS Constant </v>
          </cell>
        </row>
        <row r="199">
          <cell r="A199">
            <v>4711</v>
          </cell>
          <cell r="B199">
            <v>624</v>
          </cell>
          <cell r="C199">
            <v>618</v>
          </cell>
          <cell r="D199">
            <v>621</v>
          </cell>
          <cell r="E199">
            <v>2</v>
          </cell>
          <cell r="F199">
            <v>5</v>
          </cell>
          <cell r="G199">
            <v>0.87451670835624939</v>
          </cell>
          <cell r="H199">
            <v>316</v>
          </cell>
          <cell r="I199" t="str">
            <v xml:space="preserve">10% MDGS Constant </v>
          </cell>
        </row>
        <row r="200">
          <cell r="A200">
            <v>4666</v>
          </cell>
          <cell r="B200">
            <v>626</v>
          </cell>
          <cell r="C200">
            <v>630</v>
          </cell>
          <cell r="D200">
            <v>628</v>
          </cell>
          <cell r="E200">
            <v>2</v>
          </cell>
          <cell r="F200">
            <v>5</v>
          </cell>
          <cell r="G200">
            <v>0.94258506194435365</v>
          </cell>
          <cell r="H200">
            <v>317</v>
          </cell>
          <cell r="I200" t="str">
            <v>Control</v>
          </cell>
        </row>
        <row r="201">
          <cell r="A201">
            <v>4543</v>
          </cell>
          <cell r="B201">
            <v>624</v>
          </cell>
          <cell r="C201">
            <v>632</v>
          </cell>
          <cell r="D201">
            <v>628</v>
          </cell>
          <cell r="E201">
            <v>2</v>
          </cell>
          <cell r="F201">
            <v>5</v>
          </cell>
          <cell r="G201">
            <v>0.99977494214263873</v>
          </cell>
          <cell r="H201">
            <v>318</v>
          </cell>
          <cell r="I201" t="str">
            <v>10% MDGS Variable</v>
          </cell>
        </row>
        <row r="202">
          <cell r="A202">
            <v>4370</v>
          </cell>
          <cell r="B202">
            <v>628</v>
          </cell>
          <cell r="C202">
            <v>630</v>
          </cell>
          <cell r="D202">
            <v>629</v>
          </cell>
          <cell r="E202">
            <v>2</v>
          </cell>
          <cell r="F202">
            <v>6</v>
          </cell>
          <cell r="G202">
            <v>6.1625891784457987E-2</v>
          </cell>
          <cell r="H202">
            <v>215</v>
          </cell>
          <cell r="I202" t="str">
            <v>10% MDGS Variable</v>
          </cell>
        </row>
        <row r="203">
          <cell r="A203">
            <v>4740</v>
          </cell>
          <cell r="B203">
            <v>628</v>
          </cell>
          <cell r="C203">
            <v>618</v>
          </cell>
          <cell r="D203">
            <v>623</v>
          </cell>
          <cell r="E203">
            <v>2</v>
          </cell>
          <cell r="F203">
            <v>6</v>
          </cell>
          <cell r="G203">
            <v>0.2480001241741665</v>
          </cell>
          <cell r="H203">
            <v>216</v>
          </cell>
          <cell r="I203" t="str">
            <v xml:space="preserve">10% MDGS Constant </v>
          </cell>
        </row>
        <row r="204">
          <cell r="A204">
            <v>4708</v>
          </cell>
          <cell r="B204">
            <v>632</v>
          </cell>
          <cell r="C204">
            <v>618</v>
          </cell>
          <cell r="D204">
            <v>625</v>
          </cell>
          <cell r="E204">
            <v>2</v>
          </cell>
          <cell r="F204">
            <v>6</v>
          </cell>
          <cell r="G204">
            <v>0.24935754226075002</v>
          </cell>
          <cell r="H204">
            <v>301</v>
          </cell>
          <cell r="I204" t="str">
            <v xml:space="preserve">25% MDGS Constant </v>
          </cell>
        </row>
        <row r="205">
          <cell r="A205">
            <v>4644</v>
          </cell>
          <cell r="B205">
            <v>632</v>
          </cell>
          <cell r="C205">
            <v>624</v>
          </cell>
          <cell r="D205">
            <v>628</v>
          </cell>
          <cell r="E205">
            <v>2</v>
          </cell>
          <cell r="F205">
            <v>6</v>
          </cell>
          <cell r="G205">
            <v>0.25749064834239555</v>
          </cell>
          <cell r="H205">
            <v>302</v>
          </cell>
          <cell r="I205" t="str">
            <v>25% MDGS Variable</v>
          </cell>
        </row>
        <row r="206">
          <cell r="A206">
            <v>4400</v>
          </cell>
          <cell r="B206">
            <v>634</v>
          </cell>
          <cell r="C206">
            <v>628</v>
          </cell>
          <cell r="D206">
            <v>631</v>
          </cell>
          <cell r="E206">
            <v>2</v>
          </cell>
          <cell r="F206">
            <v>6</v>
          </cell>
          <cell r="G206">
            <v>0.33744033405263896</v>
          </cell>
          <cell r="H206">
            <v>303</v>
          </cell>
          <cell r="I206" t="str">
            <v>Control</v>
          </cell>
        </row>
        <row r="207">
          <cell r="A207">
            <v>4540</v>
          </cell>
          <cell r="B207">
            <v>630</v>
          </cell>
          <cell r="C207">
            <v>610</v>
          </cell>
          <cell r="D207">
            <v>620</v>
          </cell>
          <cell r="E207">
            <v>2</v>
          </cell>
          <cell r="F207">
            <v>6</v>
          </cell>
          <cell r="G207">
            <v>0.42197828319337827</v>
          </cell>
          <cell r="H207">
            <v>304</v>
          </cell>
          <cell r="I207" t="str">
            <v>10% MDGS Variable</v>
          </cell>
        </row>
        <row r="208">
          <cell r="A208">
            <v>4396</v>
          </cell>
          <cell r="B208">
            <v>634</v>
          </cell>
          <cell r="C208">
            <v>632</v>
          </cell>
          <cell r="D208">
            <v>633</v>
          </cell>
          <cell r="E208">
            <v>2</v>
          </cell>
          <cell r="F208">
            <v>6</v>
          </cell>
          <cell r="G208">
            <v>0.42308318039694293</v>
          </cell>
          <cell r="H208">
            <v>305</v>
          </cell>
          <cell r="I208" t="str">
            <v xml:space="preserve">10% MDGS Constant </v>
          </cell>
        </row>
        <row r="209">
          <cell r="A209">
            <v>4384</v>
          </cell>
          <cell r="B209">
            <v>628</v>
          </cell>
          <cell r="C209">
            <v>636</v>
          </cell>
          <cell r="D209">
            <v>632</v>
          </cell>
          <cell r="E209">
            <v>2</v>
          </cell>
          <cell r="F209">
            <v>6</v>
          </cell>
          <cell r="G209">
            <v>0.45778744738743726</v>
          </cell>
          <cell r="H209">
            <v>306</v>
          </cell>
          <cell r="I209" t="str">
            <v>Control</v>
          </cell>
        </row>
        <row r="210">
          <cell r="A210">
            <v>4647</v>
          </cell>
          <cell r="B210">
            <v>628</v>
          </cell>
          <cell r="C210">
            <v>612</v>
          </cell>
          <cell r="D210">
            <v>620</v>
          </cell>
          <cell r="E210">
            <v>2</v>
          </cell>
          <cell r="F210">
            <v>6</v>
          </cell>
          <cell r="G210">
            <v>0.46318418025960706</v>
          </cell>
          <cell r="H210">
            <v>307</v>
          </cell>
          <cell r="I210" t="str">
            <v>25% MDGS Variable</v>
          </cell>
        </row>
        <row r="211">
          <cell r="A211">
            <v>4359</v>
          </cell>
          <cell r="B211">
            <v>628</v>
          </cell>
          <cell r="C211">
            <v>620</v>
          </cell>
          <cell r="D211">
            <v>624</v>
          </cell>
          <cell r="E211">
            <v>2</v>
          </cell>
          <cell r="F211">
            <v>6</v>
          </cell>
          <cell r="G211">
            <v>0.47345901006423285</v>
          </cell>
          <cell r="H211">
            <v>308</v>
          </cell>
          <cell r="I211" t="str">
            <v xml:space="preserve">25% MDGS Constant </v>
          </cell>
        </row>
        <row r="212">
          <cell r="A212">
            <v>4619</v>
          </cell>
          <cell r="B212">
            <v>632</v>
          </cell>
          <cell r="C212">
            <v>640</v>
          </cell>
          <cell r="D212">
            <v>636</v>
          </cell>
          <cell r="E212">
            <v>2</v>
          </cell>
          <cell r="F212">
            <v>6</v>
          </cell>
          <cell r="G212">
            <v>0.57026828435846699</v>
          </cell>
          <cell r="H212">
            <v>309</v>
          </cell>
          <cell r="I212" t="str">
            <v>Control</v>
          </cell>
        </row>
        <row r="213">
          <cell r="A213">
            <v>4698</v>
          </cell>
          <cell r="B213">
            <v>632</v>
          </cell>
          <cell r="C213">
            <v>636</v>
          </cell>
          <cell r="D213">
            <v>634</v>
          </cell>
          <cell r="E213">
            <v>2</v>
          </cell>
          <cell r="F213">
            <v>6</v>
          </cell>
          <cell r="G213">
            <v>0.58657417667037448</v>
          </cell>
          <cell r="H213">
            <v>310</v>
          </cell>
          <cell r="I213" t="str">
            <v>10% MDGS Variable</v>
          </cell>
        </row>
        <row r="214">
          <cell r="A214">
            <v>4475</v>
          </cell>
          <cell r="B214">
            <v>630</v>
          </cell>
          <cell r="C214">
            <v>650</v>
          </cell>
          <cell r="D214">
            <v>640</v>
          </cell>
          <cell r="E214">
            <v>2</v>
          </cell>
          <cell r="F214">
            <v>6</v>
          </cell>
          <cell r="G214">
            <v>0.65793407414717975</v>
          </cell>
          <cell r="H214">
            <v>311</v>
          </cell>
          <cell r="I214" t="str">
            <v xml:space="preserve">10% MDGS Constant </v>
          </cell>
        </row>
        <row r="215">
          <cell r="A215">
            <v>4713</v>
          </cell>
          <cell r="B215">
            <v>632</v>
          </cell>
          <cell r="C215">
            <v>636</v>
          </cell>
          <cell r="D215">
            <v>634</v>
          </cell>
          <cell r="E215">
            <v>2</v>
          </cell>
          <cell r="F215">
            <v>6</v>
          </cell>
          <cell r="G215">
            <v>0.67420013228306486</v>
          </cell>
          <cell r="H215">
            <v>312</v>
          </cell>
          <cell r="I215" t="str">
            <v xml:space="preserve">25% MDGS Constant </v>
          </cell>
        </row>
        <row r="216">
          <cell r="A216">
            <v>4661</v>
          </cell>
          <cell r="B216">
            <v>628</v>
          </cell>
          <cell r="C216">
            <v>600</v>
          </cell>
          <cell r="D216">
            <v>614</v>
          </cell>
          <cell r="E216">
            <v>2</v>
          </cell>
          <cell r="F216">
            <v>6</v>
          </cell>
          <cell r="G216">
            <v>0.74957150450271082</v>
          </cell>
          <cell r="H216">
            <v>313</v>
          </cell>
          <cell r="I216" t="str">
            <v>25% MDGS Variable</v>
          </cell>
        </row>
        <row r="217">
          <cell r="A217">
            <v>4738</v>
          </cell>
          <cell r="B217">
            <v>632</v>
          </cell>
          <cell r="C217">
            <v>636</v>
          </cell>
          <cell r="D217">
            <v>634</v>
          </cell>
          <cell r="E217">
            <v>2</v>
          </cell>
          <cell r="F217">
            <v>6</v>
          </cell>
          <cell r="G217">
            <v>0.7552394581720473</v>
          </cell>
          <cell r="H217">
            <v>314</v>
          </cell>
          <cell r="I217" t="str">
            <v>25% MDGS Variable</v>
          </cell>
        </row>
        <row r="218">
          <cell r="A218">
            <v>4380</v>
          </cell>
          <cell r="B218">
            <v>632</v>
          </cell>
          <cell r="C218">
            <v>602</v>
          </cell>
          <cell r="D218">
            <v>617</v>
          </cell>
          <cell r="E218">
            <v>2</v>
          </cell>
          <cell r="F218">
            <v>6</v>
          </cell>
          <cell r="G218">
            <v>0.80858249518515612</v>
          </cell>
          <cell r="H218">
            <v>315</v>
          </cell>
          <cell r="I218" t="str">
            <v xml:space="preserve">25% MDGS Constant </v>
          </cell>
        </row>
        <row r="219">
          <cell r="A219">
            <v>4314</v>
          </cell>
          <cell r="B219">
            <v>634</v>
          </cell>
          <cell r="C219">
            <v>630</v>
          </cell>
          <cell r="D219">
            <v>632</v>
          </cell>
          <cell r="E219">
            <v>2</v>
          </cell>
          <cell r="F219">
            <v>6</v>
          </cell>
          <cell r="G219">
            <v>0.86984261120337147</v>
          </cell>
          <cell r="H219">
            <v>316</v>
          </cell>
          <cell r="I219" t="str">
            <v xml:space="preserve">10% MDGS Constant </v>
          </cell>
        </row>
        <row r="220">
          <cell r="A220">
            <v>4608</v>
          </cell>
          <cell r="B220">
            <v>628</v>
          </cell>
          <cell r="C220">
            <v>628</v>
          </cell>
          <cell r="D220">
            <v>628</v>
          </cell>
          <cell r="E220">
            <v>2</v>
          </cell>
          <cell r="F220">
            <v>6</v>
          </cell>
          <cell r="G220">
            <v>0.88858289671865798</v>
          </cell>
          <cell r="H220">
            <v>317</v>
          </cell>
          <cell r="I220" t="str">
            <v>Control</v>
          </cell>
        </row>
        <row r="221">
          <cell r="A221">
            <v>4374</v>
          </cell>
          <cell r="B221">
            <v>634</v>
          </cell>
          <cell r="C221">
            <v>640</v>
          </cell>
          <cell r="D221">
            <v>637</v>
          </cell>
          <cell r="E221">
            <v>2</v>
          </cell>
          <cell r="F221">
            <v>6</v>
          </cell>
          <cell r="G221">
            <v>0.9067748353531403</v>
          </cell>
          <cell r="H221">
            <v>318</v>
          </cell>
          <cell r="I221" t="str">
            <v>10% MDGS Variable</v>
          </cell>
        </row>
        <row r="222">
          <cell r="A222">
            <v>4541</v>
          </cell>
          <cell r="B222">
            <v>636</v>
          </cell>
          <cell r="C222">
            <v>634</v>
          </cell>
          <cell r="D222">
            <v>635</v>
          </cell>
          <cell r="E222">
            <v>2</v>
          </cell>
          <cell r="F222">
            <v>7</v>
          </cell>
          <cell r="G222">
            <v>1.6361780520034008E-2</v>
          </cell>
          <cell r="H222">
            <v>215</v>
          </cell>
          <cell r="I222" t="str">
            <v>10% MDGS Variable</v>
          </cell>
        </row>
        <row r="223">
          <cell r="A223">
            <v>4630</v>
          </cell>
          <cell r="B223">
            <v>634</v>
          </cell>
          <cell r="C223">
            <v>638</v>
          </cell>
          <cell r="D223">
            <v>636</v>
          </cell>
          <cell r="E223">
            <v>2</v>
          </cell>
          <cell r="F223">
            <v>7</v>
          </cell>
          <cell r="G223">
            <v>3.6419150762423635E-2</v>
          </cell>
          <cell r="H223">
            <v>216</v>
          </cell>
          <cell r="I223" t="str">
            <v xml:space="preserve">10% MDGS Constant </v>
          </cell>
        </row>
        <row r="224">
          <cell r="A224">
            <v>4673</v>
          </cell>
          <cell r="B224">
            <v>636</v>
          </cell>
          <cell r="C224">
            <v>636</v>
          </cell>
          <cell r="D224">
            <v>636</v>
          </cell>
          <cell r="E224">
            <v>2</v>
          </cell>
          <cell r="F224">
            <v>7</v>
          </cell>
          <cell r="G224">
            <v>6.6503652804393742E-2</v>
          </cell>
          <cell r="H224">
            <v>301</v>
          </cell>
          <cell r="I224" t="str">
            <v xml:space="preserve">25% MDGS Constant </v>
          </cell>
        </row>
        <row r="225">
          <cell r="A225">
            <v>4633</v>
          </cell>
          <cell r="B225">
            <v>634</v>
          </cell>
          <cell r="C225">
            <v>650</v>
          </cell>
          <cell r="D225">
            <v>642</v>
          </cell>
          <cell r="E225">
            <v>2</v>
          </cell>
          <cell r="F225">
            <v>7</v>
          </cell>
          <cell r="G225">
            <v>0.10477043325720292</v>
          </cell>
          <cell r="H225">
            <v>302</v>
          </cell>
          <cell r="I225" t="str">
            <v>25% MDGS Variable</v>
          </cell>
        </row>
        <row r="226">
          <cell r="A226">
            <v>4487</v>
          </cell>
          <cell r="B226">
            <v>634</v>
          </cell>
          <cell r="C226">
            <v>634</v>
          </cell>
          <cell r="D226">
            <v>634</v>
          </cell>
          <cell r="E226">
            <v>2</v>
          </cell>
          <cell r="F226">
            <v>7</v>
          </cell>
          <cell r="G226">
            <v>0.12394927416353607</v>
          </cell>
          <cell r="H226">
            <v>303</v>
          </cell>
          <cell r="I226" t="str">
            <v>Control</v>
          </cell>
        </row>
        <row r="227">
          <cell r="A227">
            <v>4369</v>
          </cell>
          <cell r="B227">
            <v>636</v>
          </cell>
          <cell r="C227">
            <v>660</v>
          </cell>
          <cell r="D227">
            <v>648</v>
          </cell>
          <cell r="E227">
            <v>2</v>
          </cell>
          <cell r="F227">
            <v>7</v>
          </cell>
          <cell r="G227">
            <v>0.15909750920594623</v>
          </cell>
          <cell r="H227">
            <v>304</v>
          </cell>
          <cell r="I227" t="str">
            <v>10% MDGS Variable</v>
          </cell>
        </row>
        <row r="228">
          <cell r="A228">
            <v>4430</v>
          </cell>
          <cell r="B228">
            <v>636</v>
          </cell>
          <cell r="C228">
            <v>638</v>
          </cell>
          <cell r="D228">
            <v>637</v>
          </cell>
          <cell r="E228">
            <v>2</v>
          </cell>
          <cell r="F228">
            <v>7</v>
          </cell>
          <cell r="G228">
            <v>0.26274818039795567</v>
          </cell>
          <cell r="H228">
            <v>305</v>
          </cell>
          <cell r="I228" t="str">
            <v xml:space="preserve">10% MDGS Constant </v>
          </cell>
        </row>
        <row r="229">
          <cell r="A229">
            <v>4417</v>
          </cell>
          <cell r="B229">
            <v>636</v>
          </cell>
          <cell r="C229">
            <v>632</v>
          </cell>
          <cell r="D229">
            <v>634</v>
          </cell>
          <cell r="E229">
            <v>2</v>
          </cell>
          <cell r="F229">
            <v>7</v>
          </cell>
          <cell r="G229">
            <v>0.29915721759852687</v>
          </cell>
          <cell r="H229">
            <v>306</v>
          </cell>
          <cell r="I229" t="str">
            <v>Control</v>
          </cell>
        </row>
        <row r="230">
          <cell r="A230">
            <v>4597</v>
          </cell>
          <cell r="B230">
            <v>634</v>
          </cell>
          <cell r="C230">
            <v>620</v>
          </cell>
          <cell r="D230">
            <v>627</v>
          </cell>
          <cell r="E230">
            <v>2</v>
          </cell>
          <cell r="F230">
            <v>7</v>
          </cell>
          <cell r="G230">
            <v>0.32107701921841525</v>
          </cell>
          <cell r="H230">
            <v>307</v>
          </cell>
          <cell r="I230" t="str">
            <v>25% MDGS Variable</v>
          </cell>
        </row>
        <row r="231">
          <cell r="A231">
            <v>4429</v>
          </cell>
          <cell r="B231">
            <v>636</v>
          </cell>
          <cell r="C231">
            <v>638</v>
          </cell>
          <cell r="D231">
            <v>637</v>
          </cell>
          <cell r="E231">
            <v>2</v>
          </cell>
          <cell r="F231">
            <v>7</v>
          </cell>
          <cell r="G231">
            <v>0.36711200468667959</v>
          </cell>
          <cell r="H231">
            <v>308</v>
          </cell>
          <cell r="I231" t="str">
            <v xml:space="preserve">25% MDGS Constant </v>
          </cell>
        </row>
        <row r="232">
          <cell r="A232">
            <v>4393</v>
          </cell>
          <cell r="B232">
            <v>636</v>
          </cell>
          <cell r="C232">
            <v>626</v>
          </cell>
          <cell r="D232">
            <v>631</v>
          </cell>
          <cell r="E232">
            <v>2</v>
          </cell>
          <cell r="F232">
            <v>7</v>
          </cell>
          <cell r="G232">
            <v>0.37686400122695018</v>
          </cell>
          <cell r="H232">
            <v>309</v>
          </cell>
          <cell r="I232" t="str">
            <v>Control</v>
          </cell>
        </row>
        <row r="233">
          <cell r="A233">
            <v>4440</v>
          </cell>
          <cell r="B233">
            <v>636</v>
          </cell>
          <cell r="C233">
            <v>650</v>
          </cell>
          <cell r="D233">
            <v>643</v>
          </cell>
          <cell r="E233">
            <v>2</v>
          </cell>
          <cell r="F233">
            <v>7</v>
          </cell>
          <cell r="G233">
            <v>0.40945202089975485</v>
          </cell>
          <cell r="H233">
            <v>310</v>
          </cell>
          <cell r="I233" t="str">
            <v>10% MDGS Variable</v>
          </cell>
        </row>
        <row r="234">
          <cell r="A234">
            <v>4452</v>
          </cell>
          <cell r="B234">
            <v>636</v>
          </cell>
          <cell r="C234">
            <v>650</v>
          </cell>
          <cell r="D234">
            <v>643</v>
          </cell>
          <cell r="E234">
            <v>2</v>
          </cell>
          <cell r="F234">
            <v>7</v>
          </cell>
          <cell r="G234">
            <v>0.46769112593226836</v>
          </cell>
          <cell r="H234">
            <v>311</v>
          </cell>
          <cell r="I234" t="str">
            <v xml:space="preserve">10% MDGS Constant </v>
          </cell>
        </row>
        <row r="235">
          <cell r="A235">
            <v>4672</v>
          </cell>
          <cell r="B235">
            <v>636</v>
          </cell>
          <cell r="C235">
            <v>638</v>
          </cell>
          <cell r="D235">
            <v>637</v>
          </cell>
          <cell r="E235">
            <v>2</v>
          </cell>
          <cell r="F235">
            <v>7</v>
          </cell>
          <cell r="G235">
            <v>0.55927023133768916</v>
          </cell>
          <cell r="H235">
            <v>312</v>
          </cell>
          <cell r="I235" t="str">
            <v xml:space="preserve">25% MDGS Constant </v>
          </cell>
        </row>
        <row r="236">
          <cell r="A236">
            <v>4596</v>
          </cell>
          <cell r="B236">
            <v>636</v>
          </cell>
          <cell r="C236">
            <v>656</v>
          </cell>
          <cell r="D236">
            <v>646</v>
          </cell>
          <cell r="E236">
            <v>2</v>
          </cell>
          <cell r="F236">
            <v>7</v>
          </cell>
          <cell r="G236">
            <v>0.55946420855368917</v>
          </cell>
          <cell r="H236">
            <v>313</v>
          </cell>
          <cell r="I236" t="str">
            <v>25% MDGS Variable</v>
          </cell>
        </row>
        <row r="237">
          <cell r="A237">
            <v>4693</v>
          </cell>
          <cell r="B237">
            <v>636</v>
          </cell>
          <cell r="C237">
            <v>656</v>
          </cell>
          <cell r="D237">
            <v>646</v>
          </cell>
          <cell r="E237">
            <v>2</v>
          </cell>
          <cell r="F237">
            <v>7</v>
          </cell>
          <cell r="G237">
            <v>0.66454971431494503</v>
          </cell>
          <cell r="H237">
            <v>314</v>
          </cell>
          <cell r="I237" t="str">
            <v>25% MDGS Variable</v>
          </cell>
        </row>
        <row r="238">
          <cell r="A238">
            <v>4604</v>
          </cell>
          <cell r="B238">
            <v>634</v>
          </cell>
          <cell r="C238">
            <v>630</v>
          </cell>
          <cell r="D238">
            <v>632</v>
          </cell>
          <cell r="E238">
            <v>2</v>
          </cell>
          <cell r="F238">
            <v>7</v>
          </cell>
          <cell r="G238">
            <v>0.66491261169906279</v>
          </cell>
          <cell r="H238">
            <v>315</v>
          </cell>
          <cell r="I238" t="str">
            <v xml:space="preserve">25% MDGS Constant </v>
          </cell>
        </row>
        <row r="239">
          <cell r="A239">
            <v>4732</v>
          </cell>
          <cell r="B239">
            <v>636</v>
          </cell>
          <cell r="C239">
            <v>632</v>
          </cell>
          <cell r="D239">
            <v>634</v>
          </cell>
          <cell r="E239">
            <v>2</v>
          </cell>
          <cell r="F239">
            <v>7</v>
          </cell>
          <cell r="G239">
            <v>0.76016382012336081</v>
          </cell>
          <cell r="H239">
            <v>316</v>
          </cell>
          <cell r="I239" t="str">
            <v xml:space="preserve">10% MDGS Constant </v>
          </cell>
        </row>
        <row r="240">
          <cell r="A240">
            <v>4556</v>
          </cell>
          <cell r="B240">
            <v>636</v>
          </cell>
          <cell r="C240">
            <v>624</v>
          </cell>
          <cell r="D240">
            <v>630</v>
          </cell>
          <cell r="E240">
            <v>2</v>
          </cell>
          <cell r="F240">
            <v>7</v>
          </cell>
          <cell r="G240">
            <v>0.91868338669885408</v>
          </cell>
          <cell r="H240">
            <v>317</v>
          </cell>
          <cell r="I240" t="str">
            <v>Control</v>
          </cell>
        </row>
        <row r="241">
          <cell r="A241">
            <v>4416</v>
          </cell>
          <cell r="B241">
            <v>636</v>
          </cell>
          <cell r="C241">
            <v>650</v>
          </cell>
          <cell r="D241">
            <v>643</v>
          </cell>
          <cell r="E241">
            <v>2</v>
          </cell>
          <cell r="F241">
            <v>7</v>
          </cell>
          <cell r="G241">
            <v>0.93864889182117972</v>
          </cell>
          <cell r="H241">
            <v>318</v>
          </cell>
          <cell r="I241" t="str">
            <v>10% MDGS Variable</v>
          </cell>
        </row>
        <row r="242">
          <cell r="A242">
            <v>4327</v>
          </cell>
          <cell r="B242">
            <v>646</v>
          </cell>
          <cell r="C242">
            <v>650</v>
          </cell>
          <cell r="D242">
            <v>648</v>
          </cell>
          <cell r="E242">
            <v>2</v>
          </cell>
          <cell r="F242">
            <v>8</v>
          </cell>
          <cell r="G242">
            <v>5.5496116585426636E-2</v>
          </cell>
          <cell r="H242">
            <v>215</v>
          </cell>
          <cell r="I242" t="str">
            <v>10% MDGS Variable</v>
          </cell>
        </row>
        <row r="243">
          <cell r="A243">
            <v>4592</v>
          </cell>
          <cell r="B243">
            <v>638</v>
          </cell>
          <cell r="C243">
            <v>624</v>
          </cell>
          <cell r="D243">
            <v>631</v>
          </cell>
          <cell r="E243">
            <v>2</v>
          </cell>
          <cell r="F243">
            <v>8</v>
          </cell>
          <cell r="G243">
            <v>8.4685324292916753E-2</v>
          </cell>
          <cell r="H243">
            <v>216</v>
          </cell>
          <cell r="I243" t="str">
            <v xml:space="preserve">10% MDGS Constant </v>
          </cell>
        </row>
        <row r="244">
          <cell r="A244">
            <v>4358</v>
          </cell>
          <cell r="B244">
            <v>644</v>
          </cell>
          <cell r="C244">
            <v>650</v>
          </cell>
          <cell r="D244">
            <v>647</v>
          </cell>
          <cell r="E244">
            <v>2</v>
          </cell>
          <cell r="F244">
            <v>8</v>
          </cell>
          <cell r="G244">
            <v>0.11945458948240373</v>
          </cell>
          <cell r="H244">
            <v>301</v>
          </cell>
          <cell r="I244" t="str">
            <v xml:space="preserve">25% MDGS Constant </v>
          </cell>
        </row>
        <row r="245">
          <cell r="A245">
            <v>4762</v>
          </cell>
          <cell r="B245">
            <v>636</v>
          </cell>
          <cell r="C245">
            <v>640</v>
          </cell>
          <cell r="D245">
            <v>638</v>
          </cell>
          <cell r="E245">
            <v>2</v>
          </cell>
          <cell r="F245">
            <v>8</v>
          </cell>
          <cell r="G245">
            <v>0.21722091891857709</v>
          </cell>
          <cell r="H245">
            <v>302</v>
          </cell>
          <cell r="I245" t="str">
            <v>25% MDGS Variable</v>
          </cell>
        </row>
        <row r="246">
          <cell r="A246">
            <v>4618</v>
          </cell>
          <cell r="B246">
            <v>640</v>
          </cell>
          <cell r="C246">
            <v>658</v>
          </cell>
          <cell r="D246">
            <v>649</v>
          </cell>
          <cell r="E246">
            <v>2</v>
          </cell>
          <cell r="F246">
            <v>8</v>
          </cell>
          <cell r="G246">
            <v>0.29015142462215926</v>
          </cell>
          <cell r="H246">
            <v>303</v>
          </cell>
          <cell r="I246" t="str">
            <v>Control</v>
          </cell>
        </row>
        <row r="247">
          <cell r="A247">
            <v>4754</v>
          </cell>
          <cell r="B247">
            <v>646</v>
          </cell>
          <cell r="C247">
            <v>656</v>
          </cell>
          <cell r="D247">
            <v>651</v>
          </cell>
          <cell r="E247">
            <v>2</v>
          </cell>
          <cell r="F247">
            <v>8</v>
          </cell>
          <cell r="G247">
            <v>0.29417860854240463</v>
          </cell>
          <cell r="H247">
            <v>304</v>
          </cell>
          <cell r="I247" t="str">
            <v>10% MDGS Variable</v>
          </cell>
        </row>
        <row r="248">
          <cell r="A248">
            <v>4366</v>
          </cell>
          <cell r="B248">
            <v>646</v>
          </cell>
          <cell r="C248">
            <v>646</v>
          </cell>
          <cell r="D248">
            <v>646</v>
          </cell>
          <cell r="E248">
            <v>2</v>
          </cell>
          <cell r="F248">
            <v>8</v>
          </cell>
          <cell r="G248">
            <v>0.40128894866417852</v>
          </cell>
          <cell r="H248">
            <v>305</v>
          </cell>
          <cell r="I248" t="str">
            <v xml:space="preserve">10% MDGS Constant </v>
          </cell>
        </row>
        <row r="249">
          <cell r="A249">
            <v>4741</v>
          </cell>
          <cell r="B249">
            <v>646</v>
          </cell>
          <cell r="C249">
            <v>652</v>
          </cell>
          <cell r="D249">
            <v>649</v>
          </cell>
          <cell r="E249">
            <v>2</v>
          </cell>
          <cell r="F249">
            <v>8</v>
          </cell>
          <cell r="G249">
            <v>0.42236184647911612</v>
          </cell>
          <cell r="H249">
            <v>306</v>
          </cell>
          <cell r="I249" t="str">
            <v>Control</v>
          </cell>
        </row>
        <row r="250">
          <cell r="A250">
            <v>4372</v>
          </cell>
          <cell r="B250">
            <v>644</v>
          </cell>
          <cell r="C250">
            <v>656</v>
          </cell>
          <cell r="D250">
            <v>650</v>
          </cell>
          <cell r="E250">
            <v>2</v>
          </cell>
          <cell r="F250">
            <v>8</v>
          </cell>
          <cell r="G250">
            <v>0.42378755372311394</v>
          </cell>
          <cell r="H250">
            <v>307</v>
          </cell>
          <cell r="I250" t="str">
            <v>25% MDGS Variable</v>
          </cell>
        </row>
        <row r="251">
          <cell r="A251">
            <v>4525</v>
          </cell>
          <cell r="B251">
            <v>646</v>
          </cell>
          <cell r="C251">
            <v>642</v>
          </cell>
          <cell r="D251">
            <v>644</v>
          </cell>
          <cell r="E251">
            <v>2</v>
          </cell>
          <cell r="F251">
            <v>8</v>
          </cell>
          <cell r="G251">
            <v>0.42863382756700619</v>
          </cell>
          <cell r="H251">
            <v>308</v>
          </cell>
          <cell r="I251" t="str">
            <v xml:space="preserve">25% MDGS Constant </v>
          </cell>
        </row>
        <row r="252">
          <cell r="A252">
            <v>4506</v>
          </cell>
          <cell r="B252">
            <v>644</v>
          </cell>
          <cell r="C252">
            <v>660</v>
          </cell>
          <cell r="D252">
            <v>652</v>
          </cell>
          <cell r="E252">
            <v>2</v>
          </cell>
          <cell r="F252">
            <v>8</v>
          </cell>
          <cell r="G252">
            <v>0.43513006833687196</v>
          </cell>
          <cell r="H252">
            <v>309</v>
          </cell>
          <cell r="I252" t="str">
            <v>Control</v>
          </cell>
        </row>
        <row r="253">
          <cell r="A253">
            <v>4694</v>
          </cell>
          <cell r="B253">
            <v>638</v>
          </cell>
          <cell r="C253">
            <v>650</v>
          </cell>
          <cell r="D253">
            <v>644</v>
          </cell>
          <cell r="E253">
            <v>2</v>
          </cell>
          <cell r="F253">
            <v>8</v>
          </cell>
          <cell r="G253">
            <v>0.46959263937982221</v>
          </cell>
          <cell r="H253">
            <v>310</v>
          </cell>
          <cell r="I253" t="str">
            <v>10% MDGS Variable</v>
          </cell>
        </row>
        <row r="254">
          <cell r="A254">
            <v>4442</v>
          </cell>
          <cell r="B254">
            <v>638</v>
          </cell>
          <cell r="C254">
            <v>660</v>
          </cell>
          <cell r="D254">
            <v>649</v>
          </cell>
          <cell r="E254">
            <v>2</v>
          </cell>
          <cell r="F254">
            <v>8</v>
          </cell>
          <cell r="G254">
            <v>0.58316519553934165</v>
          </cell>
          <cell r="H254">
            <v>311</v>
          </cell>
          <cell r="I254" t="str">
            <v xml:space="preserve">10% MDGS Constant </v>
          </cell>
        </row>
        <row r="255">
          <cell r="A255">
            <v>4453</v>
          </cell>
          <cell r="B255">
            <v>646</v>
          </cell>
          <cell r="C255">
            <v>646</v>
          </cell>
          <cell r="D255">
            <v>646</v>
          </cell>
          <cell r="E255">
            <v>2</v>
          </cell>
          <cell r="F255">
            <v>8</v>
          </cell>
          <cell r="G255">
            <v>0.65451494603966398</v>
          </cell>
          <cell r="H255">
            <v>312</v>
          </cell>
          <cell r="I255" t="str">
            <v xml:space="preserve">25% MDGS Constant </v>
          </cell>
        </row>
        <row r="256">
          <cell r="A256">
            <v>4676</v>
          </cell>
          <cell r="B256">
            <v>638</v>
          </cell>
          <cell r="C256">
            <v>630</v>
          </cell>
          <cell r="D256">
            <v>634</v>
          </cell>
          <cell r="E256">
            <v>2</v>
          </cell>
          <cell r="F256">
            <v>8</v>
          </cell>
          <cell r="G256">
            <v>0.72321773290374247</v>
          </cell>
          <cell r="H256">
            <v>313</v>
          </cell>
          <cell r="I256" t="str">
            <v>25% MDGS Variable</v>
          </cell>
        </row>
        <row r="257">
          <cell r="A257">
            <v>4470</v>
          </cell>
          <cell r="B257">
            <v>640</v>
          </cell>
          <cell r="C257">
            <v>640</v>
          </cell>
          <cell r="D257">
            <v>640</v>
          </cell>
          <cell r="E257">
            <v>2</v>
          </cell>
          <cell r="F257">
            <v>8</v>
          </cell>
          <cell r="G257">
            <v>0.74162227695080163</v>
          </cell>
          <cell r="H257">
            <v>314</v>
          </cell>
          <cell r="I257" t="str">
            <v>25% MDGS Variable</v>
          </cell>
        </row>
        <row r="258">
          <cell r="A258">
            <v>4435</v>
          </cell>
          <cell r="B258">
            <v>638</v>
          </cell>
          <cell r="C258">
            <v>636</v>
          </cell>
          <cell r="D258">
            <v>637</v>
          </cell>
          <cell r="E258">
            <v>2</v>
          </cell>
          <cell r="F258">
            <v>8</v>
          </cell>
          <cell r="G258">
            <v>0.7835208447429971</v>
          </cell>
          <cell r="H258">
            <v>315</v>
          </cell>
          <cell r="I258" t="str">
            <v xml:space="preserve">25% MDGS Constant </v>
          </cell>
        </row>
        <row r="259">
          <cell r="A259">
            <v>4643</v>
          </cell>
          <cell r="B259">
            <v>642</v>
          </cell>
          <cell r="C259">
            <v>634</v>
          </cell>
          <cell r="D259">
            <v>638</v>
          </cell>
          <cell r="E259">
            <v>2</v>
          </cell>
          <cell r="F259">
            <v>8</v>
          </cell>
          <cell r="G259">
            <v>0.78407915778062687</v>
          </cell>
          <cell r="H259">
            <v>316</v>
          </cell>
          <cell r="I259" t="str">
            <v xml:space="preserve">10% MDGS Constant </v>
          </cell>
        </row>
        <row r="260">
          <cell r="A260">
            <v>4737</v>
          </cell>
          <cell r="B260">
            <v>644</v>
          </cell>
          <cell r="C260">
            <v>624</v>
          </cell>
          <cell r="D260">
            <v>634</v>
          </cell>
          <cell r="E260">
            <v>2</v>
          </cell>
          <cell r="F260">
            <v>8</v>
          </cell>
          <cell r="G260">
            <v>0.89906931839505444</v>
          </cell>
          <cell r="H260">
            <v>317</v>
          </cell>
          <cell r="I260" t="str">
            <v>Control</v>
          </cell>
        </row>
        <row r="261">
          <cell r="A261">
            <v>4579</v>
          </cell>
          <cell r="B261">
            <v>646</v>
          </cell>
          <cell r="C261">
            <v>630</v>
          </cell>
          <cell r="D261">
            <v>638</v>
          </cell>
          <cell r="E261">
            <v>2</v>
          </cell>
          <cell r="F261">
            <v>8</v>
          </cell>
          <cell r="G261">
            <v>0.96376431649230021</v>
          </cell>
          <cell r="H261">
            <v>318</v>
          </cell>
          <cell r="I261" t="str">
            <v>10% MDGS Variable</v>
          </cell>
        </row>
        <row r="262">
          <cell r="A262">
            <v>4734</v>
          </cell>
          <cell r="B262">
            <v>652</v>
          </cell>
          <cell r="C262">
            <v>658</v>
          </cell>
          <cell r="D262">
            <v>655</v>
          </cell>
          <cell r="E262">
            <v>2</v>
          </cell>
          <cell r="F262">
            <v>9</v>
          </cell>
          <cell r="G262">
            <v>5.6804922864541418E-2</v>
          </cell>
          <cell r="H262">
            <v>215</v>
          </cell>
          <cell r="I262" t="str">
            <v>10% MDGS Variable</v>
          </cell>
        </row>
        <row r="263">
          <cell r="A263">
            <v>4658</v>
          </cell>
          <cell r="B263">
            <v>652</v>
          </cell>
          <cell r="C263">
            <v>652</v>
          </cell>
          <cell r="D263">
            <v>652</v>
          </cell>
          <cell r="E263">
            <v>2</v>
          </cell>
          <cell r="F263">
            <v>9</v>
          </cell>
          <cell r="G263">
            <v>0.1259847070667045</v>
          </cell>
          <cell r="H263">
            <v>216</v>
          </cell>
          <cell r="I263" t="str">
            <v xml:space="preserve">10% MDGS Constant </v>
          </cell>
        </row>
        <row r="264">
          <cell r="A264">
            <v>4615</v>
          </cell>
          <cell r="B264">
            <v>652</v>
          </cell>
          <cell r="C264">
            <v>664</v>
          </cell>
          <cell r="D264">
            <v>658</v>
          </cell>
          <cell r="E264">
            <v>2</v>
          </cell>
          <cell r="F264">
            <v>9</v>
          </cell>
          <cell r="G264">
            <v>0.20442481356679498</v>
          </cell>
          <cell r="H264">
            <v>301</v>
          </cell>
          <cell r="I264" t="str">
            <v xml:space="preserve">25% MDGS Constant </v>
          </cell>
        </row>
        <row r="265">
          <cell r="A265">
            <v>4585</v>
          </cell>
          <cell r="B265">
            <v>652</v>
          </cell>
          <cell r="C265">
            <v>670</v>
          </cell>
          <cell r="D265">
            <v>661</v>
          </cell>
          <cell r="E265">
            <v>2</v>
          </cell>
          <cell r="F265">
            <v>9</v>
          </cell>
          <cell r="G265">
            <v>0.20862085663900432</v>
          </cell>
          <cell r="H265">
            <v>302</v>
          </cell>
          <cell r="I265" t="str">
            <v>25% MDGS Variable</v>
          </cell>
        </row>
        <row r="266">
          <cell r="A266">
            <v>4652</v>
          </cell>
          <cell r="B266">
            <v>648</v>
          </cell>
          <cell r="C266">
            <v>624</v>
          </cell>
          <cell r="D266">
            <v>636</v>
          </cell>
          <cell r="E266">
            <v>2</v>
          </cell>
          <cell r="F266">
            <v>9</v>
          </cell>
          <cell r="G266">
            <v>0.27198870513286899</v>
          </cell>
          <cell r="H266">
            <v>303</v>
          </cell>
          <cell r="I266" t="str">
            <v>Control</v>
          </cell>
        </row>
        <row r="267">
          <cell r="A267">
            <v>4631</v>
          </cell>
          <cell r="B267">
            <v>652</v>
          </cell>
          <cell r="C267">
            <v>662</v>
          </cell>
          <cell r="D267">
            <v>657</v>
          </cell>
          <cell r="E267">
            <v>2</v>
          </cell>
          <cell r="F267">
            <v>9</v>
          </cell>
          <cell r="G267">
            <v>0.2885852603518706</v>
          </cell>
          <cell r="H267">
            <v>304</v>
          </cell>
          <cell r="I267" t="str">
            <v>10% MDGS Variable</v>
          </cell>
        </row>
        <row r="268">
          <cell r="A268">
            <v>4563</v>
          </cell>
          <cell r="B268">
            <v>648</v>
          </cell>
          <cell r="C268">
            <v>632</v>
          </cell>
          <cell r="D268">
            <v>640</v>
          </cell>
          <cell r="E268">
            <v>2</v>
          </cell>
          <cell r="F268">
            <v>9</v>
          </cell>
          <cell r="G268">
            <v>0.31718992699513693</v>
          </cell>
          <cell r="H268">
            <v>305</v>
          </cell>
          <cell r="I268" t="str">
            <v xml:space="preserve">10% MDGS Constant </v>
          </cell>
        </row>
        <row r="269">
          <cell r="A269">
            <v>4607</v>
          </cell>
          <cell r="B269">
            <v>650</v>
          </cell>
          <cell r="C269">
            <v>646</v>
          </cell>
          <cell r="D269">
            <v>648</v>
          </cell>
          <cell r="E269">
            <v>2</v>
          </cell>
          <cell r="F269">
            <v>9</v>
          </cell>
          <cell r="G269">
            <v>0.32264146396656224</v>
          </cell>
          <cell r="H269">
            <v>306</v>
          </cell>
          <cell r="I269" t="str">
            <v>Control</v>
          </cell>
        </row>
        <row r="270">
          <cell r="A270">
            <v>4484</v>
          </cell>
          <cell r="B270">
            <v>648</v>
          </cell>
          <cell r="C270">
            <v>644</v>
          </cell>
          <cell r="D270">
            <v>646</v>
          </cell>
          <cell r="E270">
            <v>2</v>
          </cell>
          <cell r="F270">
            <v>9</v>
          </cell>
          <cell r="G270">
            <v>0.3250503532655673</v>
          </cell>
          <cell r="H270">
            <v>307</v>
          </cell>
          <cell r="I270" t="str">
            <v>25% MDGS Variable</v>
          </cell>
        </row>
        <row r="271">
          <cell r="A271">
            <v>4574</v>
          </cell>
          <cell r="B271">
            <v>650</v>
          </cell>
          <cell r="C271">
            <v>636</v>
          </cell>
          <cell r="D271">
            <v>643</v>
          </cell>
          <cell r="E271">
            <v>2</v>
          </cell>
          <cell r="F271">
            <v>9</v>
          </cell>
          <cell r="G271">
            <v>0.40947641456871386</v>
          </cell>
          <cell r="H271">
            <v>308</v>
          </cell>
          <cell r="I271" t="str">
            <v xml:space="preserve">25% MDGS Constant </v>
          </cell>
        </row>
        <row r="272">
          <cell r="A272">
            <v>4509</v>
          </cell>
          <cell r="B272">
            <v>648</v>
          </cell>
          <cell r="C272">
            <v>634</v>
          </cell>
          <cell r="D272">
            <v>641</v>
          </cell>
          <cell r="E272">
            <v>2</v>
          </cell>
          <cell r="F272">
            <v>9</v>
          </cell>
          <cell r="G272">
            <v>0.42190733061202645</v>
          </cell>
          <cell r="H272">
            <v>309</v>
          </cell>
          <cell r="I272" t="str">
            <v>Control</v>
          </cell>
        </row>
        <row r="273">
          <cell r="A273">
            <v>4715</v>
          </cell>
          <cell r="B273">
            <v>652</v>
          </cell>
          <cell r="C273">
            <v>640</v>
          </cell>
          <cell r="D273">
            <v>646</v>
          </cell>
          <cell r="E273">
            <v>2</v>
          </cell>
          <cell r="F273">
            <v>9</v>
          </cell>
          <cell r="G273">
            <v>0.49322980939415551</v>
          </cell>
          <cell r="H273">
            <v>310</v>
          </cell>
          <cell r="I273" t="str">
            <v>10% MDGS Variable</v>
          </cell>
        </row>
        <row r="274">
          <cell r="A274">
            <v>4448</v>
          </cell>
          <cell r="B274">
            <v>648</v>
          </cell>
          <cell r="C274">
            <v>656</v>
          </cell>
          <cell r="D274">
            <v>652</v>
          </cell>
          <cell r="E274">
            <v>2</v>
          </cell>
          <cell r="F274">
            <v>9</v>
          </cell>
          <cell r="G274">
            <v>0.52089708945847535</v>
          </cell>
          <cell r="H274">
            <v>311</v>
          </cell>
          <cell r="I274" t="str">
            <v xml:space="preserve">10% MDGS Constant </v>
          </cell>
        </row>
        <row r="275">
          <cell r="A275">
            <v>4573</v>
          </cell>
          <cell r="B275">
            <v>650</v>
          </cell>
          <cell r="C275">
            <v>650</v>
          </cell>
          <cell r="D275">
            <v>650</v>
          </cell>
          <cell r="E275">
            <v>2</v>
          </cell>
          <cell r="F275">
            <v>9</v>
          </cell>
          <cell r="G275">
            <v>0.57059854821536937</v>
          </cell>
          <cell r="H275">
            <v>312</v>
          </cell>
          <cell r="I275" t="str">
            <v xml:space="preserve">25% MDGS Constant </v>
          </cell>
        </row>
        <row r="276">
          <cell r="A276">
            <v>4510</v>
          </cell>
          <cell r="B276">
            <v>648</v>
          </cell>
          <cell r="C276">
            <v>644</v>
          </cell>
          <cell r="D276">
            <v>646</v>
          </cell>
          <cell r="E276">
            <v>2</v>
          </cell>
          <cell r="F276">
            <v>9</v>
          </cell>
          <cell r="G276">
            <v>0.6407497672109167</v>
          </cell>
          <cell r="H276">
            <v>313</v>
          </cell>
          <cell r="I276" t="str">
            <v>25% MDGS Variable</v>
          </cell>
        </row>
        <row r="277">
          <cell r="A277">
            <v>4758</v>
          </cell>
          <cell r="B277">
            <v>650</v>
          </cell>
          <cell r="C277">
            <v>662</v>
          </cell>
          <cell r="D277">
            <v>656</v>
          </cell>
          <cell r="E277">
            <v>2</v>
          </cell>
          <cell r="F277">
            <v>9</v>
          </cell>
          <cell r="G277">
            <v>0.70070069323194895</v>
          </cell>
          <cell r="H277">
            <v>314</v>
          </cell>
          <cell r="I277" t="str">
            <v>25% MDGS Variable</v>
          </cell>
        </row>
        <row r="278">
          <cell r="A278">
            <v>4388</v>
          </cell>
          <cell r="B278">
            <v>650</v>
          </cell>
          <cell r="C278">
            <v>638</v>
          </cell>
          <cell r="D278">
            <v>644</v>
          </cell>
          <cell r="E278">
            <v>2</v>
          </cell>
          <cell r="F278">
            <v>9</v>
          </cell>
          <cell r="G278">
            <v>0.75915180046028796</v>
          </cell>
          <cell r="H278">
            <v>315</v>
          </cell>
          <cell r="I278" t="str">
            <v xml:space="preserve">25% MDGS Constant </v>
          </cell>
        </row>
        <row r="279">
          <cell r="A279">
            <v>4692</v>
          </cell>
          <cell r="B279">
            <v>652</v>
          </cell>
          <cell r="C279">
            <v>640</v>
          </cell>
          <cell r="D279">
            <v>646</v>
          </cell>
          <cell r="E279">
            <v>2</v>
          </cell>
          <cell r="F279">
            <v>9</v>
          </cell>
          <cell r="G279">
            <v>0.79458260064954933</v>
          </cell>
          <cell r="H279">
            <v>316</v>
          </cell>
          <cell r="I279" t="str">
            <v xml:space="preserve">10% MDGS Constant </v>
          </cell>
        </row>
        <row r="280">
          <cell r="A280">
            <v>4632</v>
          </cell>
          <cell r="B280">
            <v>650</v>
          </cell>
          <cell r="C280">
            <v>650</v>
          </cell>
          <cell r="D280">
            <v>650</v>
          </cell>
          <cell r="E280">
            <v>2</v>
          </cell>
          <cell r="F280">
            <v>9</v>
          </cell>
          <cell r="G280">
            <v>0.89435832745578403</v>
          </cell>
          <cell r="H280">
            <v>317</v>
          </cell>
          <cell r="I280" t="str">
            <v>Control</v>
          </cell>
        </row>
        <row r="281">
          <cell r="A281">
            <v>4768</v>
          </cell>
          <cell r="B281">
            <v>648</v>
          </cell>
          <cell r="C281">
            <v>630</v>
          </cell>
          <cell r="D281">
            <v>639</v>
          </cell>
          <cell r="E281">
            <v>2</v>
          </cell>
          <cell r="F281">
            <v>9</v>
          </cell>
          <cell r="G281">
            <v>0.96879458043770306</v>
          </cell>
          <cell r="H281">
            <v>318</v>
          </cell>
          <cell r="I281" t="str">
            <v>10% MDGS Variable</v>
          </cell>
        </row>
        <row r="282">
          <cell r="A282">
            <v>4494</v>
          </cell>
          <cell r="B282">
            <v>658</v>
          </cell>
          <cell r="C282">
            <v>658</v>
          </cell>
          <cell r="D282">
            <v>658</v>
          </cell>
          <cell r="E282">
            <v>2</v>
          </cell>
          <cell r="F282">
            <v>10</v>
          </cell>
          <cell r="G282">
            <v>2.0153935026966385E-2</v>
          </cell>
          <cell r="H282">
            <v>215</v>
          </cell>
          <cell r="I282" t="str">
            <v>10% MDGS Variable</v>
          </cell>
        </row>
        <row r="283">
          <cell r="A283">
            <v>4554</v>
          </cell>
          <cell r="B283">
            <v>654</v>
          </cell>
          <cell r="C283">
            <v>658</v>
          </cell>
          <cell r="D283">
            <v>656</v>
          </cell>
          <cell r="E283">
            <v>2</v>
          </cell>
          <cell r="F283">
            <v>10</v>
          </cell>
          <cell r="G283">
            <v>3.7554101124554817E-2</v>
          </cell>
          <cell r="H283">
            <v>216</v>
          </cell>
          <cell r="I283" t="str">
            <v xml:space="preserve">10% MDGS Constant </v>
          </cell>
        </row>
        <row r="284">
          <cell r="A284">
            <v>4733</v>
          </cell>
          <cell r="B284">
            <v>656</v>
          </cell>
          <cell r="C284">
            <v>660</v>
          </cell>
          <cell r="D284">
            <v>658</v>
          </cell>
          <cell r="E284">
            <v>2</v>
          </cell>
          <cell r="F284">
            <v>10</v>
          </cell>
          <cell r="G284">
            <v>5.4781434944570551E-2</v>
          </cell>
          <cell r="H284">
            <v>301</v>
          </cell>
          <cell r="I284" t="str">
            <v xml:space="preserve">25% MDGS Constant </v>
          </cell>
        </row>
        <row r="285">
          <cell r="A285">
            <v>4706</v>
          </cell>
          <cell r="B285">
            <v>656</v>
          </cell>
          <cell r="C285">
            <v>684</v>
          </cell>
          <cell r="D285">
            <v>670</v>
          </cell>
          <cell r="E285">
            <v>2</v>
          </cell>
          <cell r="F285">
            <v>10</v>
          </cell>
          <cell r="G285">
            <v>7.8949878381684657E-2</v>
          </cell>
          <cell r="H285">
            <v>302</v>
          </cell>
          <cell r="I285" t="str">
            <v>25% MDGS Variable</v>
          </cell>
        </row>
        <row r="286">
          <cell r="A286">
            <v>4684</v>
          </cell>
          <cell r="B286">
            <v>660</v>
          </cell>
          <cell r="C286">
            <v>664</v>
          </cell>
          <cell r="D286">
            <v>662</v>
          </cell>
          <cell r="E286">
            <v>2</v>
          </cell>
          <cell r="F286">
            <v>10</v>
          </cell>
          <cell r="G286">
            <v>0.10172422723447649</v>
          </cell>
          <cell r="H286">
            <v>303</v>
          </cell>
          <cell r="I286" t="str">
            <v>Control</v>
          </cell>
        </row>
        <row r="287">
          <cell r="A287">
            <v>4312</v>
          </cell>
          <cell r="B287">
            <v>654</v>
          </cell>
          <cell r="C287">
            <v>650</v>
          </cell>
          <cell r="D287">
            <v>652</v>
          </cell>
          <cell r="E287">
            <v>2</v>
          </cell>
          <cell r="F287">
            <v>10</v>
          </cell>
          <cell r="G287">
            <v>0.20735082244761338</v>
          </cell>
          <cell r="H287">
            <v>304</v>
          </cell>
          <cell r="I287" t="str">
            <v>10% MDGS Variable</v>
          </cell>
        </row>
        <row r="288">
          <cell r="A288">
            <v>4595</v>
          </cell>
          <cell r="B288">
            <v>658</v>
          </cell>
          <cell r="C288">
            <v>650</v>
          </cell>
          <cell r="D288">
            <v>654</v>
          </cell>
          <cell r="E288">
            <v>2</v>
          </cell>
          <cell r="F288">
            <v>10</v>
          </cell>
          <cell r="G288">
            <v>0.23592606683280559</v>
          </cell>
          <cell r="H288">
            <v>305</v>
          </cell>
          <cell r="I288" t="str">
            <v xml:space="preserve">10% MDGS Constant </v>
          </cell>
        </row>
        <row r="289">
          <cell r="A289">
            <v>4590</v>
          </cell>
          <cell r="B289">
            <v>658</v>
          </cell>
          <cell r="C289">
            <v>650</v>
          </cell>
          <cell r="D289">
            <v>654</v>
          </cell>
          <cell r="E289">
            <v>2</v>
          </cell>
          <cell r="F289">
            <v>10</v>
          </cell>
          <cell r="G289">
            <v>0.34943283524800284</v>
          </cell>
          <cell r="H289">
            <v>306</v>
          </cell>
          <cell r="I289" t="str">
            <v>Control</v>
          </cell>
        </row>
        <row r="290">
          <cell r="A290">
            <v>4330</v>
          </cell>
          <cell r="B290">
            <v>660</v>
          </cell>
          <cell r="C290">
            <v>678</v>
          </cell>
          <cell r="D290">
            <v>669</v>
          </cell>
          <cell r="E290">
            <v>2</v>
          </cell>
          <cell r="F290">
            <v>10</v>
          </cell>
          <cell r="G290">
            <v>0.45982552727762238</v>
          </cell>
          <cell r="H290">
            <v>307</v>
          </cell>
          <cell r="I290" t="str">
            <v>25% MDGS Variable</v>
          </cell>
        </row>
        <row r="291">
          <cell r="A291">
            <v>4689</v>
          </cell>
          <cell r="B291">
            <v>654</v>
          </cell>
          <cell r="C291">
            <v>674</v>
          </cell>
          <cell r="D291">
            <v>664</v>
          </cell>
          <cell r="E291">
            <v>2</v>
          </cell>
          <cell r="F291">
            <v>10</v>
          </cell>
          <cell r="G291">
            <v>0.46687036496121881</v>
          </cell>
          <cell r="H291">
            <v>308</v>
          </cell>
          <cell r="I291" t="str">
            <v xml:space="preserve">25% MDGS Constant </v>
          </cell>
        </row>
        <row r="292">
          <cell r="A292">
            <v>4491</v>
          </cell>
          <cell r="B292">
            <v>654</v>
          </cell>
          <cell r="C292">
            <v>652</v>
          </cell>
          <cell r="D292">
            <v>653</v>
          </cell>
          <cell r="E292">
            <v>2</v>
          </cell>
          <cell r="F292">
            <v>10</v>
          </cell>
          <cell r="G292">
            <v>0.60165023392333383</v>
          </cell>
          <cell r="H292">
            <v>309</v>
          </cell>
          <cell r="I292" t="str">
            <v>Control</v>
          </cell>
        </row>
        <row r="293">
          <cell r="A293">
            <v>4763</v>
          </cell>
          <cell r="B293">
            <v>662</v>
          </cell>
          <cell r="C293">
            <v>656</v>
          </cell>
          <cell r="D293">
            <v>659</v>
          </cell>
          <cell r="E293">
            <v>2</v>
          </cell>
          <cell r="F293">
            <v>10</v>
          </cell>
          <cell r="G293">
            <v>0.60910860779009668</v>
          </cell>
          <cell r="H293">
            <v>310</v>
          </cell>
          <cell r="I293" t="str">
            <v>10% MDGS Variable</v>
          </cell>
        </row>
        <row r="294">
          <cell r="A294">
            <v>4771</v>
          </cell>
          <cell r="B294">
            <v>656</v>
          </cell>
          <cell r="C294">
            <v>666</v>
          </cell>
          <cell r="D294">
            <v>661</v>
          </cell>
          <cell r="E294">
            <v>2</v>
          </cell>
          <cell r="F294">
            <v>10</v>
          </cell>
          <cell r="G294">
            <v>0.69045742259181841</v>
          </cell>
          <cell r="H294">
            <v>311</v>
          </cell>
          <cell r="I294" t="str">
            <v xml:space="preserve">10% MDGS Constant </v>
          </cell>
        </row>
        <row r="295">
          <cell r="A295">
            <v>4662</v>
          </cell>
          <cell r="B295">
            <v>660</v>
          </cell>
          <cell r="C295">
            <v>650</v>
          </cell>
          <cell r="D295">
            <v>655</v>
          </cell>
          <cell r="E295">
            <v>2</v>
          </cell>
          <cell r="F295">
            <v>10</v>
          </cell>
          <cell r="G295">
            <v>0.7038063373216511</v>
          </cell>
          <cell r="H295">
            <v>312</v>
          </cell>
          <cell r="I295" t="str">
            <v xml:space="preserve">25% MDGS Constant </v>
          </cell>
        </row>
        <row r="296">
          <cell r="A296">
            <v>4493</v>
          </cell>
          <cell r="B296">
            <v>662</v>
          </cell>
          <cell r="C296">
            <v>660</v>
          </cell>
          <cell r="D296">
            <v>661</v>
          </cell>
          <cell r="E296">
            <v>2</v>
          </cell>
          <cell r="F296">
            <v>10</v>
          </cell>
          <cell r="G296">
            <v>0.71275773399079856</v>
          </cell>
          <cell r="H296">
            <v>313</v>
          </cell>
          <cell r="I296" t="str">
            <v>25% MDGS Variable</v>
          </cell>
        </row>
        <row r="297">
          <cell r="A297">
            <v>4564</v>
          </cell>
          <cell r="B297">
            <v>662</v>
          </cell>
          <cell r="C297">
            <v>664</v>
          </cell>
          <cell r="D297">
            <v>663</v>
          </cell>
          <cell r="E297">
            <v>2</v>
          </cell>
          <cell r="F297">
            <v>10</v>
          </cell>
          <cell r="G297">
            <v>0.73978663624062968</v>
          </cell>
          <cell r="H297">
            <v>314</v>
          </cell>
          <cell r="I297" t="str">
            <v>25% MDGS Variable</v>
          </cell>
        </row>
        <row r="298">
          <cell r="A298">
            <v>4352</v>
          </cell>
          <cell r="B298">
            <v>664</v>
          </cell>
          <cell r="C298">
            <v>646</v>
          </cell>
          <cell r="D298">
            <v>655</v>
          </cell>
          <cell r="E298">
            <v>2</v>
          </cell>
          <cell r="F298">
            <v>10</v>
          </cell>
          <cell r="G298">
            <v>0.85235431990355126</v>
          </cell>
          <cell r="H298">
            <v>315</v>
          </cell>
          <cell r="I298" t="str">
            <v xml:space="preserve">25% MDGS Constant </v>
          </cell>
        </row>
        <row r="299">
          <cell r="A299">
            <v>4426</v>
          </cell>
          <cell r="B299">
            <v>662</v>
          </cell>
          <cell r="C299">
            <v>658</v>
          </cell>
          <cell r="D299">
            <v>660</v>
          </cell>
          <cell r="E299">
            <v>2</v>
          </cell>
          <cell r="F299">
            <v>10</v>
          </cell>
          <cell r="G299">
            <v>0.88728189328675289</v>
          </cell>
          <cell r="H299">
            <v>316</v>
          </cell>
          <cell r="I299" t="str">
            <v xml:space="preserve">10% MDGS Constant </v>
          </cell>
        </row>
        <row r="300">
          <cell r="A300">
            <v>4624</v>
          </cell>
          <cell r="B300">
            <v>658</v>
          </cell>
          <cell r="C300">
            <v>674</v>
          </cell>
          <cell r="D300">
            <v>666</v>
          </cell>
          <cell r="E300">
            <v>2</v>
          </cell>
          <cell r="F300">
            <v>10</v>
          </cell>
          <cell r="G300">
            <v>0.92115183889855301</v>
          </cell>
          <cell r="H300">
            <v>317</v>
          </cell>
          <cell r="I300" t="str">
            <v>Control</v>
          </cell>
        </row>
        <row r="301">
          <cell r="A301">
            <v>4340</v>
          </cell>
          <cell r="B301">
            <v>660</v>
          </cell>
          <cell r="C301">
            <v>670</v>
          </cell>
          <cell r="D301">
            <v>665</v>
          </cell>
          <cell r="E301">
            <v>2</v>
          </cell>
          <cell r="F301">
            <v>10</v>
          </cell>
          <cell r="G301">
            <v>0.9923413107390533</v>
          </cell>
          <cell r="H301">
            <v>318</v>
          </cell>
          <cell r="I301" t="str">
            <v>10% MDGS Variable</v>
          </cell>
        </row>
        <row r="302">
          <cell r="A302">
            <v>4382</v>
          </cell>
          <cell r="B302">
            <v>666</v>
          </cell>
          <cell r="C302">
            <v>658</v>
          </cell>
          <cell r="D302">
            <v>662</v>
          </cell>
          <cell r="E302">
            <v>3</v>
          </cell>
          <cell r="F302">
            <v>1</v>
          </cell>
          <cell r="G302">
            <v>4.9840874335399854E-2</v>
          </cell>
          <cell r="H302">
            <v>405</v>
          </cell>
          <cell r="I302" t="str">
            <v>10% MDGS Variable</v>
          </cell>
        </row>
        <row r="303">
          <cell r="A303">
            <v>4381</v>
          </cell>
          <cell r="B303">
            <v>666</v>
          </cell>
          <cell r="C303">
            <v>678</v>
          </cell>
          <cell r="D303">
            <v>672</v>
          </cell>
          <cell r="E303">
            <v>3</v>
          </cell>
          <cell r="F303">
            <v>1</v>
          </cell>
          <cell r="G303">
            <v>8.4070182515382896E-2</v>
          </cell>
          <cell r="H303">
            <v>406</v>
          </cell>
          <cell r="I303" t="str">
            <v xml:space="preserve">10% MDGS Constant </v>
          </cell>
        </row>
        <row r="304">
          <cell r="A304">
            <v>4489</v>
          </cell>
          <cell r="B304">
            <v>668</v>
          </cell>
          <cell r="C304">
            <v>660</v>
          </cell>
          <cell r="D304">
            <v>664</v>
          </cell>
          <cell r="E304">
            <v>3</v>
          </cell>
          <cell r="F304">
            <v>1</v>
          </cell>
          <cell r="G304">
            <v>0.29800920261008434</v>
          </cell>
          <cell r="H304">
            <v>407</v>
          </cell>
          <cell r="I304" t="str">
            <v>25% MDGS Variable</v>
          </cell>
        </row>
        <row r="305">
          <cell r="A305">
            <v>4507</v>
          </cell>
          <cell r="B305">
            <v>666</v>
          </cell>
          <cell r="C305">
            <v>662</v>
          </cell>
          <cell r="D305">
            <v>664</v>
          </cell>
          <cell r="E305">
            <v>3</v>
          </cell>
          <cell r="F305">
            <v>1</v>
          </cell>
          <cell r="G305">
            <v>0.37539029469680707</v>
          </cell>
          <cell r="H305">
            <v>408</v>
          </cell>
          <cell r="I305" t="str">
            <v>Control</v>
          </cell>
        </row>
        <row r="306">
          <cell r="A306">
            <v>4751</v>
          </cell>
          <cell r="B306">
            <v>664</v>
          </cell>
          <cell r="C306">
            <v>644</v>
          </cell>
          <cell r="D306">
            <v>654</v>
          </cell>
          <cell r="E306">
            <v>3</v>
          </cell>
          <cell r="F306">
            <v>1</v>
          </cell>
          <cell r="G306">
            <v>0.44192274357136296</v>
          </cell>
          <cell r="H306">
            <v>409</v>
          </cell>
          <cell r="I306" t="str">
            <v xml:space="preserve">25% MDGS Constant </v>
          </cell>
        </row>
        <row r="307">
          <cell r="A307">
            <v>4570</v>
          </cell>
          <cell r="B307">
            <v>666</v>
          </cell>
          <cell r="C307">
            <v>686</v>
          </cell>
          <cell r="D307">
            <v>676</v>
          </cell>
          <cell r="E307">
            <v>3</v>
          </cell>
          <cell r="F307">
            <v>1</v>
          </cell>
          <cell r="G307">
            <v>0.50087936529855448</v>
          </cell>
          <cell r="H307">
            <v>410</v>
          </cell>
          <cell r="I307" t="str">
            <v>25% MDGS Variable</v>
          </cell>
        </row>
        <row r="308">
          <cell r="A308">
            <v>4402</v>
          </cell>
          <cell r="B308">
            <v>668</v>
          </cell>
          <cell r="C308">
            <v>684</v>
          </cell>
          <cell r="D308">
            <v>676</v>
          </cell>
          <cell r="E308">
            <v>3</v>
          </cell>
          <cell r="F308">
            <v>1</v>
          </cell>
          <cell r="G308">
            <v>0.5653015122853341</v>
          </cell>
          <cell r="H308">
            <v>411</v>
          </cell>
          <cell r="I308" t="str">
            <v xml:space="preserve">10% MDGS Constant </v>
          </cell>
        </row>
        <row r="309">
          <cell r="A309">
            <v>4326</v>
          </cell>
          <cell r="B309">
            <v>666</v>
          </cell>
          <cell r="C309">
            <v>670</v>
          </cell>
          <cell r="D309">
            <v>668</v>
          </cell>
          <cell r="E309">
            <v>3</v>
          </cell>
          <cell r="F309">
            <v>1</v>
          </cell>
          <cell r="G309">
            <v>0.76893084122481581</v>
          </cell>
          <cell r="H309">
            <v>412</v>
          </cell>
          <cell r="I309" t="str">
            <v>Control</v>
          </cell>
        </row>
        <row r="310">
          <cell r="A310">
            <v>4462</v>
          </cell>
          <cell r="B310">
            <v>666</v>
          </cell>
          <cell r="C310">
            <v>674</v>
          </cell>
          <cell r="D310">
            <v>670</v>
          </cell>
          <cell r="E310">
            <v>3</v>
          </cell>
          <cell r="F310">
            <v>1</v>
          </cell>
          <cell r="G310">
            <v>0.78409850727949471</v>
          </cell>
          <cell r="H310">
            <v>413</v>
          </cell>
          <cell r="I310" t="str">
            <v xml:space="preserve">25% MDGS Constant </v>
          </cell>
        </row>
        <row r="311">
          <cell r="A311">
            <v>4458</v>
          </cell>
          <cell r="B311">
            <v>666</v>
          </cell>
          <cell r="C311">
            <v>662</v>
          </cell>
          <cell r="D311">
            <v>664</v>
          </cell>
          <cell r="E311">
            <v>3</v>
          </cell>
          <cell r="F311">
            <v>1</v>
          </cell>
          <cell r="G311">
            <v>0.84606333334319073</v>
          </cell>
          <cell r="H311">
            <v>414</v>
          </cell>
          <cell r="I311" t="str">
            <v>10% MDGS Variable</v>
          </cell>
        </row>
        <row r="312">
          <cell r="A312">
            <v>4520</v>
          </cell>
          <cell r="B312">
            <v>672</v>
          </cell>
          <cell r="C312">
            <v>682</v>
          </cell>
          <cell r="D312">
            <v>677</v>
          </cell>
          <cell r="E312">
            <v>3</v>
          </cell>
          <cell r="F312">
            <v>2</v>
          </cell>
          <cell r="G312">
            <v>6.0951094670921968E-2</v>
          </cell>
          <cell r="H312">
            <v>405</v>
          </cell>
          <cell r="I312" t="str">
            <v>10% MDGS Variable</v>
          </cell>
        </row>
        <row r="313">
          <cell r="A313">
            <v>4601</v>
          </cell>
          <cell r="B313">
            <v>668</v>
          </cell>
          <cell r="C313">
            <v>682</v>
          </cell>
          <cell r="D313">
            <v>675</v>
          </cell>
          <cell r="E313">
            <v>3</v>
          </cell>
          <cell r="F313">
            <v>2</v>
          </cell>
          <cell r="G313">
            <v>0.17706136919412674</v>
          </cell>
          <cell r="H313">
            <v>406</v>
          </cell>
          <cell r="I313" t="str">
            <v xml:space="preserve">10% MDGS Constant </v>
          </cell>
        </row>
        <row r="314">
          <cell r="A314">
            <v>4515</v>
          </cell>
          <cell r="B314">
            <v>674</v>
          </cell>
          <cell r="C314">
            <v>664</v>
          </cell>
          <cell r="D314">
            <v>669</v>
          </cell>
          <cell r="E314">
            <v>3</v>
          </cell>
          <cell r="F314">
            <v>2</v>
          </cell>
          <cell r="G314">
            <v>0.23396072203579243</v>
          </cell>
          <cell r="H314">
            <v>407</v>
          </cell>
          <cell r="I314" t="str">
            <v>25% MDGS Variable</v>
          </cell>
        </row>
        <row r="315">
          <cell r="A315">
            <v>4461</v>
          </cell>
          <cell r="B315">
            <v>670</v>
          </cell>
          <cell r="C315">
            <v>680</v>
          </cell>
          <cell r="D315">
            <v>675</v>
          </cell>
          <cell r="E315">
            <v>3</v>
          </cell>
          <cell r="F315">
            <v>2</v>
          </cell>
          <cell r="G315">
            <v>0.2455400706200086</v>
          </cell>
          <cell r="H315">
            <v>408</v>
          </cell>
          <cell r="I315" t="str">
            <v>Control</v>
          </cell>
        </row>
        <row r="316">
          <cell r="A316">
            <v>4584</v>
          </cell>
          <cell r="B316">
            <v>668</v>
          </cell>
          <cell r="C316">
            <v>652</v>
          </cell>
          <cell r="D316">
            <v>660</v>
          </cell>
          <cell r="E316">
            <v>3</v>
          </cell>
          <cell r="F316">
            <v>2</v>
          </cell>
          <cell r="G316">
            <v>0.28496471638050114</v>
          </cell>
          <cell r="H316">
            <v>409</v>
          </cell>
          <cell r="I316" t="str">
            <v xml:space="preserve">25% MDGS Constant </v>
          </cell>
        </row>
        <row r="317">
          <cell r="A317">
            <v>4373</v>
          </cell>
          <cell r="B317">
            <v>670</v>
          </cell>
          <cell r="C317">
            <v>680</v>
          </cell>
          <cell r="D317">
            <v>675</v>
          </cell>
          <cell r="E317">
            <v>3</v>
          </cell>
          <cell r="F317">
            <v>2</v>
          </cell>
          <cell r="G317">
            <v>0.41366172714829907</v>
          </cell>
          <cell r="H317">
            <v>410</v>
          </cell>
          <cell r="I317" t="str">
            <v>25% MDGS Variable</v>
          </cell>
        </row>
        <row r="318">
          <cell r="A318">
            <v>4514</v>
          </cell>
          <cell r="B318">
            <v>670</v>
          </cell>
          <cell r="C318">
            <v>668</v>
          </cell>
          <cell r="D318">
            <v>669</v>
          </cell>
          <cell r="E318">
            <v>3</v>
          </cell>
          <cell r="F318">
            <v>2</v>
          </cell>
          <cell r="G318">
            <v>0.43798575815350549</v>
          </cell>
          <cell r="H318">
            <v>411</v>
          </cell>
          <cell r="I318" t="str">
            <v xml:space="preserve">10% MDGS Constant </v>
          </cell>
        </row>
        <row r="319">
          <cell r="A319">
            <v>4398</v>
          </cell>
          <cell r="B319">
            <v>670</v>
          </cell>
          <cell r="C319">
            <v>658</v>
          </cell>
          <cell r="D319">
            <v>664</v>
          </cell>
          <cell r="E319">
            <v>3</v>
          </cell>
          <cell r="F319">
            <v>2</v>
          </cell>
          <cell r="G319">
            <v>0.49781968219316741</v>
          </cell>
          <cell r="H319">
            <v>412</v>
          </cell>
          <cell r="I319" t="str">
            <v>Control</v>
          </cell>
        </row>
        <row r="320">
          <cell r="A320">
            <v>4568</v>
          </cell>
          <cell r="B320">
            <v>670</v>
          </cell>
          <cell r="C320">
            <v>686</v>
          </cell>
          <cell r="D320">
            <v>678</v>
          </cell>
          <cell r="E320">
            <v>3</v>
          </cell>
          <cell r="F320">
            <v>2</v>
          </cell>
          <cell r="G320">
            <v>0.61174315994503337</v>
          </cell>
          <cell r="H320">
            <v>413</v>
          </cell>
          <cell r="I320" t="str">
            <v xml:space="preserve">25% MDGS Constant </v>
          </cell>
        </row>
        <row r="321">
          <cell r="A321">
            <v>4731</v>
          </cell>
          <cell r="B321">
            <v>668</v>
          </cell>
          <cell r="C321">
            <v>670</v>
          </cell>
          <cell r="D321">
            <v>669</v>
          </cell>
          <cell r="E321">
            <v>3</v>
          </cell>
          <cell r="F321">
            <v>2</v>
          </cell>
          <cell r="G321">
            <v>0.86946287991255289</v>
          </cell>
          <cell r="H321">
            <v>414</v>
          </cell>
          <cell r="I321" t="str">
            <v>10% MDGS Variable</v>
          </cell>
        </row>
        <row r="322">
          <cell r="A322">
            <v>4401</v>
          </cell>
          <cell r="B322">
            <v>676</v>
          </cell>
          <cell r="C322">
            <v>676</v>
          </cell>
          <cell r="D322">
            <v>676</v>
          </cell>
          <cell r="E322">
            <v>3</v>
          </cell>
          <cell r="F322">
            <v>3</v>
          </cell>
          <cell r="G322">
            <v>9.7513781595063742E-2</v>
          </cell>
          <cell r="H322">
            <v>405</v>
          </cell>
          <cell r="I322" t="str">
            <v>10% MDGS Variable</v>
          </cell>
        </row>
        <row r="323">
          <cell r="A323">
            <v>4534</v>
          </cell>
          <cell r="B323">
            <v>678</v>
          </cell>
          <cell r="C323">
            <v>692</v>
          </cell>
          <cell r="D323">
            <v>685</v>
          </cell>
          <cell r="E323">
            <v>3</v>
          </cell>
          <cell r="F323">
            <v>3</v>
          </cell>
          <cell r="G323">
            <v>0.19728055291129509</v>
          </cell>
          <cell r="H323">
            <v>406</v>
          </cell>
          <cell r="I323" t="str">
            <v xml:space="preserve">10% MDGS Constant </v>
          </cell>
        </row>
        <row r="324">
          <cell r="A324">
            <v>4375</v>
          </cell>
          <cell r="B324">
            <v>676</v>
          </cell>
          <cell r="C324">
            <v>680</v>
          </cell>
          <cell r="D324">
            <v>678</v>
          </cell>
          <cell r="E324">
            <v>3</v>
          </cell>
          <cell r="F324">
            <v>3</v>
          </cell>
          <cell r="G324">
            <v>0.23347429064528824</v>
          </cell>
          <cell r="H324">
            <v>407</v>
          </cell>
          <cell r="I324" t="str">
            <v>25% MDGS Variable</v>
          </cell>
        </row>
        <row r="325">
          <cell r="A325">
            <v>4655</v>
          </cell>
          <cell r="B325">
            <v>674</v>
          </cell>
          <cell r="C325">
            <v>696</v>
          </cell>
          <cell r="D325">
            <v>685</v>
          </cell>
          <cell r="E325">
            <v>3</v>
          </cell>
          <cell r="F325">
            <v>3</v>
          </cell>
          <cell r="G325">
            <v>0.39906912257186766</v>
          </cell>
          <cell r="H325">
            <v>408</v>
          </cell>
          <cell r="I325" t="str">
            <v>Control</v>
          </cell>
        </row>
        <row r="326">
          <cell r="A326">
            <v>4759</v>
          </cell>
          <cell r="B326">
            <v>674</v>
          </cell>
          <cell r="C326">
            <v>676</v>
          </cell>
          <cell r="D326">
            <v>675</v>
          </cell>
          <cell r="E326">
            <v>3</v>
          </cell>
          <cell r="F326">
            <v>3</v>
          </cell>
          <cell r="G326">
            <v>0.49484780635817927</v>
          </cell>
          <cell r="H326">
            <v>409</v>
          </cell>
          <cell r="I326" t="str">
            <v xml:space="preserve">25% MDGS Constant </v>
          </cell>
        </row>
        <row r="327">
          <cell r="A327">
            <v>4626</v>
          </cell>
          <cell r="B327">
            <v>676</v>
          </cell>
          <cell r="C327">
            <v>688</v>
          </cell>
          <cell r="D327">
            <v>682</v>
          </cell>
          <cell r="E327">
            <v>3</v>
          </cell>
          <cell r="F327">
            <v>3</v>
          </cell>
          <cell r="G327">
            <v>0.50597112363889285</v>
          </cell>
          <cell r="H327">
            <v>410</v>
          </cell>
          <cell r="I327" t="str">
            <v>25% MDGS Variable</v>
          </cell>
        </row>
        <row r="328">
          <cell r="A328">
            <v>4671</v>
          </cell>
          <cell r="B328">
            <v>674</v>
          </cell>
          <cell r="C328">
            <v>676</v>
          </cell>
          <cell r="D328">
            <v>675</v>
          </cell>
          <cell r="E328">
            <v>3</v>
          </cell>
          <cell r="F328">
            <v>3</v>
          </cell>
          <cell r="G328">
            <v>0.64790053062280639</v>
          </cell>
          <cell r="H328">
            <v>411</v>
          </cell>
          <cell r="I328" t="str">
            <v xml:space="preserve">10% MDGS Constant </v>
          </cell>
        </row>
        <row r="329">
          <cell r="A329">
            <v>4555</v>
          </cell>
          <cell r="B329">
            <v>676</v>
          </cell>
          <cell r="C329">
            <v>690</v>
          </cell>
          <cell r="D329">
            <v>683</v>
          </cell>
          <cell r="E329">
            <v>3</v>
          </cell>
          <cell r="F329">
            <v>3</v>
          </cell>
          <cell r="G329">
            <v>0.76393242941207373</v>
          </cell>
          <cell r="H329">
            <v>412</v>
          </cell>
          <cell r="I329" t="str">
            <v>Control</v>
          </cell>
        </row>
        <row r="330">
          <cell r="A330">
            <v>4620</v>
          </cell>
          <cell r="B330">
            <v>674</v>
          </cell>
          <cell r="C330">
            <v>674</v>
          </cell>
          <cell r="D330">
            <v>674</v>
          </cell>
          <cell r="E330">
            <v>3</v>
          </cell>
          <cell r="F330">
            <v>3</v>
          </cell>
          <cell r="G330">
            <v>0.93474234145219282</v>
          </cell>
          <cell r="H330">
            <v>413</v>
          </cell>
          <cell r="I330" t="str">
            <v xml:space="preserve">25% MDGS Constant </v>
          </cell>
        </row>
        <row r="331">
          <cell r="A331">
            <v>4536</v>
          </cell>
          <cell r="B331">
            <v>674</v>
          </cell>
          <cell r="C331">
            <v>670</v>
          </cell>
          <cell r="D331">
            <v>672</v>
          </cell>
          <cell r="E331">
            <v>3</v>
          </cell>
          <cell r="F331">
            <v>3</v>
          </cell>
          <cell r="G331">
            <v>0.94793206993228163</v>
          </cell>
          <cell r="H331">
            <v>414</v>
          </cell>
          <cell r="I331" t="str">
            <v>10% MDGS Variable</v>
          </cell>
        </row>
        <row r="332">
          <cell r="A332">
            <v>4686</v>
          </cell>
          <cell r="B332">
            <v>680</v>
          </cell>
          <cell r="C332">
            <v>684</v>
          </cell>
          <cell r="D332">
            <v>682</v>
          </cell>
          <cell r="E332">
            <v>3</v>
          </cell>
          <cell r="F332">
            <v>4</v>
          </cell>
          <cell r="G332">
            <v>4.5897721477400566E-2</v>
          </cell>
          <cell r="H332">
            <v>405</v>
          </cell>
          <cell r="I332" t="str">
            <v>10% MDGS Variable</v>
          </cell>
        </row>
        <row r="333">
          <cell r="A333">
            <v>4729</v>
          </cell>
          <cell r="B333">
            <v>680</v>
          </cell>
          <cell r="C333">
            <v>668</v>
          </cell>
          <cell r="D333">
            <v>674</v>
          </cell>
          <cell r="E333">
            <v>3</v>
          </cell>
          <cell r="F333">
            <v>4</v>
          </cell>
          <cell r="G333">
            <v>0.18515976166759684</v>
          </cell>
          <cell r="H333">
            <v>406</v>
          </cell>
          <cell r="I333" t="str">
            <v xml:space="preserve">10% MDGS Constant </v>
          </cell>
        </row>
        <row r="334">
          <cell r="A334">
            <v>4324</v>
          </cell>
          <cell r="B334">
            <v>682</v>
          </cell>
          <cell r="C334">
            <v>688</v>
          </cell>
          <cell r="D334">
            <v>685</v>
          </cell>
          <cell r="E334">
            <v>3</v>
          </cell>
          <cell r="F334">
            <v>4</v>
          </cell>
          <cell r="G334">
            <v>0.23453333722826086</v>
          </cell>
          <cell r="H334">
            <v>407</v>
          </cell>
          <cell r="I334" t="str">
            <v>25% MDGS Variable</v>
          </cell>
        </row>
        <row r="335">
          <cell r="A335">
            <v>4746</v>
          </cell>
          <cell r="B335">
            <v>680</v>
          </cell>
          <cell r="C335">
            <v>686</v>
          </cell>
          <cell r="D335">
            <v>683</v>
          </cell>
          <cell r="E335">
            <v>3</v>
          </cell>
          <cell r="F335">
            <v>4</v>
          </cell>
          <cell r="G335">
            <v>0.24084767193998613</v>
          </cell>
          <cell r="H335">
            <v>408</v>
          </cell>
          <cell r="I335" t="str">
            <v>Control</v>
          </cell>
        </row>
        <row r="336">
          <cell r="A336">
            <v>4588</v>
          </cell>
          <cell r="B336">
            <v>682</v>
          </cell>
          <cell r="C336">
            <v>688</v>
          </cell>
          <cell r="D336">
            <v>685</v>
          </cell>
          <cell r="E336">
            <v>3</v>
          </cell>
          <cell r="F336">
            <v>4</v>
          </cell>
          <cell r="G336">
            <v>0.2429753586712321</v>
          </cell>
          <cell r="H336">
            <v>409</v>
          </cell>
          <cell r="I336" t="str">
            <v xml:space="preserve">25% MDGS Constant </v>
          </cell>
        </row>
        <row r="337">
          <cell r="A337">
            <v>4728</v>
          </cell>
          <cell r="B337">
            <v>680</v>
          </cell>
          <cell r="C337">
            <v>686</v>
          </cell>
          <cell r="D337">
            <v>683</v>
          </cell>
          <cell r="E337">
            <v>3</v>
          </cell>
          <cell r="F337">
            <v>4</v>
          </cell>
          <cell r="G337">
            <v>0.3954406161934354</v>
          </cell>
          <cell r="H337">
            <v>410</v>
          </cell>
          <cell r="I337" t="str">
            <v>25% MDGS Variable</v>
          </cell>
        </row>
        <row r="338">
          <cell r="A338">
            <v>4495</v>
          </cell>
          <cell r="B338">
            <v>682</v>
          </cell>
          <cell r="C338">
            <v>678</v>
          </cell>
          <cell r="D338">
            <v>680</v>
          </cell>
          <cell r="E338">
            <v>3</v>
          </cell>
          <cell r="F338">
            <v>4</v>
          </cell>
          <cell r="G338">
            <v>0.4103382568455638</v>
          </cell>
          <cell r="H338">
            <v>411</v>
          </cell>
          <cell r="I338" t="str">
            <v xml:space="preserve">10% MDGS Constant </v>
          </cell>
        </row>
        <row r="339">
          <cell r="A339">
            <v>4725</v>
          </cell>
          <cell r="B339">
            <v>680</v>
          </cell>
          <cell r="C339">
            <v>676</v>
          </cell>
          <cell r="D339">
            <v>678</v>
          </cell>
          <cell r="E339">
            <v>3</v>
          </cell>
          <cell r="F339">
            <v>4</v>
          </cell>
          <cell r="G339">
            <v>0.45929057304132159</v>
          </cell>
          <cell r="H339">
            <v>412</v>
          </cell>
          <cell r="I339" t="str">
            <v>Control</v>
          </cell>
        </row>
        <row r="340">
          <cell r="A340">
            <v>4529</v>
          </cell>
          <cell r="B340">
            <v>682</v>
          </cell>
          <cell r="C340">
            <v>702</v>
          </cell>
          <cell r="D340">
            <v>692</v>
          </cell>
          <cell r="E340">
            <v>3</v>
          </cell>
          <cell r="F340">
            <v>4</v>
          </cell>
          <cell r="G340">
            <v>0.64074254383937435</v>
          </cell>
          <cell r="H340">
            <v>413</v>
          </cell>
          <cell r="I340" t="str">
            <v xml:space="preserve">25% MDGS Constant </v>
          </cell>
        </row>
        <row r="341">
          <cell r="A341">
            <v>4582</v>
          </cell>
          <cell r="B341">
            <v>680</v>
          </cell>
          <cell r="C341">
            <v>670</v>
          </cell>
          <cell r="D341">
            <v>675</v>
          </cell>
          <cell r="E341">
            <v>3</v>
          </cell>
          <cell r="F341">
            <v>4</v>
          </cell>
          <cell r="G341">
            <v>0.68624058565467405</v>
          </cell>
          <cell r="H341">
            <v>414</v>
          </cell>
          <cell r="I341" t="str">
            <v>10% MDGS Variable</v>
          </cell>
        </row>
        <row r="342">
          <cell r="A342">
            <v>4720</v>
          </cell>
          <cell r="B342">
            <v>686</v>
          </cell>
          <cell r="C342">
            <v>674</v>
          </cell>
          <cell r="D342">
            <v>680</v>
          </cell>
          <cell r="E342">
            <v>3</v>
          </cell>
          <cell r="F342">
            <v>5</v>
          </cell>
          <cell r="G342">
            <v>0.15433053443437594</v>
          </cell>
          <cell r="H342">
            <v>405</v>
          </cell>
          <cell r="I342" t="str">
            <v>10% MDGS Variable</v>
          </cell>
        </row>
        <row r="343">
          <cell r="A343">
            <v>4629</v>
          </cell>
          <cell r="B343">
            <v>684</v>
          </cell>
          <cell r="C343">
            <v>682</v>
          </cell>
          <cell r="D343">
            <v>683</v>
          </cell>
          <cell r="E343">
            <v>3</v>
          </cell>
          <cell r="F343">
            <v>5</v>
          </cell>
          <cell r="G343">
            <v>0.19054567055036353</v>
          </cell>
          <cell r="H343">
            <v>406</v>
          </cell>
          <cell r="I343" t="str">
            <v xml:space="preserve">10% MDGS Constant </v>
          </cell>
        </row>
        <row r="344">
          <cell r="A344">
            <v>4609</v>
          </cell>
          <cell r="B344">
            <v>684</v>
          </cell>
          <cell r="C344">
            <v>680</v>
          </cell>
          <cell r="D344">
            <v>682</v>
          </cell>
          <cell r="E344">
            <v>3</v>
          </cell>
          <cell r="F344">
            <v>5</v>
          </cell>
          <cell r="G344">
            <v>0.19758635792931711</v>
          </cell>
          <cell r="H344">
            <v>407</v>
          </cell>
          <cell r="I344" t="str">
            <v>25% MDGS Variable</v>
          </cell>
        </row>
        <row r="345">
          <cell r="A345">
            <v>4699</v>
          </cell>
          <cell r="B345">
            <v>684</v>
          </cell>
          <cell r="C345">
            <v>664</v>
          </cell>
          <cell r="D345">
            <v>674</v>
          </cell>
          <cell r="E345">
            <v>3</v>
          </cell>
          <cell r="F345">
            <v>5</v>
          </cell>
          <cell r="G345">
            <v>0.58865687771432673</v>
          </cell>
          <cell r="H345">
            <v>408</v>
          </cell>
          <cell r="I345" t="str">
            <v>Control</v>
          </cell>
        </row>
        <row r="346">
          <cell r="A346">
            <v>4566</v>
          </cell>
          <cell r="B346">
            <v>688</v>
          </cell>
          <cell r="C346">
            <v>678</v>
          </cell>
          <cell r="D346">
            <v>683</v>
          </cell>
          <cell r="E346">
            <v>3</v>
          </cell>
          <cell r="F346">
            <v>5</v>
          </cell>
          <cell r="G346">
            <v>0.59280800432905667</v>
          </cell>
          <cell r="H346">
            <v>409</v>
          </cell>
          <cell r="I346" t="str">
            <v xml:space="preserve">25% MDGS Constant </v>
          </cell>
        </row>
        <row r="347">
          <cell r="A347">
            <v>4542</v>
          </cell>
          <cell r="B347">
            <v>690</v>
          </cell>
          <cell r="C347">
            <v>690</v>
          </cell>
          <cell r="D347">
            <v>690</v>
          </cell>
          <cell r="E347">
            <v>3</v>
          </cell>
          <cell r="F347">
            <v>5</v>
          </cell>
          <cell r="G347">
            <v>0.62812252872977892</v>
          </cell>
          <cell r="H347">
            <v>410</v>
          </cell>
          <cell r="I347" t="str">
            <v>25% MDGS Variable</v>
          </cell>
        </row>
        <row r="348">
          <cell r="A348">
            <v>4346</v>
          </cell>
          <cell r="B348">
            <v>684</v>
          </cell>
          <cell r="C348">
            <v>700</v>
          </cell>
          <cell r="D348">
            <v>692</v>
          </cell>
          <cell r="E348">
            <v>3</v>
          </cell>
          <cell r="F348">
            <v>5</v>
          </cell>
          <cell r="G348">
            <v>0.77823682948625994</v>
          </cell>
          <cell r="H348">
            <v>411</v>
          </cell>
          <cell r="I348" t="str">
            <v xml:space="preserve">10% MDGS Constant </v>
          </cell>
        </row>
        <row r="349">
          <cell r="A349">
            <v>4521</v>
          </cell>
          <cell r="B349">
            <v>686</v>
          </cell>
          <cell r="C349">
            <v>694</v>
          </cell>
          <cell r="D349">
            <v>690</v>
          </cell>
          <cell r="E349">
            <v>3</v>
          </cell>
          <cell r="F349">
            <v>5</v>
          </cell>
          <cell r="G349">
            <v>0.8999567041602915</v>
          </cell>
          <cell r="H349">
            <v>412</v>
          </cell>
          <cell r="I349" t="str">
            <v>Control</v>
          </cell>
        </row>
        <row r="350">
          <cell r="A350">
            <v>4571</v>
          </cell>
          <cell r="B350">
            <v>688</v>
          </cell>
          <cell r="C350">
            <v>700</v>
          </cell>
          <cell r="D350">
            <v>694</v>
          </cell>
          <cell r="E350">
            <v>3</v>
          </cell>
          <cell r="F350">
            <v>5</v>
          </cell>
          <cell r="G350">
            <v>0.92158247451775888</v>
          </cell>
          <cell r="H350">
            <v>413</v>
          </cell>
          <cell r="I350" t="str">
            <v xml:space="preserve">25% MDGS Constant </v>
          </cell>
        </row>
        <row r="351">
          <cell r="A351">
            <v>4338</v>
          </cell>
          <cell r="B351">
            <v>690</v>
          </cell>
          <cell r="C351">
            <v>704</v>
          </cell>
          <cell r="D351">
            <v>697</v>
          </cell>
          <cell r="E351">
            <v>3</v>
          </cell>
          <cell r="F351">
            <v>5</v>
          </cell>
          <cell r="G351">
            <v>0.95862629775594566</v>
          </cell>
          <cell r="H351">
            <v>414</v>
          </cell>
          <cell r="I351" t="str">
            <v>10% MDGS Variable</v>
          </cell>
        </row>
        <row r="352">
          <cell r="A352">
            <v>4552</v>
          </cell>
          <cell r="B352">
            <v>692</v>
          </cell>
          <cell r="C352">
            <v>684</v>
          </cell>
          <cell r="D352">
            <v>688</v>
          </cell>
          <cell r="E352">
            <v>3</v>
          </cell>
          <cell r="F352">
            <v>6</v>
          </cell>
          <cell r="G352">
            <v>0.179305248056148</v>
          </cell>
          <cell r="H352">
            <v>405</v>
          </cell>
          <cell r="I352" t="str">
            <v>10% MDGS Variable</v>
          </cell>
        </row>
        <row r="353">
          <cell r="A353">
            <v>4616</v>
          </cell>
          <cell r="B353">
            <v>694</v>
          </cell>
          <cell r="C353">
            <v>716</v>
          </cell>
          <cell r="D353">
            <v>705</v>
          </cell>
          <cell r="E353">
            <v>3</v>
          </cell>
          <cell r="F353">
            <v>6</v>
          </cell>
          <cell r="G353">
            <v>0.22694496218373772</v>
          </cell>
          <cell r="H353">
            <v>406</v>
          </cell>
          <cell r="I353" t="str">
            <v xml:space="preserve">10% MDGS Constant </v>
          </cell>
        </row>
        <row r="354">
          <cell r="A354">
            <v>4390</v>
          </cell>
          <cell r="B354">
            <v>696</v>
          </cell>
          <cell r="C354">
            <v>708</v>
          </cell>
          <cell r="D354">
            <v>702</v>
          </cell>
          <cell r="E354">
            <v>3</v>
          </cell>
          <cell r="F354">
            <v>6</v>
          </cell>
          <cell r="G354">
            <v>0.23001091854882716</v>
          </cell>
          <cell r="H354">
            <v>407</v>
          </cell>
          <cell r="I354" t="str">
            <v>25% MDGS Variable</v>
          </cell>
        </row>
        <row r="355">
          <cell r="A355">
            <v>4580</v>
          </cell>
          <cell r="B355">
            <v>692</v>
          </cell>
          <cell r="C355">
            <v>714</v>
          </cell>
          <cell r="D355">
            <v>703</v>
          </cell>
          <cell r="E355">
            <v>3</v>
          </cell>
          <cell r="F355">
            <v>6</v>
          </cell>
          <cell r="G355">
            <v>0.443931776773</v>
          </cell>
          <cell r="H355">
            <v>408</v>
          </cell>
          <cell r="I355" t="str">
            <v>Control</v>
          </cell>
        </row>
        <row r="356">
          <cell r="A356">
            <v>4569</v>
          </cell>
          <cell r="B356">
            <v>690</v>
          </cell>
          <cell r="C356">
            <v>694</v>
          </cell>
          <cell r="D356">
            <v>692</v>
          </cell>
          <cell r="E356">
            <v>3</v>
          </cell>
          <cell r="F356">
            <v>6</v>
          </cell>
          <cell r="G356">
            <v>0.63302015953448509</v>
          </cell>
          <cell r="H356">
            <v>409</v>
          </cell>
          <cell r="I356" t="str">
            <v xml:space="preserve">25% MDGS Constant </v>
          </cell>
        </row>
        <row r="357">
          <cell r="A357">
            <v>4505</v>
          </cell>
          <cell r="B357">
            <v>698</v>
          </cell>
          <cell r="C357">
            <v>702</v>
          </cell>
          <cell r="D357">
            <v>700</v>
          </cell>
          <cell r="E357">
            <v>3</v>
          </cell>
          <cell r="F357">
            <v>6</v>
          </cell>
          <cell r="G357">
            <v>0.64456895709450202</v>
          </cell>
          <cell r="H357">
            <v>410</v>
          </cell>
          <cell r="I357" t="str">
            <v>25% MDGS Variable</v>
          </cell>
        </row>
        <row r="358">
          <cell r="A358">
            <v>4562</v>
          </cell>
          <cell r="B358">
            <v>696</v>
          </cell>
          <cell r="C358">
            <v>684</v>
          </cell>
          <cell r="D358">
            <v>690</v>
          </cell>
          <cell r="E358">
            <v>3</v>
          </cell>
          <cell r="F358">
            <v>6</v>
          </cell>
          <cell r="G358">
            <v>0.67922094624291107</v>
          </cell>
          <cell r="H358">
            <v>411</v>
          </cell>
          <cell r="I358" t="str">
            <v xml:space="preserve">10% MDGS Constant </v>
          </cell>
        </row>
        <row r="359">
          <cell r="A359">
            <v>4379</v>
          </cell>
          <cell r="B359">
            <v>696</v>
          </cell>
          <cell r="C359">
            <v>716</v>
          </cell>
          <cell r="D359">
            <v>706</v>
          </cell>
          <cell r="E359">
            <v>3</v>
          </cell>
          <cell r="F359">
            <v>6</v>
          </cell>
          <cell r="G359">
            <v>0.84116760370358301</v>
          </cell>
          <cell r="H359">
            <v>412</v>
          </cell>
          <cell r="I359" t="str">
            <v>Control</v>
          </cell>
        </row>
        <row r="360">
          <cell r="A360">
            <v>4482</v>
          </cell>
          <cell r="B360">
            <v>692</v>
          </cell>
          <cell r="C360">
            <v>676</v>
          </cell>
          <cell r="D360">
            <v>684</v>
          </cell>
          <cell r="E360">
            <v>3</v>
          </cell>
          <cell r="F360">
            <v>6</v>
          </cell>
          <cell r="G360">
            <v>0.84829097226962891</v>
          </cell>
          <cell r="H360">
            <v>413</v>
          </cell>
          <cell r="I360" t="str">
            <v xml:space="preserve">25% MDGS Constant </v>
          </cell>
        </row>
        <row r="361">
          <cell r="A361">
            <v>4499</v>
          </cell>
          <cell r="B361">
            <v>694</v>
          </cell>
          <cell r="C361">
            <v>680</v>
          </cell>
          <cell r="D361">
            <v>687</v>
          </cell>
          <cell r="E361">
            <v>3</v>
          </cell>
          <cell r="F361">
            <v>6</v>
          </cell>
          <cell r="G361">
            <v>0.98612066253863295</v>
          </cell>
          <cell r="H361">
            <v>414</v>
          </cell>
          <cell r="I361" t="str">
            <v>10% MDGS Variable</v>
          </cell>
        </row>
        <row r="362">
          <cell r="A362">
            <v>4567</v>
          </cell>
          <cell r="B362">
            <v>702</v>
          </cell>
          <cell r="C362">
            <v>706</v>
          </cell>
          <cell r="D362">
            <v>704</v>
          </cell>
          <cell r="E362">
            <v>3</v>
          </cell>
          <cell r="F362">
            <v>7</v>
          </cell>
          <cell r="G362">
            <v>0.13145225217708334</v>
          </cell>
          <cell r="H362">
            <v>405</v>
          </cell>
          <cell r="I362" t="str">
            <v>10% MDGS Variable</v>
          </cell>
        </row>
        <row r="363">
          <cell r="A363">
            <v>4335</v>
          </cell>
          <cell r="B363">
            <v>704</v>
          </cell>
          <cell r="C363">
            <v>708</v>
          </cell>
          <cell r="D363">
            <v>706</v>
          </cell>
          <cell r="E363">
            <v>3</v>
          </cell>
          <cell r="F363">
            <v>7</v>
          </cell>
          <cell r="G363">
            <v>0.18206490608497539</v>
          </cell>
          <cell r="H363">
            <v>406</v>
          </cell>
          <cell r="I363" t="str">
            <v xml:space="preserve">10% MDGS Constant </v>
          </cell>
        </row>
        <row r="364">
          <cell r="A364">
            <v>4677</v>
          </cell>
          <cell r="B364">
            <v>706</v>
          </cell>
          <cell r="C364">
            <v>712</v>
          </cell>
          <cell r="D364">
            <v>709</v>
          </cell>
          <cell r="E364">
            <v>3</v>
          </cell>
          <cell r="F364">
            <v>7</v>
          </cell>
          <cell r="G364">
            <v>0.28419991740203487</v>
          </cell>
          <cell r="H364">
            <v>407</v>
          </cell>
          <cell r="I364" t="str">
            <v>25% MDGS Variable</v>
          </cell>
        </row>
        <row r="365">
          <cell r="A365">
            <v>4680</v>
          </cell>
          <cell r="B365">
            <v>700</v>
          </cell>
          <cell r="C365">
            <v>704</v>
          </cell>
          <cell r="D365">
            <v>702</v>
          </cell>
          <cell r="E365">
            <v>3</v>
          </cell>
          <cell r="F365">
            <v>7</v>
          </cell>
          <cell r="G365">
            <v>0.4603314628755325</v>
          </cell>
          <cell r="H365">
            <v>408</v>
          </cell>
          <cell r="I365" t="str">
            <v>Control</v>
          </cell>
        </row>
        <row r="366">
          <cell r="A366">
            <v>4724</v>
          </cell>
          <cell r="B366">
            <v>700</v>
          </cell>
          <cell r="C366">
            <v>700</v>
          </cell>
          <cell r="D366">
            <v>700</v>
          </cell>
          <cell r="E366">
            <v>3</v>
          </cell>
          <cell r="F366">
            <v>7</v>
          </cell>
          <cell r="G366">
            <v>0.46959755461728925</v>
          </cell>
          <cell r="H366">
            <v>409</v>
          </cell>
          <cell r="I366" t="str">
            <v xml:space="preserve">25% MDGS Constant </v>
          </cell>
        </row>
        <row r="367">
          <cell r="A367">
            <v>4625</v>
          </cell>
          <cell r="B367">
            <v>706</v>
          </cell>
          <cell r="C367">
            <v>720</v>
          </cell>
          <cell r="D367">
            <v>713</v>
          </cell>
          <cell r="E367">
            <v>3</v>
          </cell>
          <cell r="F367">
            <v>7</v>
          </cell>
          <cell r="G367">
            <v>0.54760324681698369</v>
          </cell>
          <cell r="H367">
            <v>410</v>
          </cell>
          <cell r="I367" t="str">
            <v>25% MDGS Variable</v>
          </cell>
        </row>
        <row r="368">
          <cell r="A368">
            <v>4403</v>
          </cell>
          <cell r="B368">
            <v>702</v>
          </cell>
          <cell r="C368">
            <v>716</v>
          </cell>
          <cell r="D368">
            <v>709</v>
          </cell>
          <cell r="E368">
            <v>3</v>
          </cell>
          <cell r="F368">
            <v>7</v>
          </cell>
          <cell r="G368">
            <v>0.57911048444554303</v>
          </cell>
          <cell r="H368">
            <v>411</v>
          </cell>
          <cell r="I368" t="str">
            <v xml:space="preserve">10% MDGS Constant </v>
          </cell>
        </row>
        <row r="369">
          <cell r="A369">
            <v>4397</v>
          </cell>
          <cell r="B369">
            <v>700</v>
          </cell>
          <cell r="C369">
            <v>688</v>
          </cell>
          <cell r="D369">
            <v>694</v>
          </cell>
          <cell r="E369">
            <v>3</v>
          </cell>
          <cell r="F369">
            <v>7</v>
          </cell>
          <cell r="G369">
            <v>0.69958484155865963</v>
          </cell>
          <cell r="H369">
            <v>412</v>
          </cell>
          <cell r="I369" t="str">
            <v>Control</v>
          </cell>
        </row>
        <row r="370">
          <cell r="A370">
            <v>4405</v>
          </cell>
          <cell r="B370">
            <v>700</v>
          </cell>
          <cell r="C370">
            <v>704</v>
          </cell>
          <cell r="D370">
            <v>702</v>
          </cell>
          <cell r="E370">
            <v>3</v>
          </cell>
          <cell r="F370">
            <v>7</v>
          </cell>
          <cell r="G370">
            <v>0.78766570482506448</v>
          </cell>
          <cell r="H370">
            <v>413</v>
          </cell>
          <cell r="I370" t="str">
            <v xml:space="preserve">25% MDGS Constant </v>
          </cell>
        </row>
        <row r="371">
          <cell r="A371">
            <v>4392</v>
          </cell>
          <cell r="B371">
            <v>702</v>
          </cell>
          <cell r="C371">
            <v>696</v>
          </cell>
          <cell r="D371">
            <v>699</v>
          </cell>
          <cell r="E371">
            <v>3</v>
          </cell>
          <cell r="F371">
            <v>7</v>
          </cell>
          <cell r="G371">
            <v>0.8418577787615481</v>
          </cell>
          <cell r="H371">
            <v>414</v>
          </cell>
          <cell r="I371" t="str">
            <v>10% MDGS Variable</v>
          </cell>
        </row>
        <row r="372">
          <cell r="A372">
            <v>4685</v>
          </cell>
          <cell r="B372">
            <v>706</v>
          </cell>
          <cell r="C372">
            <v>718</v>
          </cell>
          <cell r="D372">
            <v>712</v>
          </cell>
          <cell r="E372">
            <v>3</v>
          </cell>
          <cell r="F372">
            <v>8</v>
          </cell>
          <cell r="G372">
            <v>7.1840716189389808E-2</v>
          </cell>
          <cell r="H372">
            <v>405</v>
          </cell>
          <cell r="I372" t="str">
            <v>10% MDGS Variable</v>
          </cell>
        </row>
        <row r="373">
          <cell r="A373">
            <v>4526</v>
          </cell>
          <cell r="B373">
            <v>714</v>
          </cell>
          <cell r="C373">
            <v>730</v>
          </cell>
          <cell r="D373">
            <v>722</v>
          </cell>
          <cell r="E373">
            <v>3</v>
          </cell>
          <cell r="F373">
            <v>8</v>
          </cell>
          <cell r="G373">
            <v>0.1251232853870814</v>
          </cell>
          <cell r="H373">
            <v>406</v>
          </cell>
          <cell r="I373" t="str">
            <v xml:space="preserve">10% MDGS Constant </v>
          </cell>
        </row>
        <row r="374">
          <cell r="A374">
            <v>4745</v>
          </cell>
          <cell r="B374">
            <v>718</v>
          </cell>
          <cell r="C374">
            <v>736</v>
          </cell>
          <cell r="D374">
            <v>727</v>
          </cell>
          <cell r="E374">
            <v>3</v>
          </cell>
          <cell r="F374">
            <v>8</v>
          </cell>
          <cell r="G374">
            <v>0.37471778601852368</v>
          </cell>
          <cell r="H374">
            <v>407</v>
          </cell>
          <cell r="I374" t="str">
            <v>25% MDGS Variable</v>
          </cell>
        </row>
        <row r="375">
          <cell r="A375">
            <v>4538</v>
          </cell>
          <cell r="B375">
            <v>710</v>
          </cell>
          <cell r="C375">
            <v>702</v>
          </cell>
          <cell r="D375">
            <v>706</v>
          </cell>
          <cell r="E375">
            <v>3</v>
          </cell>
          <cell r="F375">
            <v>8</v>
          </cell>
          <cell r="G375">
            <v>0.41428808057254352</v>
          </cell>
          <cell r="H375">
            <v>408</v>
          </cell>
          <cell r="I375" t="str">
            <v>Control</v>
          </cell>
        </row>
        <row r="376">
          <cell r="A376">
            <v>4688</v>
          </cell>
          <cell r="B376">
            <v>708</v>
          </cell>
          <cell r="C376">
            <v>708</v>
          </cell>
          <cell r="D376">
            <v>708</v>
          </cell>
          <cell r="E376">
            <v>3</v>
          </cell>
          <cell r="F376">
            <v>8</v>
          </cell>
          <cell r="G376">
            <v>0.51166062329100004</v>
          </cell>
          <cell r="H376">
            <v>409</v>
          </cell>
          <cell r="I376" t="str">
            <v xml:space="preserve">25% MDGS Constant </v>
          </cell>
        </row>
        <row r="377">
          <cell r="A377">
            <v>4377</v>
          </cell>
          <cell r="B377">
            <v>712</v>
          </cell>
          <cell r="C377">
            <v>714</v>
          </cell>
          <cell r="D377">
            <v>713</v>
          </cell>
          <cell r="E377">
            <v>3</v>
          </cell>
          <cell r="F377">
            <v>8</v>
          </cell>
          <cell r="G377">
            <v>0.53036504405443385</v>
          </cell>
          <cell r="H377">
            <v>410</v>
          </cell>
          <cell r="I377" t="str">
            <v>25% MDGS Variable</v>
          </cell>
        </row>
        <row r="378">
          <cell r="A378">
            <v>4367</v>
          </cell>
          <cell r="B378">
            <v>708</v>
          </cell>
          <cell r="C378">
            <v>710</v>
          </cell>
          <cell r="D378">
            <v>709</v>
          </cell>
          <cell r="E378">
            <v>3</v>
          </cell>
          <cell r="F378">
            <v>8</v>
          </cell>
          <cell r="G378">
            <v>0.54097210938070484</v>
          </cell>
          <cell r="H378">
            <v>411</v>
          </cell>
          <cell r="I378" t="str">
            <v xml:space="preserve">10% MDGS Constant </v>
          </cell>
        </row>
        <row r="379">
          <cell r="A379">
            <v>4753</v>
          </cell>
          <cell r="B379">
            <v>708</v>
          </cell>
          <cell r="C379">
            <v>706</v>
          </cell>
          <cell r="D379">
            <v>707</v>
          </cell>
          <cell r="E379">
            <v>3</v>
          </cell>
          <cell r="F379">
            <v>8</v>
          </cell>
          <cell r="G379">
            <v>0.56687157706399338</v>
          </cell>
          <cell r="H379">
            <v>412</v>
          </cell>
          <cell r="I379" t="str">
            <v>Control</v>
          </cell>
        </row>
        <row r="380">
          <cell r="A380">
            <v>4669</v>
          </cell>
          <cell r="B380">
            <v>720</v>
          </cell>
          <cell r="C380">
            <v>728</v>
          </cell>
          <cell r="D380">
            <v>724</v>
          </cell>
          <cell r="E380">
            <v>3</v>
          </cell>
          <cell r="F380">
            <v>8</v>
          </cell>
          <cell r="G380">
            <v>0.83506102587960751</v>
          </cell>
          <cell r="H380">
            <v>413</v>
          </cell>
          <cell r="I380" t="str">
            <v xml:space="preserve">25% MDGS Constant </v>
          </cell>
        </row>
        <row r="381">
          <cell r="A381">
            <v>4478</v>
          </cell>
          <cell r="B381">
            <v>714</v>
          </cell>
          <cell r="C381">
            <v>700</v>
          </cell>
          <cell r="D381">
            <v>707</v>
          </cell>
          <cell r="E381">
            <v>3</v>
          </cell>
          <cell r="F381">
            <v>8</v>
          </cell>
          <cell r="G381">
            <v>0.95861220936497038</v>
          </cell>
          <cell r="H381">
            <v>414</v>
          </cell>
          <cell r="I381" t="str">
            <v>10% MDGS Variable</v>
          </cell>
        </row>
        <row r="382">
          <cell r="A382">
            <v>4635</v>
          </cell>
          <cell r="B382">
            <v>722</v>
          </cell>
          <cell r="C382">
            <v>730</v>
          </cell>
          <cell r="D382">
            <v>726</v>
          </cell>
          <cell r="E382">
            <v>3</v>
          </cell>
          <cell r="F382">
            <v>9</v>
          </cell>
          <cell r="G382">
            <v>6.7664598245780749E-2</v>
          </cell>
          <cell r="H382">
            <v>405</v>
          </cell>
          <cell r="I382" t="str">
            <v>10% MDGS Variable</v>
          </cell>
        </row>
        <row r="383">
          <cell r="A383">
            <v>4436</v>
          </cell>
          <cell r="B383">
            <v>738</v>
          </cell>
          <cell r="C383">
            <v>746</v>
          </cell>
          <cell r="D383">
            <v>742</v>
          </cell>
          <cell r="E383">
            <v>3</v>
          </cell>
          <cell r="F383">
            <v>9</v>
          </cell>
          <cell r="G383">
            <v>0.10826440543608318</v>
          </cell>
          <cell r="H383">
            <v>406</v>
          </cell>
          <cell r="I383" t="str">
            <v xml:space="preserve">10% MDGS Constant </v>
          </cell>
        </row>
        <row r="384">
          <cell r="A384">
            <v>4474</v>
          </cell>
          <cell r="B384">
            <v>726</v>
          </cell>
          <cell r="C384">
            <v>738</v>
          </cell>
          <cell r="D384">
            <v>732</v>
          </cell>
          <cell r="E384">
            <v>3</v>
          </cell>
          <cell r="F384">
            <v>9</v>
          </cell>
          <cell r="G384">
            <v>0.15508757749248303</v>
          </cell>
          <cell r="H384">
            <v>407</v>
          </cell>
          <cell r="I384" t="str">
            <v>25% MDGS Variable</v>
          </cell>
        </row>
        <row r="385">
          <cell r="A385">
            <v>4730</v>
          </cell>
          <cell r="B385">
            <v>724</v>
          </cell>
          <cell r="C385">
            <v>740</v>
          </cell>
          <cell r="D385">
            <v>732</v>
          </cell>
          <cell r="E385">
            <v>3</v>
          </cell>
          <cell r="F385">
            <v>9</v>
          </cell>
          <cell r="G385">
            <v>0.15777937392071606</v>
          </cell>
          <cell r="H385">
            <v>408</v>
          </cell>
          <cell r="I385" t="str">
            <v>Control</v>
          </cell>
        </row>
        <row r="386">
          <cell r="A386">
            <v>4654</v>
          </cell>
          <cell r="B386">
            <v>732</v>
          </cell>
          <cell r="C386">
            <v>726</v>
          </cell>
          <cell r="D386">
            <v>729</v>
          </cell>
          <cell r="E386">
            <v>3</v>
          </cell>
          <cell r="F386">
            <v>9</v>
          </cell>
          <cell r="G386">
            <v>0.22575154780788953</v>
          </cell>
          <cell r="H386">
            <v>409</v>
          </cell>
          <cell r="I386" t="str">
            <v xml:space="preserve">25% MDGS Constant </v>
          </cell>
        </row>
        <row r="387">
          <cell r="A387">
            <v>4412</v>
          </cell>
          <cell r="B387">
            <v>730</v>
          </cell>
          <cell r="C387">
            <v>724</v>
          </cell>
          <cell r="D387">
            <v>727</v>
          </cell>
          <cell r="E387">
            <v>3</v>
          </cell>
          <cell r="F387">
            <v>9</v>
          </cell>
          <cell r="G387">
            <v>0.46889534351927775</v>
          </cell>
          <cell r="H387">
            <v>410</v>
          </cell>
          <cell r="I387" t="str">
            <v>25% MDGS Variable</v>
          </cell>
        </row>
        <row r="388">
          <cell r="A388">
            <v>4606</v>
          </cell>
          <cell r="B388">
            <v>730</v>
          </cell>
          <cell r="C388">
            <v>740</v>
          </cell>
          <cell r="D388">
            <v>735</v>
          </cell>
          <cell r="E388">
            <v>3</v>
          </cell>
          <cell r="F388">
            <v>9</v>
          </cell>
          <cell r="G388">
            <v>0.47017251519118242</v>
          </cell>
          <cell r="H388">
            <v>411</v>
          </cell>
          <cell r="I388" t="str">
            <v xml:space="preserve">10% MDGS Constant </v>
          </cell>
        </row>
        <row r="389">
          <cell r="A389">
            <v>4723</v>
          </cell>
          <cell r="B389">
            <v>738</v>
          </cell>
          <cell r="C389">
            <v>730</v>
          </cell>
          <cell r="D389">
            <v>734</v>
          </cell>
          <cell r="E389">
            <v>3</v>
          </cell>
          <cell r="F389">
            <v>9</v>
          </cell>
          <cell r="G389">
            <v>0.69686853523329606</v>
          </cell>
          <cell r="H389">
            <v>412</v>
          </cell>
          <cell r="I389" t="str">
            <v>Control</v>
          </cell>
        </row>
        <row r="390">
          <cell r="A390">
            <v>4687</v>
          </cell>
          <cell r="B390">
            <v>740</v>
          </cell>
          <cell r="C390">
            <v>738</v>
          </cell>
          <cell r="D390">
            <v>739</v>
          </cell>
          <cell r="E390">
            <v>3</v>
          </cell>
          <cell r="F390">
            <v>9</v>
          </cell>
          <cell r="G390">
            <v>0.8151969313093369</v>
          </cell>
          <cell r="H390">
            <v>413</v>
          </cell>
          <cell r="I390" t="str">
            <v xml:space="preserve">25% MDGS Constant </v>
          </cell>
        </row>
        <row r="391">
          <cell r="A391">
            <v>4627</v>
          </cell>
          <cell r="B391">
            <v>734</v>
          </cell>
          <cell r="C391">
            <v>728</v>
          </cell>
          <cell r="D391">
            <v>731</v>
          </cell>
          <cell r="E391">
            <v>3</v>
          </cell>
          <cell r="F391">
            <v>9</v>
          </cell>
          <cell r="G391">
            <v>0.90001070983302445</v>
          </cell>
          <cell r="H391">
            <v>414</v>
          </cell>
          <cell r="I391" t="str">
            <v>10% MDGS Variable</v>
          </cell>
        </row>
        <row r="392">
          <cell r="A392">
            <v>4656</v>
          </cell>
          <cell r="B392">
            <v>744</v>
          </cell>
          <cell r="C392">
            <v>754</v>
          </cell>
          <cell r="D392">
            <v>749</v>
          </cell>
          <cell r="E392">
            <v>3</v>
          </cell>
          <cell r="F392">
            <v>10</v>
          </cell>
          <cell r="G392">
            <v>5.9644364168587871E-2</v>
          </cell>
          <cell r="H392">
            <v>405</v>
          </cell>
          <cell r="I392" t="str">
            <v>10% MDGS Variable</v>
          </cell>
        </row>
        <row r="393">
          <cell r="A393">
            <v>4441</v>
          </cell>
          <cell r="B393">
            <v>758</v>
          </cell>
          <cell r="C393">
            <v>768</v>
          </cell>
          <cell r="D393">
            <v>763</v>
          </cell>
          <cell r="E393">
            <v>3</v>
          </cell>
          <cell r="F393">
            <v>10</v>
          </cell>
          <cell r="G393">
            <v>0.11015406139840334</v>
          </cell>
          <cell r="H393">
            <v>406</v>
          </cell>
          <cell r="I393" t="str">
            <v xml:space="preserve">10% MDGS Constant </v>
          </cell>
        </row>
        <row r="394">
          <cell r="A394">
            <v>4539</v>
          </cell>
          <cell r="B394">
            <v>756</v>
          </cell>
          <cell r="C394">
            <v>744</v>
          </cell>
          <cell r="D394">
            <v>750</v>
          </cell>
          <cell r="E394">
            <v>3</v>
          </cell>
          <cell r="F394">
            <v>10</v>
          </cell>
          <cell r="G394">
            <v>0.17161122728811562</v>
          </cell>
          <cell r="H394">
            <v>407</v>
          </cell>
          <cell r="I394" t="str">
            <v>25% MDGS Variable</v>
          </cell>
        </row>
        <row r="395">
          <cell r="A395">
            <v>4451</v>
          </cell>
          <cell r="B395">
            <v>760</v>
          </cell>
          <cell r="C395">
            <v>744</v>
          </cell>
          <cell r="D395">
            <v>752</v>
          </cell>
          <cell r="E395">
            <v>3</v>
          </cell>
          <cell r="F395">
            <v>10</v>
          </cell>
          <cell r="G395">
            <v>0.32818779103592344</v>
          </cell>
          <cell r="H395">
            <v>408</v>
          </cell>
          <cell r="I395" t="str">
            <v>Control</v>
          </cell>
        </row>
        <row r="396">
          <cell r="A396">
            <v>4447</v>
          </cell>
          <cell r="B396">
            <v>744</v>
          </cell>
          <cell r="C396">
            <v>742</v>
          </cell>
          <cell r="D396">
            <v>743</v>
          </cell>
          <cell r="E396">
            <v>3</v>
          </cell>
          <cell r="F396">
            <v>10</v>
          </cell>
          <cell r="G396">
            <v>0.34062185957035007</v>
          </cell>
          <cell r="H396">
            <v>409</v>
          </cell>
          <cell r="I396" t="str">
            <v xml:space="preserve">25% MDGS Constant </v>
          </cell>
        </row>
        <row r="397">
          <cell r="A397">
            <v>4641</v>
          </cell>
          <cell r="B397">
            <v>742</v>
          </cell>
          <cell r="C397">
            <v>736</v>
          </cell>
          <cell r="D397">
            <v>739</v>
          </cell>
          <cell r="E397">
            <v>3</v>
          </cell>
          <cell r="F397">
            <v>10</v>
          </cell>
          <cell r="G397">
            <v>0.40936182229806595</v>
          </cell>
          <cell r="H397">
            <v>410</v>
          </cell>
          <cell r="I397" t="str">
            <v>25% MDGS Variable</v>
          </cell>
        </row>
        <row r="398">
          <cell r="A398">
            <v>4707</v>
          </cell>
          <cell r="B398">
            <v>750</v>
          </cell>
          <cell r="C398">
            <v>720</v>
          </cell>
          <cell r="D398">
            <v>735</v>
          </cell>
          <cell r="E398">
            <v>3</v>
          </cell>
          <cell r="F398">
            <v>10</v>
          </cell>
          <cell r="G398">
            <v>0.45252313837782576</v>
          </cell>
          <cell r="H398">
            <v>411</v>
          </cell>
          <cell r="I398" t="str">
            <v xml:space="preserve">10% MDGS Constant </v>
          </cell>
        </row>
        <row r="399">
          <cell r="A399">
            <v>4748</v>
          </cell>
          <cell r="B399">
            <v>766</v>
          </cell>
          <cell r="C399">
            <v>764</v>
          </cell>
          <cell r="D399">
            <v>765</v>
          </cell>
          <cell r="E399">
            <v>3</v>
          </cell>
          <cell r="F399">
            <v>10</v>
          </cell>
          <cell r="G399">
            <v>0.80612970674018247</v>
          </cell>
          <cell r="H399">
            <v>412</v>
          </cell>
          <cell r="I399" t="str">
            <v>Control</v>
          </cell>
        </row>
        <row r="400">
          <cell r="A400">
            <v>4449</v>
          </cell>
          <cell r="B400">
            <v>746</v>
          </cell>
          <cell r="C400">
            <v>748</v>
          </cell>
          <cell r="D400">
            <v>747</v>
          </cell>
          <cell r="E400">
            <v>3</v>
          </cell>
          <cell r="F400">
            <v>10</v>
          </cell>
          <cell r="G400">
            <v>0.82758283275983813</v>
          </cell>
          <cell r="H400">
            <v>413</v>
          </cell>
          <cell r="I400" t="str">
            <v xml:space="preserve">25% MDGS Constant </v>
          </cell>
        </row>
        <row r="401">
          <cell r="A401">
            <v>4364</v>
          </cell>
          <cell r="B401">
            <v>756</v>
          </cell>
          <cell r="C401">
            <v>746</v>
          </cell>
          <cell r="D401">
            <v>751</v>
          </cell>
          <cell r="E401">
            <v>3</v>
          </cell>
          <cell r="F401">
            <v>10</v>
          </cell>
          <cell r="G401">
            <v>0.96364738776814163</v>
          </cell>
          <cell r="H401">
            <v>414</v>
          </cell>
          <cell r="I401" t="str">
            <v>10% MDGS Variable</v>
          </cell>
        </row>
      </sheetData>
      <sheetData sheetId="3" refreshError="1"/>
      <sheetData sheetId="4" refreshError="1"/>
      <sheetData sheetId="5">
        <row r="10">
          <cell r="C10">
            <v>4745</v>
          </cell>
          <cell r="D10">
            <v>804</v>
          </cell>
          <cell r="E10">
            <v>13.32</v>
          </cell>
          <cell r="F10">
            <v>3.33</v>
          </cell>
          <cell r="G10">
            <v>0.53200000000000003</v>
          </cell>
          <cell r="H10" t="str">
            <v>Small</v>
          </cell>
          <cell r="I10">
            <v>461</v>
          </cell>
          <cell r="J10">
            <v>0</v>
          </cell>
        </row>
        <row r="11">
          <cell r="C11">
            <v>4335</v>
          </cell>
          <cell r="D11">
            <v>859</v>
          </cell>
          <cell r="E11">
            <v>14.08</v>
          </cell>
          <cell r="G11">
            <v>0.54</v>
          </cell>
          <cell r="H11" t="str">
            <v>Moderate</v>
          </cell>
          <cell r="I11">
            <v>615</v>
          </cell>
          <cell r="J11">
            <v>0</v>
          </cell>
        </row>
        <row r="12">
          <cell r="C12">
            <v>4707</v>
          </cell>
          <cell r="D12">
            <v>990</v>
          </cell>
          <cell r="E12">
            <v>13.12</v>
          </cell>
          <cell r="F12">
            <v>3.81</v>
          </cell>
          <cell r="G12">
            <v>0.74399999999999999</v>
          </cell>
          <cell r="H12" t="str">
            <v>Moderate</v>
          </cell>
          <cell r="I12">
            <v>659</v>
          </cell>
          <cell r="J12">
            <v>0</v>
          </cell>
        </row>
        <row r="13">
          <cell r="C13">
            <v>4625</v>
          </cell>
          <cell r="D13">
            <v>940</v>
          </cell>
          <cell r="E13">
            <v>15.8</v>
          </cell>
          <cell r="F13">
            <v>3.26</v>
          </cell>
          <cell r="G13">
            <v>0.57199999999999995</v>
          </cell>
          <cell r="H13" t="str">
            <v>Moderate</v>
          </cell>
          <cell r="I13">
            <v>623</v>
          </cell>
          <cell r="J13">
            <v>0</v>
          </cell>
        </row>
        <row r="14">
          <cell r="C14">
            <v>4507</v>
          </cell>
          <cell r="D14">
            <v>800</v>
          </cell>
          <cell r="E14">
            <v>14.16</v>
          </cell>
          <cell r="F14">
            <v>3.1</v>
          </cell>
          <cell r="G14">
            <v>0.48399999999999999</v>
          </cell>
          <cell r="H14" t="str">
            <v>Small</v>
          </cell>
          <cell r="I14">
            <v>458</v>
          </cell>
          <cell r="J14">
            <v>0</v>
          </cell>
        </row>
        <row r="15">
          <cell r="C15">
            <v>4375</v>
          </cell>
          <cell r="D15">
            <v>933</v>
          </cell>
          <cell r="E15">
            <v>12.17</v>
          </cell>
          <cell r="F15">
            <v>3.9</v>
          </cell>
          <cell r="G15">
            <v>0.76400000000000001</v>
          </cell>
          <cell r="H15" t="str">
            <v xml:space="preserve">Slightly Abundant </v>
          </cell>
          <cell r="I15">
            <v>734</v>
          </cell>
          <cell r="J15">
            <v>0</v>
          </cell>
        </row>
        <row r="16">
          <cell r="C16">
            <v>4729</v>
          </cell>
          <cell r="D16">
            <v>839</v>
          </cell>
          <cell r="E16">
            <v>15.32</v>
          </cell>
          <cell r="F16">
            <v>3.5</v>
          </cell>
          <cell r="G16">
            <v>0.63200000000000001</v>
          </cell>
          <cell r="H16" t="str">
            <v>Modest</v>
          </cell>
          <cell r="I16">
            <v>505</v>
          </cell>
          <cell r="J16" t="str">
            <v>A+</v>
          </cell>
        </row>
        <row r="17">
          <cell r="C17">
            <v>4461</v>
          </cell>
          <cell r="D17">
            <v>898</v>
          </cell>
          <cell r="E17">
            <v>14.04</v>
          </cell>
          <cell r="F17">
            <v>3.23</v>
          </cell>
          <cell r="G17">
            <v>0.72399999999999998</v>
          </cell>
          <cell r="H17" t="str">
            <v>Modest</v>
          </cell>
          <cell r="I17">
            <v>530</v>
          </cell>
          <cell r="J17">
            <v>0</v>
          </cell>
        </row>
        <row r="18">
          <cell r="C18">
            <v>4495</v>
          </cell>
          <cell r="D18">
            <v>754</v>
          </cell>
          <cell r="E18">
            <v>15.34</v>
          </cell>
          <cell r="F18">
            <v>2.61</v>
          </cell>
          <cell r="G18">
            <v>0.30399999999999999</v>
          </cell>
          <cell r="H18" t="str">
            <v>Slight</v>
          </cell>
          <cell r="I18">
            <v>364</v>
          </cell>
          <cell r="J18" t="str">
            <v>A-</v>
          </cell>
        </row>
        <row r="19">
          <cell r="C19">
            <v>4759</v>
          </cell>
          <cell r="D19">
            <v>989</v>
          </cell>
          <cell r="E19">
            <v>15.67</v>
          </cell>
          <cell r="F19">
            <v>4.0599999999999996</v>
          </cell>
          <cell r="G19">
            <v>0.89200000000000002</v>
          </cell>
          <cell r="H19" t="str">
            <v xml:space="preserve">Moderate </v>
          </cell>
          <cell r="I19">
            <v>676</v>
          </cell>
          <cell r="J19">
            <v>0</v>
          </cell>
        </row>
        <row r="20">
          <cell r="C20">
            <v>4398</v>
          </cell>
          <cell r="D20">
            <v>846</v>
          </cell>
          <cell r="E20">
            <v>12.97</v>
          </cell>
          <cell r="F20">
            <v>3.63</v>
          </cell>
          <cell r="G20">
            <v>0.748</v>
          </cell>
          <cell r="H20" t="str">
            <v>Modest</v>
          </cell>
          <cell r="I20">
            <v>502</v>
          </cell>
          <cell r="J20" t="str">
            <v>A-</v>
          </cell>
        </row>
        <row r="21">
          <cell r="C21">
            <v>4382</v>
          </cell>
          <cell r="D21">
            <v>848</v>
          </cell>
          <cell r="E21">
            <v>13.65</v>
          </cell>
          <cell r="F21">
            <v>3.73</v>
          </cell>
          <cell r="G21">
            <v>0.86399999999999999</v>
          </cell>
          <cell r="H21" t="str">
            <v xml:space="preserve">Moderately Abundant </v>
          </cell>
          <cell r="I21">
            <v>822</v>
          </cell>
          <cell r="J21" t="str">
            <v>A-</v>
          </cell>
        </row>
        <row r="22">
          <cell r="C22">
            <v>4505</v>
          </cell>
          <cell r="D22">
            <v>958</v>
          </cell>
          <cell r="E22">
            <v>14.44</v>
          </cell>
          <cell r="F22">
            <v>3.83</v>
          </cell>
          <cell r="G22">
            <v>0.86399999999999999</v>
          </cell>
          <cell r="H22" t="str">
            <v xml:space="preserve">Moderate </v>
          </cell>
          <cell r="I22">
            <v>613</v>
          </cell>
          <cell r="J22">
            <v>0</v>
          </cell>
        </row>
        <row r="23">
          <cell r="C23">
            <v>4521</v>
          </cell>
          <cell r="D23">
            <v>886</v>
          </cell>
          <cell r="E23">
            <v>14.9</v>
          </cell>
          <cell r="F23">
            <v>3.28</v>
          </cell>
          <cell r="G23">
            <v>0.61199999999999999</v>
          </cell>
          <cell r="H23" t="str">
            <v>Modest</v>
          </cell>
          <cell r="I23">
            <v>558</v>
          </cell>
          <cell r="J23" t="str">
            <v>A</v>
          </cell>
        </row>
        <row r="24">
          <cell r="C24">
            <v>4390</v>
          </cell>
          <cell r="D24">
            <v>900</v>
          </cell>
          <cell r="E24">
            <v>13.3</v>
          </cell>
          <cell r="F24">
            <v>3.1</v>
          </cell>
          <cell r="G24">
            <v>0.56000000000000005</v>
          </cell>
          <cell r="H24" t="str">
            <v>Small</v>
          </cell>
          <cell r="I24">
            <v>467</v>
          </cell>
          <cell r="J24" t="str">
            <v>A-</v>
          </cell>
        </row>
        <row r="25">
          <cell r="C25">
            <v>4447</v>
          </cell>
          <cell r="D25">
            <v>973</v>
          </cell>
          <cell r="E25">
            <v>13.29</v>
          </cell>
          <cell r="F25">
            <v>4.54</v>
          </cell>
          <cell r="G25">
            <v>1.08</v>
          </cell>
          <cell r="H25" t="str">
            <v>Modest</v>
          </cell>
          <cell r="I25">
            <v>518</v>
          </cell>
          <cell r="J25" t="str">
            <v>A-</v>
          </cell>
        </row>
        <row r="26">
          <cell r="C26">
            <v>4616</v>
          </cell>
          <cell r="D26">
            <v>790</v>
          </cell>
          <cell r="E26">
            <v>14.34</v>
          </cell>
          <cell r="F26">
            <v>3.25</v>
          </cell>
          <cell r="G26">
            <v>0.61599999999999999</v>
          </cell>
          <cell r="H26" t="str">
            <v>Small</v>
          </cell>
          <cell r="I26">
            <v>424</v>
          </cell>
          <cell r="J26" t="str">
            <v>A</v>
          </cell>
        </row>
        <row r="27">
          <cell r="C27">
            <v>4588</v>
          </cell>
          <cell r="D27">
            <v>883</v>
          </cell>
          <cell r="E27">
            <v>17.45</v>
          </cell>
          <cell r="F27">
            <v>3.42</v>
          </cell>
          <cell r="G27">
            <v>0.60799999999999998</v>
          </cell>
          <cell r="H27" t="str">
            <v>Modest</v>
          </cell>
          <cell r="I27">
            <v>558</v>
          </cell>
          <cell r="J27">
            <v>0</v>
          </cell>
        </row>
        <row r="28">
          <cell r="C28">
            <v>4326</v>
          </cell>
          <cell r="D28">
            <v>872</v>
          </cell>
          <cell r="E28">
            <v>12.41</v>
          </cell>
          <cell r="F28">
            <v>4.05</v>
          </cell>
          <cell r="G28">
            <v>0.82399999999999995</v>
          </cell>
          <cell r="H28" t="str">
            <v>Small</v>
          </cell>
          <cell r="I28">
            <v>466</v>
          </cell>
          <cell r="J28">
            <v>0</v>
          </cell>
        </row>
        <row r="29">
          <cell r="C29">
            <v>4656</v>
          </cell>
          <cell r="D29">
            <v>916</v>
          </cell>
          <cell r="E29">
            <v>13.21</v>
          </cell>
          <cell r="F29">
            <v>3.21</v>
          </cell>
          <cell r="G29">
            <v>0.51200000000000001</v>
          </cell>
          <cell r="H29" t="str">
            <v>Modest</v>
          </cell>
          <cell r="I29">
            <v>597</v>
          </cell>
          <cell r="J29" t="str">
            <v>A+</v>
          </cell>
        </row>
        <row r="30">
          <cell r="C30">
            <v>4536</v>
          </cell>
          <cell r="D30">
            <v>797</v>
          </cell>
          <cell r="E30">
            <v>12.65</v>
          </cell>
          <cell r="F30">
            <v>4.0199999999999996</v>
          </cell>
          <cell r="G30">
            <v>0.81599999999999995</v>
          </cell>
          <cell r="H30" t="str">
            <v>Slightly Abundant</v>
          </cell>
          <cell r="I30">
            <v>729</v>
          </cell>
          <cell r="J30" t="str">
            <v>A-</v>
          </cell>
        </row>
        <row r="31">
          <cell r="C31">
            <v>4458</v>
          </cell>
          <cell r="D31">
            <v>837</v>
          </cell>
          <cell r="E31">
            <v>13.62</v>
          </cell>
          <cell r="F31">
            <v>4.13</v>
          </cell>
          <cell r="G31">
            <v>0.92400000000000004</v>
          </cell>
          <cell r="H31" t="str">
            <v>Modest</v>
          </cell>
          <cell r="I31">
            <v>579</v>
          </cell>
          <cell r="J31" t="str">
            <v>A-</v>
          </cell>
        </row>
        <row r="32">
          <cell r="C32">
            <v>4720</v>
          </cell>
          <cell r="D32">
            <v>819</v>
          </cell>
          <cell r="E32">
            <v>14.52</v>
          </cell>
          <cell r="F32">
            <v>3.27</v>
          </cell>
          <cell r="G32">
            <v>0.51200000000000001</v>
          </cell>
          <cell r="H32" t="str">
            <v xml:space="preserve">Moderate </v>
          </cell>
          <cell r="I32">
            <v>671</v>
          </cell>
          <cell r="J32">
            <v>0</v>
          </cell>
        </row>
        <row r="33">
          <cell r="C33">
            <v>4725</v>
          </cell>
          <cell r="D33">
            <v>791</v>
          </cell>
          <cell r="E33">
            <v>12.2</v>
          </cell>
          <cell r="F33">
            <v>3.21</v>
          </cell>
          <cell r="G33">
            <v>0.48399999999999999</v>
          </cell>
          <cell r="H33" t="str">
            <v>Modest</v>
          </cell>
          <cell r="I33">
            <v>500</v>
          </cell>
          <cell r="J33" t="str">
            <v>A+</v>
          </cell>
        </row>
        <row r="34">
          <cell r="C34">
            <v>4478</v>
          </cell>
          <cell r="D34">
            <v>841</v>
          </cell>
          <cell r="E34">
            <v>12.27</v>
          </cell>
          <cell r="F34">
            <v>3.34</v>
          </cell>
          <cell r="G34">
            <v>0.752</v>
          </cell>
          <cell r="H34" t="str">
            <v xml:space="preserve">Moderate </v>
          </cell>
          <cell r="I34">
            <v>629</v>
          </cell>
          <cell r="J34">
            <v>0</v>
          </cell>
        </row>
        <row r="35">
          <cell r="C35">
            <v>4601</v>
          </cell>
          <cell r="D35">
            <v>851</v>
          </cell>
          <cell r="E35">
            <v>13.58</v>
          </cell>
          <cell r="F35">
            <v>3.69</v>
          </cell>
          <cell r="G35">
            <v>0.72799999999999998</v>
          </cell>
          <cell r="H35" t="str">
            <v>Modest</v>
          </cell>
          <cell r="I35">
            <v>584</v>
          </cell>
          <cell r="J35">
            <v>0</v>
          </cell>
        </row>
        <row r="36">
          <cell r="C36">
            <v>4688</v>
          </cell>
          <cell r="D36">
            <v>811</v>
          </cell>
          <cell r="E36">
            <v>17.440000000000001</v>
          </cell>
          <cell r="F36">
            <v>2.82</v>
          </cell>
          <cell r="G36">
            <v>0.34399999999999997</v>
          </cell>
          <cell r="H36" t="str">
            <v>Slight</v>
          </cell>
          <cell r="I36">
            <v>386</v>
          </cell>
          <cell r="J36" t="str">
            <v>A+</v>
          </cell>
        </row>
        <row r="37">
          <cell r="C37">
            <v>4629</v>
          </cell>
          <cell r="D37">
            <v>834</v>
          </cell>
          <cell r="E37">
            <v>12.63</v>
          </cell>
          <cell r="F37">
            <v>3.54</v>
          </cell>
          <cell r="G37">
            <v>0.63600000000000001</v>
          </cell>
          <cell r="H37" t="str">
            <v>Modest</v>
          </cell>
          <cell r="I37">
            <v>569</v>
          </cell>
          <cell r="J37" t="str">
            <v>A-</v>
          </cell>
        </row>
        <row r="38">
          <cell r="C38">
            <v>4520</v>
          </cell>
          <cell r="D38">
            <v>858</v>
          </cell>
          <cell r="E38">
            <v>13.82</v>
          </cell>
          <cell r="F38">
            <v>3</v>
          </cell>
          <cell r="G38">
            <v>0.42</v>
          </cell>
          <cell r="H38" t="str">
            <v>Small</v>
          </cell>
          <cell r="I38">
            <v>445</v>
          </cell>
          <cell r="J38" t="str">
            <v>.</v>
          </cell>
        </row>
        <row r="39">
          <cell r="C39">
            <v>4748</v>
          </cell>
          <cell r="D39">
            <v>884</v>
          </cell>
          <cell r="E39">
            <v>15.79</v>
          </cell>
          <cell r="F39">
            <v>3.21</v>
          </cell>
          <cell r="G39">
            <v>0.55200000000000005</v>
          </cell>
          <cell r="H39" t="str">
            <v>Small</v>
          </cell>
          <cell r="I39">
            <v>493</v>
          </cell>
          <cell r="J39" t="str">
            <v>A-</v>
          </cell>
        </row>
        <row r="40">
          <cell r="C40">
            <v>4686</v>
          </cell>
          <cell r="D40">
            <v>910</v>
          </cell>
          <cell r="E40">
            <v>13.52</v>
          </cell>
          <cell r="F40">
            <v>3.56</v>
          </cell>
          <cell r="G40">
            <v>0.70799999999999996</v>
          </cell>
          <cell r="H40" t="str">
            <v>Small</v>
          </cell>
          <cell r="I40">
            <v>461</v>
          </cell>
          <cell r="J40" t="str">
            <v>A-</v>
          </cell>
        </row>
        <row r="41">
          <cell r="C41">
            <v>4566</v>
          </cell>
          <cell r="D41">
            <v>966</v>
          </cell>
          <cell r="E41">
            <v>14.87</v>
          </cell>
          <cell r="F41">
            <v>3.9</v>
          </cell>
          <cell r="G41">
            <v>0.79600000000000004</v>
          </cell>
          <cell r="H41" t="str">
            <v xml:space="preserve">Moderate </v>
          </cell>
          <cell r="I41">
            <v>611</v>
          </cell>
          <cell r="J41">
            <v>0</v>
          </cell>
        </row>
        <row r="42">
          <cell r="C42">
            <v>4680</v>
          </cell>
          <cell r="D42">
            <v>882</v>
          </cell>
          <cell r="E42">
            <v>13.83</v>
          </cell>
          <cell r="F42">
            <v>3.48</v>
          </cell>
          <cell r="G42">
            <v>0.68799999999999994</v>
          </cell>
          <cell r="H42" t="str">
            <v>Small</v>
          </cell>
          <cell r="I42">
            <v>460</v>
          </cell>
          <cell r="J42" t="str">
            <v>A+</v>
          </cell>
        </row>
        <row r="43">
          <cell r="C43">
            <v>4671</v>
          </cell>
          <cell r="D43">
            <v>844</v>
          </cell>
          <cell r="E43">
            <v>13.59</v>
          </cell>
          <cell r="F43">
            <v>3.4</v>
          </cell>
          <cell r="G43">
            <v>0.61199999999999999</v>
          </cell>
          <cell r="H43" t="str">
            <v>Modest</v>
          </cell>
          <cell r="I43">
            <v>574</v>
          </cell>
          <cell r="J43" t="str">
            <v>A-</v>
          </cell>
        </row>
        <row r="44">
          <cell r="C44">
            <v>4451</v>
          </cell>
          <cell r="D44">
            <v>900</v>
          </cell>
          <cell r="E44">
            <v>14.38</v>
          </cell>
          <cell r="F44">
            <v>3.62</v>
          </cell>
          <cell r="G44">
            <v>0.73199999999999998</v>
          </cell>
          <cell r="H44" t="str">
            <v>Modest</v>
          </cell>
          <cell r="I44">
            <v>561</v>
          </cell>
          <cell r="J44">
            <v>0</v>
          </cell>
        </row>
        <row r="45">
          <cell r="C45">
            <v>4677</v>
          </cell>
          <cell r="D45">
            <v>756</v>
          </cell>
          <cell r="E45">
            <v>12.7</v>
          </cell>
          <cell r="F45">
            <v>3</v>
          </cell>
          <cell r="G45">
            <v>0.4</v>
          </cell>
          <cell r="H45" t="str">
            <v>Slight</v>
          </cell>
          <cell r="I45">
            <v>361</v>
          </cell>
          <cell r="J45" t="str">
            <v>A+</v>
          </cell>
        </row>
        <row r="46">
          <cell r="C46">
            <v>4346</v>
          </cell>
          <cell r="D46">
            <v>858</v>
          </cell>
          <cell r="E46">
            <v>14.53</v>
          </cell>
          <cell r="F46">
            <v>3.82</v>
          </cell>
          <cell r="G46">
            <v>0.72799999999999998</v>
          </cell>
          <cell r="H46" t="str">
            <v xml:space="preserve">Slightly Abundant </v>
          </cell>
          <cell r="I46">
            <v>787</v>
          </cell>
          <cell r="J46">
            <v>0</v>
          </cell>
        </row>
        <row r="47">
          <cell r="C47">
            <v>4392</v>
          </cell>
          <cell r="D47">
            <v>886</v>
          </cell>
          <cell r="E47">
            <v>13.26</v>
          </cell>
          <cell r="F47">
            <v>3.46</v>
          </cell>
          <cell r="G47">
            <v>0.58399999999999996</v>
          </cell>
          <cell r="H47" t="str">
            <v>Moderate</v>
          </cell>
          <cell r="I47">
            <v>651</v>
          </cell>
          <cell r="J47" t="str">
            <v>A+</v>
          </cell>
        </row>
        <row r="48">
          <cell r="C48">
            <v>4436</v>
          </cell>
          <cell r="D48">
            <v>989</v>
          </cell>
          <cell r="H48" t="str">
            <v>Modest</v>
          </cell>
          <cell r="I48">
            <v>524</v>
          </cell>
          <cell r="J48" t="str">
            <v>A+</v>
          </cell>
        </row>
        <row r="49">
          <cell r="C49">
            <v>4731</v>
          </cell>
          <cell r="D49">
            <v>795</v>
          </cell>
          <cell r="E49">
            <v>14.73</v>
          </cell>
          <cell r="F49">
            <v>3.16</v>
          </cell>
          <cell r="G49">
            <v>0.55200000000000005</v>
          </cell>
          <cell r="H49" t="str">
            <v>Modest</v>
          </cell>
          <cell r="I49">
            <v>539</v>
          </cell>
          <cell r="J49" t="str">
            <v>A</v>
          </cell>
        </row>
        <row r="50">
          <cell r="C50">
            <v>4364</v>
          </cell>
          <cell r="D50">
            <v>896</v>
          </cell>
          <cell r="E50">
            <v>11.89</v>
          </cell>
          <cell r="F50">
            <v>4.75</v>
          </cell>
          <cell r="G50">
            <v>1.1240000000000001</v>
          </cell>
          <cell r="H50" t="str">
            <v xml:space="preserve">Slightly Abundant </v>
          </cell>
          <cell r="I50">
            <v>748</v>
          </cell>
          <cell r="J50">
            <v>0</v>
          </cell>
        </row>
        <row r="51">
          <cell r="C51">
            <v>4489</v>
          </cell>
          <cell r="D51">
            <v>828</v>
          </cell>
          <cell r="E51">
            <v>11.46</v>
          </cell>
          <cell r="F51">
            <v>3.66</v>
          </cell>
          <cell r="G51">
            <v>0.66400000000000003</v>
          </cell>
          <cell r="H51" t="str">
            <v>Small</v>
          </cell>
          <cell r="I51">
            <v>464</v>
          </cell>
          <cell r="J51" t="str">
            <v>A+</v>
          </cell>
        </row>
        <row r="52">
          <cell r="C52">
            <v>4606</v>
          </cell>
          <cell r="D52">
            <v>954</v>
          </cell>
          <cell r="J52">
            <v>0</v>
          </cell>
        </row>
        <row r="53">
          <cell r="C53">
            <v>4373</v>
          </cell>
          <cell r="D53">
            <v>865</v>
          </cell>
          <cell r="E53">
            <v>12.22</v>
          </cell>
          <cell r="F53">
            <v>3.76</v>
          </cell>
          <cell r="G53">
            <v>0.70399999999999996</v>
          </cell>
          <cell r="H53" t="str">
            <v>Moderate</v>
          </cell>
          <cell r="I53">
            <v>602</v>
          </cell>
          <cell r="J53">
            <v>0</v>
          </cell>
        </row>
        <row r="54">
          <cell r="C54">
            <v>4567</v>
          </cell>
          <cell r="D54">
            <v>810</v>
          </cell>
          <cell r="E54">
            <v>13.21</v>
          </cell>
          <cell r="F54">
            <v>3.6</v>
          </cell>
          <cell r="G54">
            <v>0.752</v>
          </cell>
          <cell r="H54" t="str">
            <v>Moderate</v>
          </cell>
          <cell r="I54">
            <v>698</v>
          </cell>
          <cell r="J54" t="str">
            <v>A+</v>
          </cell>
        </row>
        <row r="55">
          <cell r="C55">
            <v>4627</v>
          </cell>
          <cell r="D55">
            <v>882</v>
          </cell>
          <cell r="E55">
            <v>13.82</v>
          </cell>
          <cell r="F55">
            <v>4.62</v>
          </cell>
          <cell r="G55">
            <v>1.048</v>
          </cell>
          <cell r="H55" t="str">
            <v>Modest</v>
          </cell>
          <cell r="I55">
            <v>513</v>
          </cell>
          <cell r="J55" t="str">
            <v>A+</v>
          </cell>
        </row>
        <row r="56">
          <cell r="C56">
            <v>4397</v>
          </cell>
          <cell r="D56">
            <v>871</v>
          </cell>
          <cell r="E56">
            <v>12.9</v>
          </cell>
          <cell r="F56">
            <v>3.23</v>
          </cell>
          <cell r="G56">
            <v>0.628</v>
          </cell>
          <cell r="H56" t="str">
            <v>Modest</v>
          </cell>
          <cell r="I56">
            <v>546</v>
          </cell>
          <cell r="J56" t="str">
            <v>A-</v>
          </cell>
        </row>
        <row r="57">
          <cell r="C57">
            <v>4462</v>
          </cell>
          <cell r="D57">
            <v>836</v>
          </cell>
          <cell r="E57">
            <v>12.48</v>
          </cell>
          <cell r="F57">
            <v>4.55</v>
          </cell>
          <cell r="G57">
            <v>1.036</v>
          </cell>
          <cell r="H57" t="str">
            <v>Small</v>
          </cell>
          <cell r="I57">
            <v>491</v>
          </cell>
          <cell r="J57" t="str">
            <v>A+</v>
          </cell>
        </row>
        <row r="58">
          <cell r="C58">
            <v>4338</v>
          </cell>
          <cell r="D58">
            <v>863</v>
          </cell>
          <cell r="E58">
            <v>12.22</v>
          </cell>
          <cell r="F58">
            <v>3.56</v>
          </cell>
          <cell r="G58">
            <v>0.84399999999999997</v>
          </cell>
          <cell r="H58" t="str">
            <v xml:space="preserve">Slightly Abundant </v>
          </cell>
          <cell r="I58">
            <v>766</v>
          </cell>
          <cell r="J58" t="str">
            <v>A-</v>
          </cell>
        </row>
        <row r="59">
          <cell r="C59">
            <v>4570</v>
          </cell>
          <cell r="D59">
            <v>800</v>
          </cell>
          <cell r="E59">
            <v>12.5</v>
          </cell>
          <cell r="F59">
            <v>3.21</v>
          </cell>
          <cell r="G59">
            <v>0.58399999999999996</v>
          </cell>
          <cell r="H59" t="str">
            <v xml:space="preserve">Slightly Abundant </v>
          </cell>
          <cell r="I59">
            <v>755</v>
          </cell>
          <cell r="J59">
            <v>0</v>
          </cell>
        </row>
        <row r="60">
          <cell r="C60">
            <v>4724</v>
          </cell>
          <cell r="D60">
            <v>929</v>
          </cell>
          <cell r="E60">
            <v>14.97</v>
          </cell>
          <cell r="F60">
            <v>3.95</v>
          </cell>
          <cell r="G60">
            <v>0.82399999999999995</v>
          </cell>
          <cell r="H60" t="str">
            <v>Modest</v>
          </cell>
          <cell r="I60">
            <v>548</v>
          </cell>
          <cell r="J60">
            <v>0</v>
          </cell>
        </row>
        <row r="61">
          <cell r="C61">
            <v>4655</v>
          </cell>
          <cell r="D61">
            <v>793</v>
          </cell>
          <cell r="E61">
            <v>13.87</v>
          </cell>
          <cell r="F61">
            <v>3.2</v>
          </cell>
          <cell r="G61">
            <v>0.53600000000000003</v>
          </cell>
          <cell r="H61" t="str">
            <v>Small</v>
          </cell>
          <cell r="I61">
            <v>432</v>
          </cell>
          <cell r="J61" t="str">
            <v>A-</v>
          </cell>
        </row>
        <row r="62">
          <cell r="C62">
            <v>4552</v>
          </cell>
          <cell r="D62">
            <v>784</v>
          </cell>
          <cell r="E62">
            <v>16.170000000000002</v>
          </cell>
          <cell r="F62">
            <v>2.8</v>
          </cell>
          <cell r="G62">
            <v>0.44</v>
          </cell>
          <cell r="H62" t="str">
            <v>Modest</v>
          </cell>
          <cell r="I62">
            <v>508</v>
          </cell>
          <cell r="J62" t="str">
            <v>A-</v>
          </cell>
        </row>
        <row r="63">
          <cell r="C63">
            <v>4401</v>
          </cell>
          <cell r="D63">
            <v>896</v>
          </cell>
          <cell r="E63">
            <v>13.93</v>
          </cell>
          <cell r="F63">
            <v>2.95</v>
          </cell>
          <cell r="G63">
            <v>0.42799999999999999</v>
          </cell>
          <cell r="H63" t="str">
            <v>Small</v>
          </cell>
          <cell r="I63">
            <v>493</v>
          </cell>
          <cell r="J63" t="str">
            <v>A+</v>
          </cell>
        </row>
        <row r="64">
          <cell r="C64">
            <v>4412</v>
          </cell>
          <cell r="D64">
            <v>822</v>
          </cell>
          <cell r="E64">
            <v>13.29</v>
          </cell>
          <cell r="F64">
            <v>3.93</v>
          </cell>
          <cell r="G64">
            <v>0.89800000000000002</v>
          </cell>
          <cell r="H64" t="str">
            <v>Moderate</v>
          </cell>
          <cell r="I64">
            <v>676</v>
          </cell>
          <cell r="J64">
            <v>0</v>
          </cell>
        </row>
        <row r="65">
          <cell r="C65">
            <v>4562</v>
          </cell>
          <cell r="D65">
            <v>804</v>
          </cell>
          <cell r="E65">
            <v>12.32</v>
          </cell>
          <cell r="F65">
            <v>3.52</v>
          </cell>
          <cell r="G65">
            <v>0.69199999999999995</v>
          </cell>
          <cell r="H65" t="str">
            <v>Modest</v>
          </cell>
          <cell r="I65">
            <v>553</v>
          </cell>
          <cell r="J65" t="str">
            <v>A+</v>
          </cell>
        </row>
        <row r="66">
          <cell r="C66">
            <v>4609</v>
          </cell>
          <cell r="D66">
            <v>891</v>
          </cell>
          <cell r="E66">
            <v>14.31</v>
          </cell>
          <cell r="F66">
            <v>3.45</v>
          </cell>
          <cell r="G66">
            <v>0.71199999999999997</v>
          </cell>
          <cell r="H66" t="str">
            <v>Moderate</v>
          </cell>
          <cell r="I66">
            <v>605</v>
          </cell>
          <cell r="J66">
            <v>0</v>
          </cell>
        </row>
        <row r="67">
          <cell r="C67">
            <v>4534</v>
          </cell>
          <cell r="D67">
            <v>859</v>
          </cell>
          <cell r="E67">
            <v>14.66</v>
          </cell>
          <cell r="F67">
            <v>3.18</v>
          </cell>
          <cell r="G67">
            <v>0.5</v>
          </cell>
          <cell r="H67" t="str">
            <v>Small</v>
          </cell>
          <cell r="I67">
            <v>488</v>
          </cell>
          <cell r="J67" t="str">
            <v>A-</v>
          </cell>
        </row>
        <row r="68">
          <cell r="C68">
            <v>4584</v>
          </cell>
          <cell r="D68">
            <v>901</v>
          </cell>
          <cell r="E68">
            <v>11.68</v>
          </cell>
          <cell r="F68">
            <v>3.7</v>
          </cell>
          <cell r="G68">
            <v>0.68</v>
          </cell>
          <cell r="H68" t="str">
            <v>Modest</v>
          </cell>
          <cell r="I68">
            <v>588</v>
          </cell>
          <cell r="J68">
            <v>0</v>
          </cell>
        </row>
        <row r="69">
          <cell r="C69">
            <v>4723</v>
          </cell>
          <cell r="D69">
            <v>798</v>
          </cell>
          <cell r="E69">
            <v>12.59</v>
          </cell>
          <cell r="F69">
            <v>3.14</v>
          </cell>
          <cell r="G69">
            <v>0.49199999999999999</v>
          </cell>
          <cell r="H69" t="str">
            <v>Small</v>
          </cell>
          <cell r="I69">
            <v>460</v>
          </cell>
          <cell r="J69" t="str">
            <v>A+</v>
          </cell>
        </row>
        <row r="70">
          <cell r="C70">
            <v>4669</v>
          </cell>
          <cell r="D70">
            <v>911</v>
          </cell>
          <cell r="E70">
            <v>13.06</v>
          </cell>
          <cell r="F70">
            <v>3.38</v>
          </cell>
          <cell r="G70">
            <v>0.65600000000000003</v>
          </cell>
          <cell r="H70" t="str">
            <v>Moderate</v>
          </cell>
          <cell r="I70">
            <v>629</v>
          </cell>
          <cell r="J70" t="str">
            <v>A</v>
          </cell>
        </row>
        <row r="71">
          <cell r="C71">
            <v>4654</v>
          </cell>
          <cell r="D71">
            <v>904</v>
          </cell>
          <cell r="E71">
            <v>13.13</v>
          </cell>
          <cell r="F71">
            <v>4.3899999999999997</v>
          </cell>
          <cell r="G71">
            <v>1.036</v>
          </cell>
          <cell r="H71" t="str">
            <v>Modest</v>
          </cell>
          <cell r="I71">
            <v>555</v>
          </cell>
          <cell r="J71" t="str">
            <v>A</v>
          </cell>
        </row>
        <row r="72">
          <cell r="C72">
            <v>4474</v>
          </cell>
          <cell r="D72">
            <v>952</v>
          </cell>
          <cell r="E72">
            <v>14.38</v>
          </cell>
          <cell r="F72">
            <v>4.13</v>
          </cell>
          <cell r="G72">
            <v>0.86</v>
          </cell>
          <cell r="H72" t="str">
            <v>Small</v>
          </cell>
          <cell r="I72">
            <v>497</v>
          </cell>
          <cell r="J72">
            <v>0</v>
          </cell>
        </row>
        <row r="73">
          <cell r="C73">
            <v>4526</v>
          </cell>
          <cell r="D73">
            <v>947</v>
          </cell>
          <cell r="E73">
            <v>13.27</v>
          </cell>
          <cell r="F73">
            <v>3.93</v>
          </cell>
          <cell r="G73">
            <v>0.85199999999999998</v>
          </cell>
          <cell r="H73" t="str">
            <v>Small</v>
          </cell>
          <cell r="I73">
            <v>498</v>
          </cell>
          <cell r="J73" t="str">
            <v>A+</v>
          </cell>
        </row>
        <row r="74">
          <cell r="C74">
            <v>4377</v>
          </cell>
          <cell r="D74">
            <v>823</v>
          </cell>
          <cell r="E74">
            <v>15.41</v>
          </cell>
          <cell r="F74">
            <v>2.95</v>
          </cell>
          <cell r="G74">
            <v>0.60399999999999998</v>
          </cell>
          <cell r="H74" t="str">
            <v>Modest</v>
          </cell>
          <cell r="I74">
            <v>524</v>
          </cell>
          <cell r="J74" t="str">
            <v>A+</v>
          </cell>
        </row>
        <row r="75">
          <cell r="C75">
            <v>4568</v>
          </cell>
          <cell r="D75">
            <v>848</v>
          </cell>
          <cell r="E75">
            <v>11.54</v>
          </cell>
          <cell r="F75">
            <v>3.67</v>
          </cell>
          <cell r="G75">
            <v>0.66799999999999993</v>
          </cell>
          <cell r="H75" t="str">
            <v>Moderate</v>
          </cell>
          <cell r="I75">
            <v>631</v>
          </cell>
          <cell r="J75">
            <v>0</v>
          </cell>
        </row>
        <row r="76">
          <cell r="C76">
            <v>4529</v>
          </cell>
          <cell r="D76">
            <v>902</v>
          </cell>
          <cell r="E76">
            <v>15.84</v>
          </cell>
          <cell r="F76">
            <v>3.25</v>
          </cell>
          <cell r="G76">
            <v>0.6</v>
          </cell>
          <cell r="H76" t="str">
            <v>Modest</v>
          </cell>
          <cell r="I76">
            <v>501</v>
          </cell>
          <cell r="J76">
            <v>0</v>
          </cell>
        </row>
        <row r="77">
          <cell r="C77">
            <v>4441</v>
          </cell>
          <cell r="D77">
            <v>1002</v>
          </cell>
          <cell r="E77">
            <v>12.6</v>
          </cell>
          <cell r="F77">
            <v>3.58</v>
          </cell>
          <cell r="G77">
            <v>0.79200000000000004</v>
          </cell>
          <cell r="H77" t="str">
            <v>Moderate</v>
          </cell>
          <cell r="I77">
            <v>623</v>
          </cell>
          <cell r="J77" t="str">
            <v>A+</v>
          </cell>
        </row>
        <row r="78">
          <cell r="C78">
            <v>4381</v>
          </cell>
          <cell r="D78">
            <v>816</v>
          </cell>
          <cell r="E78">
            <v>13.5</v>
          </cell>
          <cell r="F78">
            <v>3.32</v>
          </cell>
          <cell r="G78">
            <v>0.52799999999999991</v>
          </cell>
          <cell r="H78" t="str">
            <v>Slight</v>
          </cell>
          <cell r="I78">
            <v>384</v>
          </cell>
          <cell r="J78" t="str">
            <v>A+</v>
          </cell>
        </row>
        <row r="79">
          <cell r="C79">
            <v>4367</v>
          </cell>
          <cell r="D79">
            <v>878</v>
          </cell>
          <cell r="E79">
            <v>14.01</v>
          </cell>
          <cell r="F79">
            <v>3.56</v>
          </cell>
          <cell r="G79">
            <v>0.72799999999999998</v>
          </cell>
          <cell r="H79" t="str">
            <v xml:space="preserve">Slightly Abundant </v>
          </cell>
          <cell r="I79">
            <v>711</v>
          </cell>
          <cell r="J79" t="str">
            <v>A-</v>
          </cell>
        </row>
        <row r="80">
          <cell r="C80">
            <v>4555</v>
          </cell>
          <cell r="D80">
            <v>725</v>
          </cell>
          <cell r="E80">
            <v>12.71</v>
          </cell>
          <cell r="F80">
            <v>2.93</v>
          </cell>
          <cell r="G80">
            <v>0.40400000000000003</v>
          </cell>
          <cell r="H80" t="str">
            <v>Small</v>
          </cell>
          <cell r="I80">
            <v>470</v>
          </cell>
          <cell r="J80">
            <v>0</v>
          </cell>
        </row>
        <row r="81">
          <cell r="C81">
            <v>4405</v>
          </cell>
          <cell r="D81">
            <v>837</v>
          </cell>
          <cell r="E81">
            <v>14.97</v>
          </cell>
          <cell r="F81">
            <v>3.5</v>
          </cell>
          <cell r="G81">
            <v>0.66800000000000004</v>
          </cell>
          <cell r="H81" t="str">
            <v>Modest</v>
          </cell>
          <cell r="I81">
            <v>518</v>
          </cell>
          <cell r="J81">
            <v>0</v>
          </cell>
        </row>
        <row r="82">
          <cell r="C82">
            <v>4403</v>
          </cell>
          <cell r="D82">
            <v>921</v>
          </cell>
          <cell r="E82">
            <v>12.25</v>
          </cell>
          <cell r="F82">
            <v>4.2</v>
          </cell>
          <cell r="G82">
            <v>0.88800000000000001</v>
          </cell>
          <cell r="H82" t="str">
            <v>Moderate</v>
          </cell>
          <cell r="I82">
            <v>608</v>
          </cell>
          <cell r="J82" t="str">
            <v>A+</v>
          </cell>
        </row>
        <row r="83">
          <cell r="C83">
            <v>4515</v>
          </cell>
          <cell r="D83">
            <v>825</v>
          </cell>
          <cell r="J83" t="str">
            <v>A-</v>
          </cell>
        </row>
        <row r="84">
          <cell r="C84">
            <v>4482</v>
          </cell>
          <cell r="D84">
            <v>870</v>
          </cell>
          <cell r="E84">
            <v>13.42</v>
          </cell>
          <cell r="F84">
            <v>3.62</v>
          </cell>
          <cell r="G84">
            <v>0.72</v>
          </cell>
          <cell r="H84" t="str">
            <v>Slight</v>
          </cell>
          <cell r="I84">
            <v>374</v>
          </cell>
          <cell r="J84" t="str">
            <v>A+</v>
          </cell>
        </row>
        <row r="85">
          <cell r="C85">
            <v>4699</v>
          </cell>
          <cell r="D85">
            <v>849</v>
          </cell>
          <cell r="E85">
            <v>12.18</v>
          </cell>
          <cell r="F85">
            <v>3.18</v>
          </cell>
          <cell r="G85">
            <v>0.51600000000000001</v>
          </cell>
          <cell r="H85" t="str">
            <v>Moderate</v>
          </cell>
          <cell r="I85">
            <v>699</v>
          </cell>
          <cell r="J85">
            <v>0</v>
          </cell>
        </row>
        <row r="86">
          <cell r="C86">
            <v>4324</v>
          </cell>
          <cell r="D86">
            <v>806</v>
          </cell>
          <cell r="E86">
            <v>15.18</v>
          </cell>
          <cell r="F86">
            <v>2.94</v>
          </cell>
          <cell r="G86">
            <v>0.40400000000000003</v>
          </cell>
          <cell r="H86" t="str">
            <v>Modest</v>
          </cell>
          <cell r="I86">
            <v>518</v>
          </cell>
          <cell r="J86" t="str">
            <v>A+</v>
          </cell>
        </row>
        <row r="87">
          <cell r="C87">
            <v>4571</v>
          </cell>
          <cell r="D87">
            <v>955</v>
          </cell>
          <cell r="J87">
            <v>0</v>
          </cell>
        </row>
        <row r="88">
          <cell r="C88">
            <v>4626</v>
          </cell>
          <cell r="D88">
            <v>837</v>
          </cell>
          <cell r="E88">
            <v>14.86</v>
          </cell>
          <cell r="F88">
            <v>3.21</v>
          </cell>
          <cell r="G88">
            <v>0.48399999999999999</v>
          </cell>
          <cell r="H88" t="str">
            <v>Modest</v>
          </cell>
          <cell r="I88">
            <v>589</v>
          </cell>
          <cell r="J88" t="str">
            <v>A+</v>
          </cell>
        </row>
        <row r="89">
          <cell r="C89">
            <v>4539</v>
          </cell>
          <cell r="D89">
            <v>791</v>
          </cell>
          <cell r="E89">
            <v>12.86</v>
          </cell>
          <cell r="F89">
            <v>3.32</v>
          </cell>
          <cell r="G89">
            <v>0.63200000000000001</v>
          </cell>
          <cell r="H89" t="str">
            <v>Small</v>
          </cell>
          <cell r="I89">
            <v>460</v>
          </cell>
          <cell r="J89">
            <v>0</v>
          </cell>
        </row>
        <row r="90">
          <cell r="C90">
            <v>4730</v>
          </cell>
          <cell r="D90">
            <v>951</v>
          </cell>
          <cell r="E90">
            <v>14.38</v>
          </cell>
          <cell r="F90">
            <v>3.88</v>
          </cell>
          <cell r="G90">
            <v>0.80400000000000005</v>
          </cell>
          <cell r="H90" t="str">
            <v xml:space="preserve">Slightly Abundant </v>
          </cell>
          <cell r="I90">
            <v>796</v>
          </cell>
          <cell r="J90">
            <v>0</v>
          </cell>
        </row>
        <row r="91">
          <cell r="C91">
            <v>4635</v>
          </cell>
          <cell r="D91">
            <v>786</v>
          </cell>
          <cell r="J91" t="str">
            <v>A+</v>
          </cell>
        </row>
        <row r="92">
          <cell r="C92">
            <v>4687</v>
          </cell>
          <cell r="D92">
            <v>917</v>
          </cell>
          <cell r="E92">
            <v>15.32</v>
          </cell>
          <cell r="F92">
            <v>3.68</v>
          </cell>
          <cell r="G92">
            <v>0.67200000000000004</v>
          </cell>
          <cell r="H92" t="str">
            <v>Modest</v>
          </cell>
          <cell r="I92">
            <v>536</v>
          </cell>
          <cell r="J92" t="str">
            <v>A</v>
          </cell>
        </row>
        <row r="93">
          <cell r="C93">
            <v>4620</v>
          </cell>
          <cell r="D93">
            <v>761</v>
          </cell>
          <cell r="E93">
            <v>13.43</v>
          </cell>
          <cell r="F93">
            <v>3.5</v>
          </cell>
          <cell r="G93">
            <v>0.66</v>
          </cell>
          <cell r="H93" t="str">
            <v>Modest</v>
          </cell>
          <cell r="I93">
            <v>567</v>
          </cell>
          <cell r="J93" t="str">
            <v>A-</v>
          </cell>
        </row>
        <row r="94">
          <cell r="C94">
            <v>4728</v>
          </cell>
          <cell r="D94">
            <v>842</v>
          </cell>
          <cell r="E94">
            <v>10.85</v>
          </cell>
          <cell r="F94">
            <v>4.07</v>
          </cell>
          <cell r="G94">
            <v>0.83199999999999996</v>
          </cell>
          <cell r="H94" t="str">
            <v>Modest</v>
          </cell>
          <cell r="I94">
            <v>539</v>
          </cell>
          <cell r="J94">
            <v>0</v>
          </cell>
        </row>
        <row r="95">
          <cell r="C95">
            <v>4751</v>
          </cell>
          <cell r="D95">
            <v>855</v>
          </cell>
          <cell r="E95">
            <v>14.13</v>
          </cell>
          <cell r="F95">
            <v>3.44</v>
          </cell>
          <cell r="G95">
            <v>0.752</v>
          </cell>
          <cell r="H95" t="str">
            <v xml:space="preserve">Slightly Abundant </v>
          </cell>
          <cell r="I95">
            <v>727</v>
          </cell>
          <cell r="J95">
            <v>0</v>
          </cell>
        </row>
        <row r="96">
          <cell r="C96">
            <v>4580</v>
          </cell>
          <cell r="D96">
            <v>806</v>
          </cell>
          <cell r="E96">
            <v>14.33</v>
          </cell>
          <cell r="F96">
            <v>3.28</v>
          </cell>
          <cell r="G96">
            <v>0.69599999999999995</v>
          </cell>
          <cell r="H96" t="str">
            <v>Moderate</v>
          </cell>
          <cell r="I96">
            <v>611</v>
          </cell>
          <cell r="J96" t="str">
            <v>A</v>
          </cell>
        </row>
        <row r="97">
          <cell r="C97">
            <v>4402</v>
          </cell>
          <cell r="D97">
            <v>881</v>
          </cell>
          <cell r="E97">
            <v>14.01</v>
          </cell>
          <cell r="F97">
            <v>3.16</v>
          </cell>
          <cell r="G97">
            <v>0.55600000000000005</v>
          </cell>
          <cell r="H97" t="str">
            <v>Modest</v>
          </cell>
          <cell r="I97">
            <v>520</v>
          </cell>
          <cell r="J97" t="str">
            <v>A+</v>
          </cell>
        </row>
        <row r="98">
          <cell r="C98">
            <v>4538</v>
          </cell>
          <cell r="D98">
            <v>716</v>
          </cell>
          <cell r="E98">
            <v>11.14</v>
          </cell>
          <cell r="F98">
            <v>3.39</v>
          </cell>
          <cell r="G98">
            <v>0.79200000000000004</v>
          </cell>
          <cell r="H98" t="str">
            <v>Modest</v>
          </cell>
          <cell r="I98">
            <v>580</v>
          </cell>
          <cell r="J98" t="str">
            <v>A+</v>
          </cell>
        </row>
        <row r="99">
          <cell r="C99">
            <v>4582</v>
          </cell>
          <cell r="D99">
            <v>888</v>
          </cell>
          <cell r="J99" t="str">
            <v>A+</v>
          </cell>
        </row>
        <row r="100">
          <cell r="C100">
            <v>4542</v>
          </cell>
          <cell r="D100">
            <v>888</v>
          </cell>
          <cell r="E100">
            <v>16.05</v>
          </cell>
          <cell r="F100">
            <v>3.45</v>
          </cell>
          <cell r="G100">
            <v>0.64800000000000002</v>
          </cell>
          <cell r="H100" t="str">
            <v>Small</v>
          </cell>
          <cell r="I100">
            <v>459</v>
          </cell>
          <cell r="J100" t="str">
            <v>A</v>
          </cell>
        </row>
        <row r="101">
          <cell r="C101">
            <v>4685</v>
          </cell>
          <cell r="D101">
            <v>891</v>
          </cell>
          <cell r="E101">
            <v>10.09</v>
          </cell>
          <cell r="F101">
            <v>4.21</v>
          </cell>
          <cell r="G101">
            <v>0.88400000000000001</v>
          </cell>
          <cell r="H101" t="str">
            <v>Slight</v>
          </cell>
          <cell r="I101">
            <v>388</v>
          </cell>
          <cell r="J101">
            <v>0</v>
          </cell>
        </row>
        <row r="102">
          <cell r="C102">
            <v>4499</v>
          </cell>
          <cell r="D102">
            <v>822</v>
          </cell>
          <cell r="E102">
            <v>13.28</v>
          </cell>
          <cell r="F102">
            <v>3.9</v>
          </cell>
          <cell r="G102">
            <v>0.76800000000000002</v>
          </cell>
          <cell r="H102" t="str">
            <v>Moderate</v>
          </cell>
          <cell r="I102">
            <v>616</v>
          </cell>
          <cell r="J102" t="str">
            <v>A+</v>
          </cell>
        </row>
        <row r="103">
          <cell r="C103">
            <v>4641</v>
          </cell>
          <cell r="D103">
            <v>852</v>
          </cell>
          <cell r="E103">
            <v>11.9</v>
          </cell>
          <cell r="F103">
            <v>3.48</v>
          </cell>
          <cell r="G103">
            <v>0.59199999999999997</v>
          </cell>
          <cell r="H103" t="str">
            <v>Moderate</v>
          </cell>
          <cell r="I103">
            <v>679</v>
          </cell>
          <cell r="J103">
            <v>0</v>
          </cell>
        </row>
        <row r="104">
          <cell r="C104">
            <v>4569</v>
          </cell>
          <cell r="D104">
            <v>896</v>
          </cell>
          <cell r="E104">
            <v>11.8</v>
          </cell>
          <cell r="F104">
            <v>4.4000000000000004</v>
          </cell>
          <cell r="G104">
            <v>1.0680000000000001</v>
          </cell>
          <cell r="H104" t="str">
            <v xml:space="preserve">Slightly Abundant </v>
          </cell>
          <cell r="I104">
            <v>774</v>
          </cell>
          <cell r="J104">
            <v>0</v>
          </cell>
        </row>
        <row r="105">
          <cell r="C105">
            <v>4746</v>
          </cell>
          <cell r="D105">
            <v>811</v>
          </cell>
          <cell r="E105">
            <v>13.77</v>
          </cell>
          <cell r="F105">
            <v>3.22</v>
          </cell>
          <cell r="G105">
            <v>0.78400000000000003</v>
          </cell>
          <cell r="H105" t="str">
            <v>Small</v>
          </cell>
          <cell r="I105">
            <v>406</v>
          </cell>
          <cell r="J105" t="str">
            <v>A+</v>
          </cell>
        </row>
        <row r="106">
          <cell r="C106" t="str">
            <v>Steer ID #</v>
          </cell>
          <cell r="D106" t="str">
            <v>HCW (lb)</v>
          </cell>
          <cell r="E106" t="str">
            <v>REA (in)</v>
          </cell>
          <cell r="F106" t="str">
            <v>PYG</v>
          </cell>
          <cell r="G106" t="str">
            <v>Fat</v>
          </cell>
          <cell r="H106" t="str">
            <v>Marbling</v>
          </cell>
          <cell r="I106" t="str">
            <v>Marbling</v>
          </cell>
          <cell r="J106" t="str">
            <v>Liver</v>
          </cell>
        </row>
        <row r="107">
          <cell r="C107">
            <v>4389</v>
          </cell>
          <cell r="D107">
            <v>727</v>
          </cell>
          <cell r="E107">
            <v>14.24</v>
          </cell>
          <cell r="F107">
            <v>2.95</v>
          </cell>
          <cell r="G107">
            <v>1.3919999999999999</v>
          </cell>
          <cell r="H107" t="str">
            <v xml:space="preserve">Slight </v>
          </cell>
          <cell r="I107">
            <v>396</v>
          </cell>
          <cell r="J107" t="str">
            <v>A-</v>
          </cell>
        </row>
        <row r="108">
          <cell r="C108">
            <v>4734</v>
          </cell>
          <cell r="D108">
            <v>826</v>
          </cell>
          <cell r="E108" t="str">
            <v>.</v>
          </cell>
          <cell r="F108" t="str">
            <v>.</v>
          </cell>
          <cell r="G108" t="str">
            <v>.</v>
          </cell>
          <cell r="H108" t="str">
            <v>.</v>
          </cell>
          <cell r="I108" t="str">
            <v>.</v>
          </cell>
          <cell r="J108" t="str">
            <v>A</v>
          </cell>
        </row>
        <row r="109">
          <cell r="C109">
            <v>4613</v>
          </cell>
          <cell r="D109">
            <v>869</v>
          </cell>
          <cell r="E109">
            <v>15</v>
          </cell>
          <cell r="F109">
            <v>3.51</v>
          </cell>
          <cell r="G109">
            <v>0.68400000000000005</v>
          </cell>
          <cell r="H109" t="str">
            <v>Small</v>
          </cell>
          <cell r="I109">
            <v>476</v>
          </cell>
          <cell r="J109">
            <v>0</v>
          </cell>
        </row>
        <row r="110">
          <cell r="C110">
            <v>4464</v>
          </cell>
          <cell r="D110">
            <v>814</v>
          </cell>
          <cell r="E110">
            <v>14</v>
          </cell>
          <cell r="F110">
            <v>3.14</v>
          </cell>
          <cell r="G110">
            <v>0.5</v>
          </cell>
          <cell r="H110" t="str">
            <v>Small</v>
          </cell>
          <cell r="I110">
            <v>433</v>
          </cell>
          <cell r="J110" t="str">
            <v>A-</v>
          </cell>
        </row>
        <row r="111">
          <cell r="C111">
            <v>4391</v>
          </cell>
          <cell r="D111">
            <v>762</v>
          </cell>
          <cell r="E111">
            <v>12.22</v>
          </cell>
          <cell r="F111">
            <v>3.4</v>
          </cell>
          <cell r="G111">
            <v>0.8</v>
          </cell>
          <cell r="H111" t="str">
            <v>Small</v>
          </cell>
          <cell r="I111">
            <v>462</v>
          </cell>
          <cell r="J111">
            <v>0</v>
          </cell>
        </row>
        <row r="112">
          <cell r="C112">
            <v>4433</v>
          </cell>
          <cell r="D112">
            <v>808</v>
          </cell>
          <cell r="E112">
            <v>12.22</v>
          </cell>
          <cell r="F112">
            <v>3.6</v>
          </cell>
          <cell r="G112">
            <v>0.624</v>
          </cell>
          <cell r="H112" t="str">
            <v>Moderate</v>
          </cell>
          <cell r="I112">
            <v>634</v>
          </cell>
          <cell r="J112">
            <v>0</v>
          </cell>
        </row>
        <row r="113">
          <cell r="C113">
            <v>4547</v>
          </cell>
          <cell r="D113">
            <v>753</v>
          </cell>
          <cell r="E113">
            <v>13.03</v>
          </cell>
          <cell r="F113">
            <v>2.9</v>
          </cell>
          <cell r="G113">
            <v>0.54</v>
          </cell>
          <cell r="H113" t="str">
            <v>Moderate</v>
          </cell>
          <cell r="I113">
            <v>652</v>
          </cell>
          <cell r="J113">
            <v>0</v>
          </cell>
        </row>
        <row r="114">
          <cell r="C114">
            <v>4653</v>
          </cell>
          <cell r="D114">
            <v>709</v>
          </cell>
          <cell r="E114">
            <v>12.57</v>
          </cell>
          <cell r="F114">
            <v>2.5</v>
          </cell>
          <cell r="G114">
            <v>0.29199999999999998</v>
          </cell>
          <cell r="H114" t="str">
            <v>Modest</v>
          </cell>
          <cell r="I114">
            <v>517</v>
          </cell>
          <cell r="J114" t="str">
            <v>0 Flukes</v>
          </cell>
        </row>
        <row r="115">
          <cell r="C115">
            <v>4660</v>
          </cell>
          <cell r="D115">
            <v>760</v>
          </cell>
          <cell r="E115">
            <v>13.83</v>
          </cell>
          <cell r="F115">
            <v>3.4</v>
          </cell>
          <cell r="G115">
            <v>0.63200000000000001</v>
          </cell>
          <cell r="H115" t="str">
            <v xml:space="preserve">Moderate </v>
          </cell>
          <cell r="I115">
            <v>639</v>
          </cell>
          <cell r="J115">
            <v>0</v>
          </cell>
        </row>
        <row r="116">
          <cell r="C116">
            <v>4337</v>
          </cell>
          <cell r="D116">
            <v>502</v>
          </cell>
          <cell r="E116">
            <v>11.4</v>
          </cell>
          <cell r="F116">
            <v>2.65</v>
          </cell>
          <cell r="G116">
            <v>0.41199999999999998</v>
          </cell>
          <cell r="H116" t="str">
            <v>Slight</v>
          </cell>
          <cell r="I116">
            <v>389</v>
          </cell>
          <cell r="J116" t="str">
            <v>C</v>
          </cell>
        </row>
        <row r="117">
          <cell r="C117">
            <v>4710</v>
          </cell>
          <cell r="D117">
            <v>845</v>
          </cell>
          <cell r="E117">
            <v>10.85</v>
          </cell>
          <cell r="F117">
            <v>3.64</v>
          </cell>
          <cell r="G117">
            <v>0.68</v>
          </cell>
          <cell r="H117" t="str">
            <v>Slightly Abundant</v>
          </cell>
          <cell r="I117">
            <v>758</v>
          </cell>
          <cell r="J117">
            <v>0</v>
          </cell>
        </row>
        <row r="118">
          <cell r="C118">
            <v>4599</v>
          </cell>
          <cell r="D118">
            <v>802</v>
          </cell>
          <cell r="E118">
            <v>13.1</v>
          </cell>
          <cell r="F118">
            <v>3.7</v>
          </cell>
          <cell r="G118">
            <v>0.73199999999999998</v>
          </cell>
          <cell r="H118" t="str">
            <v>Small</v>
          </cell>
          <cell r="I118">
            <v>482</v>
          </cell>
          <cell r="J118" t="str">
            <v>A-</v>
          </cell>
        </row>
        <row r="119">
          <cell r="C119">
            <v>4454</v>
          </cell>
          <cell r="D119">
            <v>771</v>
          </cell>
          <cell r="E119">
            <v>14.22</v>
          </cell>
          <cell r="F119">
            <v>3.23</v>
          </cell>
          <cell r="G119">
            <v>0.55600000000000005</v>
          </cell>
          <cell r="H119" t="str">
            <v>Small</v>
          </cell>
          <cell r="I119">
            <v>458</v>
          </cell>
          <cell r="J119">
            <v>0</v>
          </cell>
        </row>
        <row r="120">
          <cell r="C120">
            <v>4618</v>
          </cell>
          <cell r="D120">
            <v>825</v>
          </cell>
          <cell r="E120">
            <v>15.2</v>
          </cell>
          <cell r="F120">
            <v>3.05</v>
          </cell>
          <cell r="G120">
            <v>0.49199999999999999</v>
          </cell>
          <cell r="H120" t="str">
            <v>Small</v>
          </cell>
          <cell r="I120">
            <v>499</v>
          </cell>
          <cell r="J120">
            <v>0</v>
          </cell>
        </row>
        <row r="121">
          <cell r="C121">
            <v>4761</v>
          </cell>
          <cell r="D121">
            <v>740</v>
          </cell>
          <cell r="E121">
            <v>14.5</v>
          </cell>
          <cell r="F121">
            <v>3.52</v>
          </cell>
          <cell r="G121">
            <v>0.88400000000000001</v>
          </cell>
          <cell r="H121" t="str">
            <v>Modest</v>
          </cell>
          <cell r="I121">
            <v>569</v>
          </cell>
          <cell r="J121">
            <v>0</v>
          </cell>
        </row>
        <row r="122">
          <cell r="C122">
            <v>4418</v>
          </cell>
          <cell r="D122">
            <v>789</v>
          </cell>
          <cell r="E122">
            <v>13.6</v>
          </cell>
          <cell r="F122">
            <v>3.7</v>
          </cell>
          <cell r="G122">
            <v>0.71599999999999997</v>
          </cell>
          <cell r="H122" t="str">
            <v>Modest</v>
          </cell>
          <cell r="I122">
            <v>589</v>
          </cell>
          <cell r="J122" t="str">
            <v>C</v>
          </cell>
        </row>
        <row r="123">
          <cell r="C123">
            <v>4339</v>
          </cell>
          <cell r="D123">
            <v>767</v>
          </cell>
          <cell r="E123">
            <v>11.4</v>
          </cell>
          <cell r="F123">
            <v>3.82</v>
          </cell>
          <cell r="G123">
            <v>1.048</v>
          </cell>
          <cell r="H123" t="str">
            <v>Slightly Abundant</v>
          </cell>
          <cell r="I123">
            <v>741</v>
          </cell>
          <cell r="J123">
            <v>0</v>
          </cell>
        </row>
        <row r="124">
          <cell r="C124">
            <v>4770</v>
          </cell>
          <cell r="D124">
            <v>778</v>
          </cell>
          <cell r="E124">
            <v>11.1</v>
          </cell>
          <cell r="F124">
            <v>3.9</v>
          </cell>
          <cell r="G124">
            <v>0.76800000000000002</v>
          </cell>
          <cell r="H124" t="str">
            <v>Modest</v>
          </cell>
          <cell r="I124">
            <v>527</v>
          </cell>
          <cell r="J124" t="str">
            <v>A+ AD</v>
          </cell>
        </row>
        <row r="125">
          <cell r="C125">
            <v>4424</v>
          </cell>
          <cell r="D125">
            <v>743</v>
          </cell>
          <cell r="E125" t="str">
            <v>.</v>
          </cell>
          <cell r="F125" t="str">
            <v>.</v>
          </cell>
          <cell r="G125" t="str">
            <v>.</v>
          </cell>
          <cell r="H125" t="str">
            <v>.</v>
          </cell>
          <cell r="I125" t="str">
            <v>.</v>
          </cell>
          <cell r="J125" t="str">
            <v>C</v>
          </cell>
        </row>
        <row r="126">
          <cell r="C126">
            <v>4610</v>
          </cell>
          <cell r="D126">
            <v>840</v>
          </cell>
          <cell r="E126">
            <v>12.35</v>
          </cell>
          <cell r="F126">
            <v>3.3</v>
          </cell>
          <cell r="G126">
            <v>0.64800000000000002</v>
          </cell>
          <cell r="H126" t="str">
            <v>Small</v>
          </cell>
          <cell r="I126">
            <v>455</v>
          </cell>
          <cell r="J126" t="str">
            <v>A-</v>
          </cell>
        </row>
        <row r="127">
          <cell r="C127">
            <v>4549</v>
          </cell>
          <cell r="D127">
            <v>771</v>
          </cell>
          <cell r="E127">
            <v>15.27</v>
          </cell>
          <cell r="F127">
            <v>3.31</v>
          </cell>
          <cell r="G127">
            <v>0.53600000000000003</v>
          </cell>
          <cell r="H127" t="str">
            <v>Small</v>
          </cell>
          <cell r="I127">
            <v>448</v>
          </cell>
          <cell r="J127">
            <v>0</v>
          </cell>
        </row>
        <row r="128">
          <cell r="C128">
            <v>4460</v>
          </cell>
          <cell r="D128">
            <v>760</v>
          </cell>
          <cell r="E128">
            <v>12.75</v>
          </cell>
          <cell r="F128">
            <v>3.27</v>
          </cell>
          <cell r="G128">
            <v>0.55600000000000005</v>
          </cell>
          <cell r="H128" t="str">
            <v>Modest</v>
          </cell>
          <cell r="I128">
            <v>598</v>
          </cell>
          <cell r="J128" t="str">
            <v>C</v>
          </cell>
        </row>
        <row r="129">
          <cell r="C129">
            <v>4468</v>
          </cell>
          <cell r="D129">
            <v>917</v>
          </cell>
          <cell r="E129">
            <v>14.41</v>
          </cell>
          <cell r="F129">
            <v>3.84</v>
          </cell>
          <cell r="G129">
            <v>0.79600000000000004</v>
          </cell>
          <cell r="H129" t="str">
            <v>Modest</v>
          </cell>
          <cell r="I129">
            <v>534</v>
          </cell>
          <cell r="J129" t="str">
            <v>A-</v>
          </cell>
        </row>
        <row r="130">
          <cell r="C130">
            <v>4649</v>
          </cell>
          <cell r="D130">
            <v>798</v>
          </cell>
          <cell r="E130">
            <v>13.2</v>
          </cell>
          <cell r="F130">
            <v>3.4</v>
          </cell>
          <cell r="G130">
            <v>0.57599999999999996</v>
          </cell>
          <cell r="H130" t="str">
            <v>Small</v>
          </cell>
          <cell r="I130">
            <v>479</v>
          </cell>
          <cell r="J130">
            <v>0</v>
          </cell>
        </row>
        <row r="131">
          <cell r="C131">
            <v>4684</v>
          </cell>
          <cell r="D131">
            <v>876</v>
          </cell>
          <cell r="E131">
            <v>14.6</v>
          </cell>
          <cell r="F131">
            <v>3</v>
          </cell>
          <cell r="G131">
            <v>0.52400000000000002</v>
          </cell>
          <cell r="H131" t="str">
            <v>Small</v>
          </cell>
          <cell r="I131">
            <v>463</v>
          </cell>
          <cell r="J131">
            <v>0</v>
          </cell>
        </row>
        <row r="132">
          <cell r="C132">
            <v>4614</v>
          </cell>
          <cell r="D132">
            <v>751</v>
          </cell>
          <cell r="E132">
            <v>13</v>
          </cell>
          <cell r="F132">
            <v>2.7</v>
          </cell>
          <cell r="G132">
            <v>0.42399999999999999</v>
          </cell>
          <cell r="H132" t="str">
            <v>Slight</v>
          </cell>
          <cell r="I132">
            <v>361</v>
          </cell>
          <cell r="J132" t="str">
            <v>A+</v>
          </cell>
        </row>
        <row r="133">
          <cell r="C133">
            <v>4760</v>
          </cell>
          <cell r="D133">
            <v>815</v>
          </cell>
          <cell r="E133">
            <v>13</v>
          </cell>
          <cell r="F133">
            <v>3.74</v>
          </cell>
          <cell r="G133">
            <v>0.80400000000000005</v>
          </cell>
          <cell r="H133" t="str">
            <v>Modest</v>
          </cell>
          <cell r="I133">
            <v>522</v>
          </cell>
          <cell r="J133">
            <v>0</v>
          </cell>
        </row>
        <row r="134">
          <cell r="C134">
            <v>4640</v>
          </cell>
          <cell r="D134">
            <v>925</v>
          </cell>
          <cell r="E134">
            <v>14.7</v>
          </cell>
          <cell r="F134">
            <v>3.83</v>
          </cell>
          <cell r="G134">
            <v>0.90800000000000003</v>
          </cell>
          <cell r="H134" t="str">
            <v>Slight</v>
          </cell>
          <cell r="I134">
            <v>390</v>
          </cell>
          <cell r="J134" t="str">
            <v>A</v>
          </cell>
        </row>
        <row r="135">
          <cell r="C135">
            <v>4576</v>
          </cell>
          <cell r="D135">
            <v>840</v>
          </cell>
          <cell r="E135">
            <v>13.3</v>
          </cell>
          <cell r="F135">
            <v>3.4</v>
          </cell>
          <cell r="G135">
            <v>0.55200000000000005</v>
          </cell>
          <cell r="H135" t="str">
            <v>Small</v>
          </cell>
          <cell r="I135">
            <v>467</v>
          </cell>
          <cell r="J135">
            <v>0</v>
          </cell>
        </row>
        <row r="136">
          <cell r="C136">
            <v>4395</v>
          </cell>
          <cell r="D136">
            <v>774</v>
          </cell>
          <cell r="E136">
            <v>14.4</v>
          </cell>
          <cell r="F136">
            <v>2.8</v>
          </cell>
          <cell r="G136">
            <v>0.39600000000000002</v>
          </cell>
          <cell r="H136" t="str">
            <v>Small</v>
          </cell>
          <cell r="I136">
            <v>409</v>
          </cell>
          <cell r="J136">
            <v>0</v>
          </cell>
        </row>
        <row r="137">
          <cell r="C137">
            <v>4585</v>
          </cell>
          <cell r="D137">
            <v>833</v>
          </cell>
          <cell r="E137">
            <v>14.5</v>
          </cell>
          <cell r="F137">
            <v>3.84</v>
          </cell>
          <cell r="G137">
            <v>0.78400000000000003</v>
          </cell>
          <cell r="H137" t="str">
            <v>Moderate</v>
          </cell>
          <cell r="I137">
            <v>617</v>
          </cell>
          <cell r="J137" t="str">
            <v>A-</v>
          </cell>
        </row>
        <row r="138">
          <cell r="C138">
            <v>4675</v>
          </cell>
          <cell r="D138">
            <v>764</v>
          </cell>
          <cell r="E138">
            <v>12.93</v>
          </cell>
          <cell r="F138">
            <v>3.82</v>
          </cell>
          <cell r="G138">
            <v>0.72799999999999998</v>
          </cell>
          <cell r="H138" t="str">
            <v xml:space="preserve">Moderately Abundant </v>
          </cell>
          <cell r="I138">
            <v>860</v>
          </cell>
          <cell r="J138">
            <v>0</v>
          </cell>
        </row>
        <row r="139">
          <cell r="C139">
            <v>4501</v>
          </cell>
          <cell r="D139">
            <v>750</v>
          </cell>
          <cell r="E139">
            <v>13.8</v>
          </cell>
          <cell r="F139">
            <v>2.7</v>
          </cell>
          <cell r="G139">
            <v>0.29599999999999999</v>
          </cell>
          <cell r="H139" t="str">
            <v>Small</v>
          </cell>
          <cell r="I139">
            <v>448</v>
          </cell>
          <cell r="J139" t="str">
            <v>A-</v>
          </cell>
        </row>
        <row r="140">
          <cell r="C140">
            <v>4733</v>
          </cell>
          <cell r="D140">
            <v>919</v>
          </cell>
          <cell r="E140">
            <v>13.5</v>
          </cell>
          <cell r="F140">
            <v>3.7</v>
          </cell>
          <cell r="G140">
            <v>0.82399999999999995</v>
          </cell>
          <cell r="H140" t="str">
            <v>Small</v>
          </cell>
          <cell r="I140">
            <v>479</v>
          </cell>
          <cell r="J140" t="str">
            <v>C</v>
          </cell>
        </row>
        <row r="141">
          <cell r="C141">
            <v>4399</v>
          </cell>
          <cell r="D141">
            <v>795</v>
          </cell>
          <cell r="E141" t="str">
            <v>.</v>
          </cell>
          <cell r="F141" t="str">
            <v>.</v>
          </cell>
          <cell r="G141" t="str">
            <v>.</v>
          </cell>
          <cell r="H141" t="str">
            <v>.</v>
          </cell>
          <cell r="I141" t="str">
            <v>.</v>
          </cell>
          <cell r="J141" t="str">
            <v>C</v>
          </cell>
        </row>
        <row r="142">
          <cell r="C142">
            <v>4502</v>
          </cell>
          <cell r="D142">
            <v>782</v>
          </cell>
          <cell r="E142">
            <v>12.7</v>
          </cell>
          <cell r="F142">
            <v>3.8</v>
          </cell>
          <cell r="G142">
            <v>0.79600000000000004</v>
          </cell>
          <cell r="H142" t="str">
            <v xml:space="preserve">Slightly Abundant </v>
          </cell>
          <cell r="I142">
            <v>754</v>
          </cell>
          <cell r="J142">
            <v>0</v>
          </cell>
        </row>
        <row r="143">
          <cell r="C143">
            <v>4311</v>
          </cell>
          <cell r="D143">
            <v>817</v>
          </cell>
          <cell r="E143">
            <v>12.3</v>
          </cell>
          <cell r="F143">
            <v>3.6</v>
          </cell>
          <cell r="G143">
            <v>0.66</v>
          </cell>
          <cell r="H143" t="str">
            <v>Small</v>
          </cell>
          <cell r="I143">
            <v>470</v>
          </cell>
          <cell r="J143">
            <v>0</v>
          </cell>
        </row>
        <row r="144">
          <cell r="C144">
            <v>4387</v>
          </cell>
          <cell r="D144">
            <v>745</v>
          </cell>
          <cell r="E144">
            <v>13.8</v>
          </cell>
          <cell r="F144">
            <v>3.34</v>
          </cell>
          <cell r="G144">
            <v>0.55000000000000004</v>
          </cell>
          <cell r="H144" t="str">
            <v>Moderate</v>
          </cell>
          <cell r="I144">
            <v>620</v>
          </cell>
          <cell r="J144">
            <v>0</v>
          </cell>
        </row>
        <row r="145">
          <cell r="C145">
            <v>4313</v>
          </cell>
          <cell r="D145">
            <v>782</v>
          </cell>
          <cell r="E145">
            <v>13.7</v>
          </cell>
          <cell r="F145">
            <v>2.8</v>
          </cell>
          <cell r="G145">
            <v>0.37</v>
          </cell>
          <cell r="H145" t="str">
            <v xml:space="preserve">Slight </v>
          </cell>
          <cell r="I145">
            <v>389</v>
          </cell>
          <cell r="J145" t="str">
            <v>A+</v>
          </cell>
        </row>
        <row r="146">
          <cell r="C146">
            <v>4565</v>
          </cell>
          <cell r="D146">
            <v>786</v>
          </cell>
          <cell r="E146">
            <v>12.8</v>
          </cell>
          <cell r="F146">
            <v>3.4</v>
          </cell>
          <cell r="G146">
            <v>0.56999999999999995</v>
          </cell>
          <cell r="H146" t="str">
            <v xml:space="preserve">Slightly Abundant </v>
          </cell>
          <cell r="I146">
            <v>788</v>
          </cell>
          <cell r="J146">
            <v>0</v>
          </cell>
        </row>
        <row r="147">
          <cell r="C147">
            <v>4651</v>
          </cell>
          <cell r="D147">
            <v>804</v>
          </cell>
          <cell r="E147">
            <v>13.4</v>
          </cell>
          <cell r="F147">
            <v>3.5</v>
          </cell>
          <cell r="G147">
            <v>0.63</v>
          </cell>
          <cell r="H147" t="str">
            <v>Small</v>
          </cell>
          <cell r="I147">
            <v>446</v>
          </cell>
          <cell r="J147">
            <v>0</v>
          </cell>
        </row>
        <row r="148">
          <cell r="C148">
            <v>4316</v>
          </cell>
          <cell r="D148">
            <v>735</v>
          </cell>
          <cell r="E148">
            <v>16.100000000000001</v>
          </cell>
          <cell r="F148">
            <v>2.9</v>
          </cell>
          <cell r="G148">
            <v>0.44</v>
          </cell>
          <cell r="H148" t="str">
            <v>Small</v>
          </cell>
          <cell r="I148">
            <v>463</v>
          </cell>
          <cell r="J148">
            <v>0</v>
          </cell>
        </row>
        <row r="149">
          <cell r="C149">
            <v>4762</v>
          </cell>
          <cell r="D149">
            <v>968</v>
          </cell>
          <cell r="E149">
            <v>15</v>
          </cell>
          <cell r="F149">
            <v>3.7</v>
          </cell>
          <cell r="G149">
            <v>0.71</v>
          </cell>
          <cell r="H149" t="str">
            <v>Moderate</v>
          </cell>
          <cell r="I149">
            <v>680</v>
          </cell>
          <cell r="J149">
            <v>0</v>
          </cell>
        </row>
        <row r="150">
          <cell r="C150">
            <v>4703</v>
          </cell>
          <cell r="D150">
            <v>863</v>
          </cell>
          <cell r="E150">
            <v>12.2</v>
          </cell>
          <cell r="F150">
            <v>3.3</v>
          </cell>
          <cell r="G150">
            <v>0.55000000000000004</v>
          </cell>
          <cell r="H150" t="str">
            <v>Modest</v>
          </cell>
          <cell r="I150">
            <v>595</v>
          </cell>
          <cell r="J150">
            <v>0</v>
          </cell>
        </row>
        <row r="151">
          <cell r="C151">
            <v>4773</v>
          </cell>
          <cell r="D151">
            <v>725</v>
          </cell>
          <cell r="E151">
            <v>13.2</v>
          </cell>
          <cell r="F151">
            <v>3.2</v>
          </cell>
          <cell r="G151">
            <v>0.63</v>
          </cell>
          <cell r="H151" t="str">
            <v>Small</v>
          </cell>
          <cell r="I151">
            <v>436</v>
          </cell>
          <cell r="J151">
            <v>0</v>
          </cell>
        </row>
        <row r="152">
          <cell r="C152">
            <v>4500</v>
          </cell>
          <cell r="D152">
            <v>848</v>
          </cell>
          <cell r="E152">
            <v>14.5</v>
          </cell>
          <cell r="F152">
            <v>3</v>
          </cell>
          <cell r="G152">
            <v>0.49</v>
          </cell>
          <cell r="H152" t="str">
            <v>Modest</v>
          </cell>
          <cell r="I152">
            <v>511</v>
          </cell>
          <cell r="J152" t="str">
            <v>A-</v>
          </cell>
        </row>
        <row r="153">
          <cell r="C153">
            <v>4450</v>
          </cell>
          <cell r="D153">
            <v>773</v>
          </cell>
          <cell r="E153">
            <v>11.9</v>
          </cell>
          <cell r="F153">
            <v>3.8</v>
          </cell>
          <cell r="G153">
            <v>0.72</v>
          </cell>
          <cell r="H153" t="str">
            <v>Small</v>
          </cell>
          <cell r="I153">
            <v>430</v>
          </cell>
          <cell r="J153" t="str">
            <v>A</v>
          </cell>
        </row>
        <row r="154">
          <cell r="C154">
            <v>4740</v>
          </cell>
          <cell r="D154">
            <v>776</v>
          </cell>
          <cell r="E154">
            <v>16.399999999999999</v>
          </cell>
          <cell r="F154">
            <v>3.4</v>
          </cell>
          <cell r="G154">
            <v>0.57999999999999996</v>
          </cell>
          <cell r="H154" t="str">
            <v>Modest</v>
          </cell>
          <cell r="I154">
            <v>566</v>
          </cell>
          <cell r="J154" t="str">
            <v>A+ AD</v>
          </cell>
        </row>
        <row r="155">
          <cell r="C155">
            <v>4621</v>
          </cell>
          <cell r="D155">
            <v>845</v>
          </cell>
          <cell r="E155">
            <v>14.1</v>
          </cell>
          <cell r="F155">
            <v>3</v>
          </cell>
          <cell r="G155">
            <v>0.38</v>
          </cell>
          <cell r="H155" t="str">
            <v>Small</v>
          </cell>
          <cell r="I155">
            <v>400</v>
          </cell>
          <cell r="J155">
            <v>0</v>
          </cell>
        </row>
        <row r="156">
          <cell r="C156">
            <v>4658</v>
          </cell>
          <cell r="D156">
            <v>877</v>
          </cell>
          <cell r="E156">
            <v>15.3</v>
          </cell>
          <cell r="F156">
            <v>3.5</v>
          </cell>
          <cell r="G156">
            <v>0.62</v>
          </cell>
          <cell r="H156" t="str">
            <v>Small</v>
          </cell>
          <cell r="I156">
            <v>461</v>
          </cell>
          <cell r="J156" t="str">
            <v>C</v>
          </cell>
        </row>
        <row r="157">
          <cell r="C157">
            <v>4341</v>
          </cell>
          <cell r="D157">
            <v>814</v>
          </cell>
          <cell r="E157">
            <v>12.9</v>
          </cell>
          <cell r="F157">
            <v>3.4</v>
          </cell>
          <cell r="G157">
            <v>0.55999999999999994</v>
          </cell>
          <cell r="H157" t="str">
            <v>Small</v>
          </cell>
          <cell r="I157">
            <v>431</v>
          </cell>
          <cell r="J157">
            <v>0</v>
          </cell>
        </row>
        <row r="158">
          <cell r="C158">
            <v>4370</v>
          </cell>
          <cell r="D158">
            <v>755</v>
          </cell>
          <cell r="E158">
            <v>10.1</v>
          </cell>
          <cell r="F158">
            <v>3.8</v>
          </cell>
          <cell r="G158">
            <v>0.72</v>
          </cell>
          <cell r="H158" t="str">
            <v>Moderate</v>
          </cell>
          <cell r="I158">
            <v>628</v>
          </cell>
          <cell r="J158" t="str">
            <v>A-</v>
          </cell>
        </row>
        <row r="159">
          <cell r="C159">
            <v>4444</v>
          </cell>
          <cell r="D159">
            <v>799</v>
          </cell>
          <cell r="E159">
            <v>15.3</v>
          </cell>
          <cell r="F159">
            <v>3.3</v>
          </cell>
          <cell r="G159">
            <v>0.51</v>
          </cell>
          <cell r="H159" t="str">
            <v xml:space="preserve">Slight </v>
          </cell>
          <cell r="I159">
            <v>394</v>
          </cell>
          <cell r="J159">
            <v>0</v>
          </cell>
        </row>
        <row r="160">
          <cell r="C160">
            <v>4716</v>
          </cell>
          <cell r="D160">
            <v>765</v>
          </cell>
          <cell r="E160">
            <v>14.2</v>
          </cell>
          <cell r="F160">
            <v>3</v>
          </cell>
          <cell r="G160">
            <v>0.47</v>
          </cell>
          <cell r="H160" t="str">
            <v>Modest</v>
          </cell>
          <cell r="I160">
            <v>570</v>
          </cell>
          <cell r="J160">
            <v>0</v>
          </cell>
        </row>
        <row r="161">
          <cell r="C161">
            <v>4443</v>
          </cell>
          <cell r="D161">
            <v>828</v>
          </cell>
          <cell r="E161">
            <v>15.8</v>
          </cell>
          <cell r="F161">
            <v>2.9</v>
          </cell>
          <cell r="G161">
            <v>0.36</v>
          </cell>
          <cell r="H161" t="str">
            <v>Moderate</v>
          </cell>
          <cell r="I161">
            <v>634</v>
          </cell>
          <cell r="J161">
            <v>0</v>
          </cell>
        </row>
        <row r="162">
          <cell r="C162">
            <v>4415</v>
          </cell>
          <cell r="D162">
            <v>806</v>
          </cell>
          <cell r="E162">
            <v>13.83</v>
          </cell>
          <cell r="F162">
            <v>3.8</v>
          </cell>
          <cell r="G162">
            <v>0.8</v>
          </cell>
          <cell r="H162" t="str">
            <v>Small</v>
          </cell>
          <cell r="I162">
            <v>479</v>
          </cell>
          <cell r="J162" t="str">
            <v>C</v>
          </cell>
        </row>
        <row r="163">
          <cell r="C163">
            <v>4548</v>
          </cell>
          <cell r="D163">
            <v>816</v>
          </cell>
          <cell r="E163">
            <v>14.3</v>
          </cell>
          <cell r="F163">
            <v>3</v>
          </cell>
          <cell r="G163">
            <v>0.49</v>
          </cell>
          <cell r="H163" t="str">
            <v>Small</v>
          </cell>
          <cell r="I163">
            <v>452</v>
          </cell>
          <cell r="J163">
            <v>0</v>
          </cell>
        </row>
        <row r="164">
          <cell r="C164">
            <v>4365</v>
          </cell>
          <cell r="D164">
            <v>710</v>
          </cell>
          <cell r="E164">
            <v>11</v>
          </cell>
          <cell r="F164">
            <v>3.3</v>
          </cell>
          <cell r="G164">
            <v>0.54</v>
          </cell>
          <cell r="H164" t="str">
            <v>Moderate</v>
          </cell>
          <cell r="I164">
            <v>615</v>
          </cell>
          <cell r="J164">
            <v>0</v>
          </cell>
        </row>
        <row r="165">
          <cell r="C165">
            <v>4511</v>
          </cell>
          <cell r="D165">
            <v>789</v>
          </cell>
          <cell r="E165">
            <v>13.6</v>
          </cell>
          <cell r="F165">
            <v>3.3</v>
          </cell>
          <cell r="G165">
            <v>0.55000000000000004</v>
          </cell>
          <cell r="H165" t="str">
            <v>Small</v>
          </cell>
          <cell r="I165">
            <v>406</v>
          </cell>
          <cell r="J165" t="str">
            <v>A-</v>
          </cell>
        </row>
        <row r="166">
          <cell r="C166">
            <v>4333</v>
          </cell>
          <cell r="D166">
            <v>718</v>
          </cell>
          <cell r="E166">
            <v>13.9</v>
          </cell>
          <cell r="F166">
            <v>3.6</v>
          </cell>
          <cell r="G166">
            <v>0.68</v>
          </cell>
          <cell r="H166" t="str">
            <v>Modest</v>
          </cell>
          <cell r="I166">
            <v>502</v>
          </cell>
          <cell r="J166">
            <v>0</v>
          </cell>
        </row>
        <row r="167">
          <cell r="C167">
            <v>4535</v>
          </cell>
          <cell r="D167">
            <v>825</v>
          </cell>
          <cell r="E167">
            <v>15.9</v>
          </cell>
          <cell r="F167">
            <v>2.8</v>
          </cell>
          <cell r="G167">
            <v>0.53</v>
          </cell>
          <cell r="H167" t="str">
            <v>Small</v>
          </cell>
          <cell r="I167">
            <v>415</v>
          </cell>
          <cell r="J167">
            <v>0</v>
          </cell>
        </row>
        <row r="168">
          <cell r="C168">
            <v>4767</v>
          </cell>
          <cell r="D168">
            <v>779</v>
          </cell>
          <cell r="E168">
            <v>15.9</v>
          </cell>
          <cell r="F168">
            <v>2.8</v>
          </cell>
          <cell r="G168">
            <v>0.45</v>
          </cell>
          <cell r="H168" t="str">
            <v>Small</v>
          </cell>
          <cell r="I168">
            <v>428</v>
          </cell>
          <cell r="J168" t="str">
            <v>A</v>
          </cell>
        </row>
        <row r="169">
          <cell r="C169">
            <v>4490</v>
          </cell>
          <cell r="D169">
            <v>811</v>
          </cell>
          <cell r="E169">
            <v>15</v>
          </cell>
          <cell r="F169">
            <v>2.8</v>
          </cell>
          <cell r="G169">
            <v>0.31999999999999995</v>
          </cell>
          <cell r="H169" t="str">
            <v>Modest</v>
          </cell>
          <cell r="I169">
            <v>531</v>
          </cell>
          <cell r="J169" t="str">
            <v>A-</v>
          </cell>
        </row>
        <row r="170">
          <cell r="C170">
            <v>4578</v>
          </cell>
          <cell r="D170">
            <v>878</v>
          </cell>
          <cell r="E170">
            <v>15.7</v>
          </cell>
          <cell r="F170">
            <v>3.1</v>
          </cell>
          <cell r="G170">
            <v>0.48</v>
          </cell>
          <cell r="H170" t="str">
            <v>Small</v>
          </cell>
          <cell r="I170">
            <v>428</v>
          </cell>
          <cell r="J170" t="str">
            <v>A-</v>
          </cell>
        </row>
        <row r="171">
          <cell r="C171">
            <v>4702</v>
          </cell>
          <cell r="D171">
            <v>805</v>
          </cell>
          <cell r="E171">
            <v>14.4</v>
          </cell>
          <cell r="F171">
            <v>2.8</v>
          </cell>
          <cell r="G171">
            <v>0.43</v>
          </cell>
          <cell r="H171" t="str">
            <v>Slight</v>
          </cell>
          <cell r="I171">
            <v>350</v>
          </cell>
          <cell r="J171" t="str">
            <v>C</v>
          </cell>
        </row>
        <row r="172">
          <cell r="C172">
            <v>4765</v>
          </cell>
          <cell r="D172">
            <v>796</v>
          </cell>
          <cell r="E172">
            <v>13.4</v>
          </cell>
          <cell r="F172">
            <v>4.0999999999999996</v>
          </cell>
          <cell r="G172">
            <v>1</v>
          </cell>
          <cell r="H172" t="str">
            <v>Modest</v>
          </cell>
          <cell r="I172">
            <v>531</v>
          </cell>
          <cell r="J172" t="str">
            <v>A+</v>
          </cell>
        </row>
        <row r="173">
          <cell r="C173">
            <v>4504</v>
          </cell>
          <cell r="D173">
            <v>912</v>
          </cell>
          <cell r="E173">
            <v>15.1</v>
          </cell>
          <cell r="F173">
            <v>3.6</v>
          </cell>
          <cell r="G173">
            <v>0.76</v>
          </cell>
          <cell r="H173" t="str">
            <v>Modest</v>
          </cell>
          <cell r="I173">
            <v>555</v>
          </cell>
          <cell r="J173" t="str">
            <v>A-</v>
          </cell>
        </row>
        <row r="174">
          <cell r="C174">
            <v>4518</v>
          </cell>
          <cell r="D174">
            <v>685</v>
          </cell>
          <cell r="E174">
            <v>12.6</v>
          </cell>
          <cell r="F174">
            <v>3.4</v>
          </cell>
          <cell r="G174">
            <v>0.6</v>
          </cell>
          <cell r="H174" t="str">
            <v>Small</v>
          </cell>
          <cell r="I174">
            <v>466</v>
          </cell>
          <cell r="J174">
            <v>0</v>
          </cell>
        </row>
        <row r="175">
          <cell r="C175">
            <v>4769</v>
          </cell>
          <cell r="D175">
            <v>885</v>
          </cell>
          <cell r="E175">
            <v>16.5</v>
          </cell>
          <cell r="F175">
            <v>3.2</v>
          </cell>
          <cell r="G175">
            <v>0.66</v>
          </cell>
          <cell r="H175" t="str">
            <v>Small</v>
          </cell>
          <cell r="I175">
            <v>490</v>
          </cell>
          <cell r="J175">
            <v>0</v>
          </cell>
        </row>
        <row r="176">
          <cell r="C176">
            <v>4427</v>
          </cell>
          <cell r="D176">
            <v>781</v>
          </cell>
          <cell r="E176">
            <v>14.6</v>
          </cell>
          <cell r="F176">
            <v>2.8</v>
          </cell>
          <cell r="G176">
            <v>0.47</v>
          </cell>
          <cell r="H176" t="str">
            <v>Small</v>
          </cell>
          <cell r="I176">
            <v>420</v>
          </cell>
          <cell r="J176">
            <v>0</v>
          </cell>
        </row>
        <row r="177">
          <cell r="C177">
            <v>4652</v>
          </cell>
          <cell r="D177">
            <v>880</v>
          </cell>
          <cell r="E177">
            <v>13.5</v>
          </cell>
          <cell r="F177">
            <v>3.9</v>
          </cell>
          <cell r="G177">
            <v>0.76</v>
          </cell>
          <cell r="H177" t="str">
            <v>Modest</v>
          </cell>
          <cell r="I177">
            <v>533</v>
          </cell>
          <cell r="J177">
            <v>0</v>
          </cell>
        </row>
        <row r="178">
          <cell r="C178">
            <v>4315</v>
          </cell>
          <cell r="D178">
            <v>750</v>
          </cell>
          <cell r="E178">
            <v>14.1</v>
          </cell>
          <cell r="F178">
            <v>3.6</v>
          </cell>
          <cell r="G178">
            <v>0.66</v>
          </cell>
          <cell r="H178" t="str">
            <v>Small</v>
          </cell>
          <cell r="I178">
            <v>469</v>
          </cell>
          <cell r="J178">
            <v>0</v>
          </cell>
        </row>
        <row r="179">
          <cell r="C179">
            <v>4638</v>
          </cell>
          <cell r="D179">
            <v>760</v>
          </cell>
          <cell r="E179">
            <v>14.9</v>
          </cell>
          <cell r="F179">
            <v>3.05</v>
          </cell>
          <cell r="G179">
            <v>0.47799999999999998</v>
          </cell>
          <cell r="H179" t="str">
            <v>Small</v>
          </cell>
          <cell r="I179">
            <v>460</v>
          </cell>
          <cell r="J179" t="str">
            <v>A+</v>
          </cell>
        </row>
        <row r="180">
          <cell r="C180">
            <v>4322</v>
          </cell>
          <cell r="D180">
            <v>736</v>
          </cell>
          <cell r="E180">
            <v>13.4</v>
          </cell>
          <cell r="F180">
            <v>3.25</v>
          </cell>
          <cell r="G180">
            <v>0.52400000000000002</v>
          </cell>
          <cell r="H180" t="str">
            <v>Modest</v>
          </cell>
          <cell r="I180">
            <v>550</v>
          </cell>
          <cell r="J180" t="str">
            <v>A+</v>
          </cell>
        </row>
        <row r="181">
          <cell r="C181">
            <v>4698</v>
          </cell>
          <cell r="D181">
            <v>924</v>
          </cell>
          <cell r="E181">
            <v>13.3</v>
          </cell>
          <cell r="F181">
            <v>3.4</v>
          </cell>
          <cell r="G181">
            <v>0.59</v>
          </cell>
          <cell r="H181" t="str">
            <v>Small</v>
          </cell>
          <cell r="I181">
            <v>450</v>
          </cell>
          <cell r="J181" t="str">
            <v>A-</v>
          </cell>
        </row>
        <row r="182">
          <cell r="C182">
            <v>4755</v>
          </cell>
          <cell r="D182">
            <v>889</v>
          </cell>
          <cell r="E182">
            <v>15.18</v>
          </cell>
          <cell r="F182">
            <v>3.3</v>
          </cell>
          <cell r="G182">
            <v>0.66</v>
          </cell>
          <cell r="H182" t="str">
            <v>Modest</v>
          </cell>
          <cell r="I182">
            <v>532</v>
          </cell>
          <cell r="J182" t="str">
            <v>C</v>
          </cell>
        </row>
        <row r="183">
          <cell r="C183">
            <v>4611</v>
          </cell>
          <cell r="D183">
            <v>818</v>
          </cell>
          <cell r="E183">
            <v>14.2</v>
          </cell>
          <cell r="F183">
            <v>3.3</v>
          </cell>
          <cell r="G183">
            <v>0.54</v>
          </cell>
          <cell r="H183" t="str">
            <v>Small</v>
          </cell>
          <cell r="I183">
            <v>464</v>
          </cell>
          <cell r="J183">
            <v>0</v>
          </cell>
        </row>
        <row r="184">
          <cell r="C184">
            <v>4563</v>
          </cell>
          <cell r="D184">
            <v>788</v>
          </cell>
          <cell r="E184">
            <v>14.9</v>
          </cell>
          <cell r="F184">
            <v>3.2</v>
          </cell>
          <cell r="G184">
            <v>0.58399999999999996</v>
          </cell>
          <cell r="H184" t="str">
            <v>Modest</v>
          </cell>
          <cell r="I184">
            <v>503</v>
          </cell>
          <cell r="J184">
            <v>0</v>
          </cell>
        </row>
        <row r="185">
          <cell r="C185">
            <v>4376</v>
          </cell>
          <cell r="D185">
            <v>787</v>
          </cell>
          <cell r="E185">
            <v>13.7</v>
          </cell>
          <cell r="F185">
            <v>3.1</v>
          </cell>
          <cell r="G185">
            <v>0.53200000000000003</v>
          </cell>
          <cell r="H185" t="str">
            <v>Modest</v>
          </cell>
          <cell r="I185">
            <v>584</v>
          </cell>
          <cell r="J185" t="str">
            <v>C</v>
          </cell>
        </row>
        <row r="186">
          <cell r="C186">
            <v>4355</v>
          </cell>
          <cell r="D186">
            <v>803</v>
          </cell>
          <cell r="E186">
            <v>13.4</v>
          </cell>
          <cell r="F186">
            <v>3.6</v>
          </cell>
          <cell r="G186">
            <v>0.82</v>
          </cell>
          <cell r="H186" t="str">
            <v>Moderate</v>
          </cell>
          <cell r="I186">
            <v>685</v>
          </cell>
          <cell r="J186">
            <v>0</v>
          </cell>
        </row>
        <row r="187">
          <cell r="C187">
            <v>4350</v>
          </cell>
          <cell r="D187">
            <v>759</v>
          </cell>
          <cell r="E187">
            <v>13.8</v>
          </cell>
          <cell r="F187">
            <v>3.1</v>
          </cell>
          <cell r="G187">
            <v>0.45600000000000002</v>
          </cell>
          <cell r="H187" t="str">
            <v>Moderate</v>
          </cell>
          <cell r="I187">
            <v>641</v>
          </cell>
          <cell r="J187" t="str">
            <v>A-</v>
          </cell>
        </row>
        <row r="188">
          <cell r="C188">
            <v>4485</v>
          </cell>
          <cell r="D188">
            <v>916</v>
          </cell>
          <cell r="E188">
            <v>14.4</v>
          </cell>
          <cell r="F188">
            <v>3.5</v>
          </cell>
          <cell r="G188">
            <v>0.71</v>
          </cell>
          <cell r="H188" t="str">
            <v>Slightly Abundant</v>
          </cell>
          <cell r="I188">
            <v>722</v>
          </cell>
          <cell r="J188">
            <v>0</v>
          </cell>
        </row>
        <row r="189">
          <cell r="C189">
            <v>4701</v>
          </cell>
          <cell r="D189">
            <v>973</v>
          </cell>
          <cell r="E189">
            <v>17.79</v>
          </cell>
          <cell r="F189">
            <v>3.6</v>
          </cell>
          <cell r="G189">
            <v>0.85</v>
          </cell>
          <cell r="H189" t="str">
            <v>Slightly Abundant</v>
          </cell>
          <cell r="I189">
            <v>797</v>
          </cell>
          <cell r="J189" t="str">
            <v>C</v>
          </cell>
        </row>
        <row r="190">
          <cell r="C190">
            <v>4446</v>
          </cell>
          <cell r="D190">
            <v>697</v>
          </cell>
          <cell r="E190">
            <v>14.2</v>
          </cell>
          <cell r="F190">
            <v>3.21</v>
          </cell>
          <cell r="G190">
            <v>0.56999999999999995</v>
          </cell>
          <cell r="H190" t="str">
            <v>Modest</v>
          </cell>
          <cell r="I190">
            <v>557</v>
          </cell>
          <cell r="J190" t="str">
            <v>A-</v>
          </cell>
        </row>
        <row r="191">
          <cell r="C191">
            <v>4404</v>
          </cell>
          <cell r="D191">
            <v>874</v>
          </cell>
          <cell r="E191">
            <v>14.4</v>
          </cell>
          <cell r="F191">
            <v>3.2</v>
          </cell>
          <cell r="G191">
            <v>0.49</v>
          </cell>
          <cell r="H191" t="str">
            <v>Modest</v>
          </cell>
          <cell r="I191">
            <v>584</v>
          </cell>
          <cell r="J191" t="str">
            <v>C</v>
          </cell>
        </row>
        <row r="192">
          <cell r="C192">
            <v>4423</v>
          </cell>
          <cell r="D192">
            <v>676</v>
          </cell>
          <cell r="E192">
            <v>12.72</v>
          </cell>
          <cell r="F192">
            <v>2.8</v>
          </cell>
          <cell r="G192">
            <v>0.37</v>
          </cell>
          <cell r="H192" t="str">
            <v>Small</v>
          </cell>
          <cell r="I192">
            <v>484</v>
          </cell>
          <cell r="J192" t="str">
            <v>A-</v>
          </cell>
        </row>
        <row r="193">
          <cell r="C193">
            <v>4407</v>
          </cell>
          <cell r="D193">
            <v>828</v>
          </cell>
          <cell r="E193">
            <v>14.5</v>
          </cell>
          <cell r="F193">
            <v>3.44</v>
          </cell>
          <cell r="G193">
            <v>0.66400000000000003</v>
          </cell>
          <cell r="H193" t="str">
            <v>Slightly Abundant</v>
          </cell>
          <cell r="I193">
            <v>714</v>
          </cell>
          <cell r="J193" t="str">
            <v>C</v>
          </cell>
        </row>
        <row r="194">
          <cell r="C194">
            <v>4700</v>
          </cell>
          <cell r="D194">
            <v>841</v>
          </cell>
          <cell r="E194">
            <v>12.15</v>
          </cell>
          <cell r="F194">
            <v>3.7</v>
          </cell>
          <cell r="G194">
            <v>0.73199999999999998</v>
          </cell>
          <cell r="H194" t="str">
            <v>Modest</v>
          </cell>
          <cell r="I194">
            <v>524</v>
          </cell>
          <cell r="J194">
            <v>0</v>
          </cell>
        </row>
        <row r="195">
          <cell r="C195">
            <v>4706</v>
          </cell>
          <cell r="D195">
            <v>974</v>
          </cell>
          <cell r="E195">
            <v>15.1</v>
          </cell>
          <cell r="F195">
            <v>3.4</v>
          </cell>
          <cell r="G195">
            <v>0.63</v>
          </cell>
          <cell r="H195" t="str">
            <v>Modest</v>
          </cell>
          <cell r="I195">
            <v>522</v>
          </cell>
          <cell r="J195" t="str">
            <v>A-</v>
          </cell>
        </row>
        <row r="196">
          <cell r="C196">
            <v>4673</v>
          </cell>
          <cell r="D196">
            <v>934</v>
          </cell>
          <cell r="E196">
            <v>15.1</v>
          </cell>
          <cell r="F196">
            <v>3.8</v>
          </cell>
          <cell r="G196">
            <v>0.74</v>
          </cell>
          <cell r="H196" t="str">
            <v>Modest</v>
          </cell>
          <cell r="I196">
            <v>537</v>
          </cell>
          <cell r="J196" t="str">
            <v>A-</v>
          </cell>
        </row>
        <row r="197">
          <cell r="C197">
            <v>4522</v>
          </cell>
          <cell r="D197">
            <v>763</v>
          </cell>
          <cell r="E197">
            <v>14.4</v>
          </cell>
          <cell r="F197">
            <v>3.3</v>
          </cell>
          <cell r="G197">
            <v>0.51</v>
          </cell>
          <cell r="H197" t="str">
            <v>Small</v>
          </cell>
          <cell r="I197">
            <v>469</v>
          </cell>
          <cell r="J197">
            <v>0</v>
          </cell>
        </row>
        <row r="198">
          <cell r="C198">
            <v>4726</v>
          </cell>
          <cell r="D198">
            <v>859</v>
          </cell>
          <cell r="E198">
            <v>16</v>
          </cell>
          <cell r="F198">
            <v>3.6</v>
          </cell>
          <cell r="G198">
            <v>0.78</v>
          </cell>
          <cell r="H198" t="str">
            <v>Moderate</v>
          </cell>
          <cell r="I198">
            <v>648</v>
          </cell>
          <cell r="J198" t="str">
            <v>A-</v>
          </cell>
        </row>
        <row r="199">
          <cell r="C199">
            <v>4336</v>
          </cell>
          <cell r="D199">
            <v>806</v>
          </cell>
          <cell r="E199">
            <v>12.2</v>
          </cell>
          <cell r="F199">
            <v>3.82</v>
          </cell>
          <cell r="G199">
            <v>0.79</v>
          </cell>
          <cell r="H199" t="str">
            <v>Slightly Abundant</v>
          </cell>
          <cell r="I199">
            <v>764</v>
          </cell>
          <cell r="J199">
            <v>0</v>
          </cell>
        </row>
        <row r="200">
          <cell r="C200">
            <v>4437</v>
          </cell>
          <cell r="D200">
            <v>774</v>
          </cell>
          <cell r="E200">
            <v>12.6</v>
          </cell>
          <cell r="F200">
            <v>3.3</v>
          </cell>
          <cell r="G200">
            <v>0.57999999999999996</v>
          </cell>
          <cell r="H200" t="str">
            <v>Slightly Abundant</v>
          </cell>
          <cell r="I200">
            <v>708</v>
          </cell>
          <cell r="J200">
            <v>0</v>
          </cell>
        </row>
        <row r="201">
          <cell r="C201">
            <v>4531</v>
          </cell>
          <cell r="D201">
            <v>571</v>
          </cell>
          <cell r="E201">
            <v>13.2</v>
          </cell>
          <cell r="F201">
            <v>2.2000000000000002</v>
          </cell>
          <cell r="G201">
            <v>0.14000000000000001</v>
          </cell>
          <cell r="H201" t="str">
            <v>Traces No Grade</v>
          </cell>
          <cell r="I201">
            <v>284</v>
          </cell>
          <cell r="J201">
            <v>0</v>
          </cell>
        </row>
        <row r="202">
          <cell r="C202">
            <v>4421</v>
          </cell>
          <cell r="D202">
            <v>794</v>
          </cell>
          <cell r="E202">
            <v>11.97</v>
          </cell>
          <cell r="F202">
            <v>3.3</v>
          </cell>
          <cell r="G202">
            <v>0.57599999999999996</v>
          </cell>
          <cell r="H202" t="str">
            <v>Modest</v>
          </cell>
          <cell r="I202">
            <v>519</v>
          </cell>
          <cell r="J202">
            <v>0</v>
          </cell>
        </row>
        <row r="203">
          <cell r="C203">
            <v>4646</v>
          </cell>
          <cell r="D203">
            <v>880</v>
          </cell>
          <cell r="E203">
            <v>13.4</v>
          </cell>
          <cell r="F203">
            <v>3.92</v>
          </cell>
          <cell r="G203">
            <v>0.82799999999999996</v>
          </cell>
          <cell r="H203" t="str">
            <v>Moderately Abundant</v>
          </cell>
          <cell r="I203">
            <v>824</v>
          </cell>
          <cell r="J203">
            <v>0</v>
          </cell>
        </row>
        <row r="204">
          <cell r="C204">
            <v>4661</v>
          </cell>
          <cell r="D204">
            <v>807</v>
          </cell>
          <cell r="E204">
            <v>14.1</v>
          </cell>
          <cell r="F204">
            <v>3.3</v>
          </cell>
          <cell r="G204">
            <v>0.59599999999999997</v>
          </cell>
          <cell r="H204" t="str">
            <v xml:space="preserve">Slight </v>
          </cell>
          <cell r="I204">
            <v>363</v>
          </cell>
          <cell r="J204" t="str">
            <v>C</v>
          </cell>
        </row>
        <row r="205">
          <cell r="C205">
            <v>4348</v>
          </cell>
          <cell r="D205">
            <v>752</v>
          </cell>
          <cell r="E205">
            <v>11.9</v>
          </cell>
          <cell r="F205">
            <v>3.2</v>
          </cell>
          <cell r="G205">
            <v>0.61599999999999999</v>
          </cell>
          <cell r="H205" t="str">
            <v>Modest</v>
          </cell>
          <cell r="I205">
            <v>532</v>
          </cell>
          <cell r="J205" t="str">
            <v>C</v>
          </cell>
        </row>
        <row r="206">
          <cell r="C206">
            <v>4345</v>
          </cell>
          <cell r="D206">
            <v>731</v>
          </cell>
          <cell r="E206">
            <v>12.2</v>
          </cell>
          <cell r="F206">
            <v>3.6</v>
          </cell>
          <cell r="G206">
            <v>0.71</v>
          </cell>
          <cell r="H206" t="str">
            <v>Modest</v>
          </cell>
          <cell r="I206">
            <v>552</v>
          </cell>
          <cell r="J206" t="str">
            <v>A-</v>
          </cell>
        </row>
        <row r="207">
          <cell r="C207">
            <v>4708</v>
          </cell>
          <cell r="D207">
            <v>873</v>
          </cell>
          <cell r="E207">
            <v>14.7</v>
          </cell>
          <cell r="F207">
            <v>3.9</v>
          </cell>
          <cell r="G207">
            <v>0.79</v>
          </cell>
          <cell r="H207" t="str">
            <v xml:space="preserve">Moderate </v>
          </cell>
          <cell r="I207">
            <v>671</v>
          </cell>
          <cell r="J207">
            <v>0</v>
          </cell>
        </row>
        <row r="208">
          <cell r="C208">
            <v>4497</v>
          </cell>
          <cell r="D208">
            <v>793</v>
          </cell>
          <cell r="E208">
            <v>13.8</v>
          </cell>
          <cell r="F208">
            <v>3.4</v>
          </cell>
          <cell r="G208">
            <v>0.64</v>
          </cell>
          <cell r="H208" t="str">
            <v>Moderate</v>
          </cell>
          <cell r="I208">
            <v>601</v>
          </cell>
          <cell r="J208">
            <v>0</v>
          </cell>
        </row>
        <row r="209">
          <cell r="C209">
            <v>4524</v>
          </cell>
          <cell r="D209">
            <v>828</v>
          </cell>
          <cell r="E209">
            <v>13.5</v>
          </cell>
          <cell r="F209">
            <v>3.2</v>
          </cell>
          <cell r="G209">
            <v>0.59</v>
          </cell>
          <cell r="H209" t="str">
            <v>Moderately Abundant</v>
          </cell>
          <cell r="I209">
            <v>816</v>
          </cell>
          <cell r="J209">
            <v>0</v>
          </cell>
        </row>
        <row r="210">
          <cell r="C210">
            <v>4696</v>
          </cell>
          <cell r="D210">
            <v>838</v>
          </cell>
          <cell r="E210">
            <v>13</v>
          </cell>
          <cell r="F210">
            <v>2.7</v>
          </cell>
          <cell r="G210">
            <v>0.36399999999999999</v>
          </cell>
          <cell r="H210" t="str">
            <v>Modest</v>
          </cell>
          <cell r="I210">
            <v>502</v>
          </cell>
          <cell r="J210">
            <v>0</v>
          </cell>
        </row>
        <row r="211">
          <cell r="C211">
            <v>4692</v>
          </cell>
          <cell r="D211">
            <v>894</v>
          </cell>
          <cell r="E211">
            <v>15.1</v>
          </cell>
          <cell r="F211">
            <v>2.5</v>
          </cell>
          <cell r="G211">
            <v>0.3</v>
          </cell>
          <cell r="H211" t="str">
            <v>Modest</v>
          </cell>
          <cell r="I211">
            <v>526</v>
          </cell>
          <cell r="J211" t="str">
            <v>A-</v>
          </cell>
        </row>
        <row r="212">
          <cell r="C212">
            <v>4554</v>
          </cell>
          <cell r="D212">
            <v>677</v>
          </cell>
          <cell r="E212">
            <v>13.9</v>
          </cell>
          <cell r="F212">
            <v>2.7</v>
          </cell>
          <cell r="G212">
            <v>0.48399999999999999</v>
          </cell>
          <cell r="H212" t="str">
            <v>Small</v>
          </cell>
          <cell r="I212">
            <v>488</v>
          </cell>
          <cell r="J212" t="str">
            <v>A</v>
          </cell>
        </row>
        <row r="213">
          <cell r="C213">
            <v>4736</v>
          </cell>
          <cell r="D213">
            <v>795</v>
          </cell>
          <cell r="E213">
            <v>13.4</v>
          </cell>
          <cell r="F213">
            <v>3.2</v>
          </cell>
          <cell r="G213">
            <v>0.52</v>
          </cell>
          <cell r="H213" t="str">
            <v>Small</v>
          </cell>
          <cell r="I213">
            <v>481</v>
          </cell>
          <cell r="J213" t="str">
            <v>A-</v>
          </cell>
        </row>
        <row r="214">
          <cell r="C214">
            <v>4744</v>
          </cell>
          <cell r="D214">
            <v>876</v>
          </cell>
          <cell r="E214">
            <v>17.7</v>
          </cell>
          <cell r="F214">
            <v>3.3</v>
          </cell>
          <cell r="G214">
            <v>0.63</v>
          </cell>
          <cell r="H214" t="str">
            <v xml:space="preserve">Slight </v>
          </cell>
          <cell r="I214">
            <v>367</v>
          </cell>
          <cell r="J214" t="str">
            <v>C</v>
          </cell>
        </row>
        <row r="215">
          <cell r="C215">
            <v>4472</v>
          </cell>
          <cell r="D215">
            <v>791</v>
          </cell>
          <cell r="E215">
            <v>12.1</v>
          </cell>
          <cell r="F215">
            <v>3.7</v>
          </cell>
          <cell r="G215">
            <v>0.69</v>
          </cell>
          <cell r="H215" t="str">
            <v>Modest</v>
          </cell>
          <cell r="I215">
            <v>582</v>
          </cell>
          <cell r="J215">
            <v>0</v>
          </cell>
        </row>
        <row r="216">
          <cell r="C216">
            <v>4425</v>
          </cell>
          <cell r="D216">
            <v>707</v>
          </cell>
          <cell r="E216">
            <v>13.7</v>
          </cell>
          <cell r="F216">
            <v>3.2</v>
          </cell>
          <cell r="G216">
            <v>0.54</v>
          </cell>
          <cell r="H216" t="str">
            <v>Small</v>
          </cell>
          <cell r="I216">
            <v>487</v>
          </cell>
          <cell r="J216">
            <v>0</v>
          </cell>
        </row>
        <row r="217">
          <cell r="C217">
            <v>4560</v>
          </cell>
          <cell r="D217">
            <v>912</v>
          </cell>
          <cell r="E217">
            <v>14.14</v>
          </cell>
          <cell r="F217">
            <v>3.3</v>
          </cell>
          <cell r="G217">
            <v>0.72</v>
          </cell>
          <cell r="H217" t="str">
            <v>Moderately Abundant</v>
          </cell>
          <cell r="I217">
            <v>816</v>
          </cell>
          <cell r="J217">
            <v>0</v>
          </cell>
        </row>
        <row r="218">
          <cell r="C218">
            <v>4639</v>
          </cell>
          <cell r="D218">
            <v>774</v>
          </cell>
          <cell r="E218">
            <v>12.7</v>
          </cell>
          <cell r="F218">
            <v>3.9</v>
          </cell>
          <cell r="G218">
            <v>0.76</v>
          </cell>
          <cell r="H218" t="str">
            <v xml:space="preserve">Moderate </v>
          </cell>
          <cell r="I218">
            <v>684</v>
          </cell>
          <cell r="J218" t="str">
            <v>A-</v>
          </cell>
        </row>
        <row r="219">
          <cell r="C219">
            <v>4727</v>
          </cell>
          <cell r="D219">
            <v>892</v>
          </cell>
          <cell r="E219">
            <v>13.3</v>
          </cell>
          <cell r="F219">
            <v>3.8</v>
          </cell>
          <cell r="G219">
            <v>0.84</v>
          </cell>
          <cell r="H219" t="str">
            <v>Modest</v>
          </cell>
          <cell r="I219">
            <v>530</v>
          </cell>
          <cell r="J219">
            <v>0</v>
          </cell>
        </row>
        <row r="220">
          <cell r="C220">
            <v>4361</v>
          </cell>
          <cell r="D220">
            <v>743</v>
          </cell>
          <cell r="E220">
            <v>13.57</v>
          </cell>
          <cell r="F220">
            <v>3.26</v>
          </cell>
          <cell r="G220">
            <v>0.54400000000000004</v>
          </cell>
          <cell r="H220" t="str">
            <v>Small</v>
          </cell>
          <cell r="I220">
            <v>452</v>
          </cell>
          <cell r="J220" t="str">
            <v>A-</v>
          </cell>
        </row>
        <row r="221">
          <cell r="C221">
            <v>4750</v>
          </cell>
          <cell r="D221">
            <v>777</v>
          </cell>
          <cell r="E221">
            <v>12.8</v>
          </cell>
          <cell r="F221">
            <v>3.2</v>
          </cell>
          <cell r="G221">
            <v>0.58399999999999996</v>
          </cell>
          <cell r="H221" t="str">
            <v>Slight</v>
          </cell>
          <cell r="I221">
            <v>362</v>
          </cell>
          <cell r="J221" t="str">
            <v>C</v>
          </cell>
        </row>
        <row r="222">
          <cell r="C222">
            <v>4603</v>
          </cell>
          <cell r="D222">
            <v>866</v>
          </cell>
          <cell r="E222">
            <v>14.5</v>
          </cell>
          <cell r="F222">
            <v>3.5</v>
          </cell>
          <cell r="G222">
            <v>0.71</v>
          </cell>
          <cell r="H222" t="str">
            <v>Small</v>
          </cell>
          <cell r="I222">
            <v>411</v>
          </cell>
          <cell r="J222" t="str">
            <v>C</v>
          </cell>
        </row>
        <row r="223">
          <cell r="C223">
            <v>4503</v>
          </cell>
          <cell r="D223">
            <v>828</v>
          </cell>
          <cell r="E223">
            <v>15.1</v>
          </cell>
          <cell r="F223">
            <v>3.5</v>
          </cell>
          <cell r="G223">
            <v>0.61</v>
          </cell>
          <cell r="H223" t="str">
            <v>Moderate</v>
          </cell>
          <cell r="I223">
            <v>653</v>
          </cell>
          <cell r="J223">
            <v>0</v>
          </cell>
        </row>
        <row r="224">
          <cell r="C224">
            <v>4463</v>
          </cell>
          <cell r="D224">
            <v>733</v>
          </cell>
          <cell r="E224">
            <v>12.65</v>
          </cell>
          <cell r="F224">
            <v>3.2</v>
          </cell>
          <cell r="G224">
            <v>0.52</v>
          </cell>
          <cell r="H224" t="str">
            <v>Modest</v>
          </cell>
          <cell r="I224">
            <v>571</v>
          </cell>
          <cell r="J224" t="str">
            <v>A-</v>
          </cell>
        </row>
        <row r="225">
          <cell r="C225">
            <v>4695</v>
          </cell>
          <cell r="D225">
            <v>791</v>
          </cell>
          <cell r="E225">
            <v>14.7</v>
          </cell>
          <cell r="F225">
            <v>3</v>
          </cell>
          <cell r="G225">
            <v>0.54</v>
          </cell>
          <cell r="H225" t="str">
            <v xml:space="preserve">Slightly Abundant </v>
          </cell>
          <cell r="I225">
            <v>727</v>
          </cell>
          <cell r="J225" t="str">
            <v>A+</v>
          </cell>
        </row>
        <row r="226">
          <cell r="C226">
            <v>4682</v>
          </cell>
          <cell r="D226">
            <v>827</v>
          </cell>
          <cell r="E226">
            <v>13.64</v>
          </cell>
          <cell r="F226">
            <v>3.2</v>
          </cell>
          <cell r="G226">
            <v>0.52</v>
          </cell>
          <cell r="H226" t="str">
            <v>Moderate</v>
          </cell>
          <cell r="I226">
            <v>642</v>
          </cell>
          <cell r="J226" t="str">
            <v>A-</v>
          </cell>
        </row>
        <row r="227">
          <cell r="C227">
            <v>4528</v>
          </cell>
          <cell r="D227">
            <v>911</v>
          </cell>
          <cell r="E227">
            <v>15.3</v>
          </cell>
          <cell r="F227">
            <v>3.42</v>
          </cell>
          <cell r="G227">
            <v>0.7</v>
          </cell>
          <cell r="H227" t="str">
            <v>Moderate</v>
          </cell>
          <cell r="I227">
            <v>601</v>
          </cell>
          <cell r="J227">
            <v>0</v>
          </cell>
        </row>
        <row r="228">
          <cell r="C228">
            <v>4486</v>
          </cell>
          <cell r="D228">
            <v>823</v>
          </cell>
          <cell r="E228">
            <v>13.85</v>
          </cell>
          <cell r="F228">
            <v>3.3</v>
          </cell>
          <cell r="G228">
            <v>0.63</v>
          </cell>
          <cell r="H228" t="str">
            <v>Modest</v>
          </cell>
          <cell r="I228">
            <v>585</v>
          </cell>
          <cell r="J228">
            <v>0</v>
          </cell>
        </row>
        <row r="229">
          <cell r="C229">
            <v>4622</v>
          </cell>
          <cell r="D229">
            <v>873</v>
          </cell>
          <cell r="E229">
            <v>14.9</v>
          </cell>
          <cell r="F229">
            <v>3.4</v>
          </cell>
          <cell r="G229">
            <v>0.62</v>
          </cell>
          <cell r="H229" t="str">
            <v xml:space="preserve">Slightly Abundant </v>
          </cell>
          <cell r="I229">
            <v>702</v>
          </cell>
          <cell r="J229">
            <v>0</v>
          </cell>
        </row>
        <row r="230">
          <cell r="C230">
            <v>4483</v>
          </cell>
          <cell r="D230">
            <v>845</v>
          </cell>
          <cell r="E230">
            <v>15.2</v>
          </cell>
          <cell r="F230">
            <v>3.1</v>
          </cell>
          <cell r="G230">
            <v>0.53</v>
          </cell>
          <cell r="H230" t="str">
            <v>Moderate</v>
          </cell>
          <cell r="I230">
            <v>652</v>
          </cell>
          <cell r="J230">
            <v>0</v>
          </cell>
        </row>
        <row r="231">
          <cell r="C231">
            <v>4678</v>
          </cell>
          <cell r="D231">
            <v>827</v>
          </cell>
          <cell r="E231">
            <v>14.6</v>
          </cell>
          <cell r="F231">
            <v>3.7</v>
          </cell>
          <cell r="G231">
            <v>0.69</v>
          </cell>
          <cell r="H231" t="str">
            <v>Modest</v>
          </cell>
          <cell r="I231">
            <v>579</v>
          </cell>
          <cell r="J231">
            <v>0</v>
          </cell>
        </row>
        <row r="232">
          <cell r="C232">
            <v>4487</v>
          </cell>
          <cell r="D232">
            <v>837</v>
          </cell>
          <cell r="E232">
            <v>14.2</v>
          </cell>
          <cell r="F232">
            <v>3.4</v>
          </cell>
          <cell r="G232">
            <v>0.57999999999999996</v>
          </cell>
          <cell r="H232" t="str">
            <v>Moderate</v>
          </cell>
          <cell r="I232">
            <v>610</v>
          </cell>
          <cell r="J232">
            <v>0</v>
          </cell>
        </row>
        <row r="233">
          <cell r="C233">
            <v>4615</v>
          </cell>
          <cell r="D233">
            <v>920</v>
          </cell>
          <cell r="E233">
            <v>13.2</v>
          </cell>
          <cell r="F233">
            <v>3.65</v>
          </cell>
          <cell r="G233">
            <v>0.71</v>
          </cell>
          <cell r="H233" t="str">
            <v xml:space="preserve">Slightly Abundant </v>
          </cell>
          <cell r="I233">
            <v>760</v>
          </cell>
          <cell r="J233" t="str">
            <v>C</v>
          </cell>
        </row>
        <row r="234">
          <cell r="C234">
            <v>4440</v>
          </cell>
          <cell r="D234">
            <v>880</v>
          </cell>
          <cell r="E234">
            <v>14.72</v>
          </cell>
          <cell r="F234">
            <v>3.25</v>
          </cell>
          <cell r="G234">
            <v>0.59</v>
          </cell>
          <cell r="H234" t="str">
            <v>Small</v>
          </cell>
          <cell r="I234">
            <v>437</v>
          </cell>
          <cell r="J234" t="str">
            <v>A-</v>
          </cell>
        </row>
        <row r="235">
          <cell r="C235">
            <v>4394</v>
          </cell>
          <cell r="D235">
            <v>827</v>
          </cell>
          <cell r="E235">
            <v>15</v>
          </cell>
          <cell r="F235">
            <v>3.4</v>
          </cell>
          <cell r="G235">
            <v>0.57999999999999996</v>
          </cell>
          <cell r="H235" t="str">
            <v>Small</v>
          </cell>
          <cell r="I235">
            <v>457</v>
          </cell>
          <cell r="J235">
            <v>0</v>
          </cell>
        </row>
        <row r="236">
          <cell r="C236">
            <v>4525</v>
          </cell>
          <cell r="D236">
            <v>847</v>
          </cell>
          <cell r="E236" t="str">
            <v>.</v>
          </cell>
          <cell r="F236" t="str">
            <v>.</v>
          </cell>
          <cell r="G236" t="str">
            <v>.</v>
          </cell>
          <cell r="H236" t="str">
            <v>.</v>
          </cell>
          <cell r="I236" t="str">
            <v>.</v>
          </cell>
          <cell r="J236" t="str">
            <v>A</v>
          </cell>
        </row>
        <row r="237">
          <cell r="C237">
            <v>4453</v>
          </cell>
          <cell r="D237">
            <v>930</v>
          </cell>
          <cell r="E237">
            <v>15.5</v>
          </cell>
          <cell r="F237">
            <v>3.45</v>
          </cell>
          <cell r="G237">
            <v>0.59</v>
          </cell>
          <cell r="H237" t="str">
            <v>Slight</v>
          </cell>
          <cell r="I237">
            <v>385</v>
          </cell>
          <cell r="J237">
            <v>0</v>
          </cell>
        </row>
        <row r="238">
          <cell r="C238">
            <v>4659</v>
          </cell>
          <cell r="D238">
            <v>948</v>
          </cell>
          <cell r="E238">
            <v>13.25</v>
          </cell>
          <cell r="F238">
            <v>4.3</v>
          </cell>
          <cell r="G238">
            <v>0.95</v>
          </cell>
          <cell r="H238" t="str">
            <v>Slightly Abundant</v>
          </cell>
          <cell r="I238">
            <v>788</v>
          </cell>
          <cell r="J238">
            <v>0</v>
          </cell>
        </row>
        <row r="239">
          <cell r="C239">
            <v>4721</v>
          </cell>
          <cell r="D239">
            <v>898</v>
          </cell>
          <cell r="E239">
            <v>13.5</v>
          </cell>
          <cell r="F239">
            <v>3.7</v>
          </cell>
          <cell r="G239">
            <v>0.73</v>
          </cell>
          <cell r="H239" t="str">
            <v>Moderate</v>
          </cell>
          <cell r="I239">
            <v>680</v>
          </cell>
          <cell r="J239">
            <v>0</v>
          </cell>
        </row>
        <row r="240">
          <cell r="C240">
            <v>4772</v>
          </cell>
          <cell r="D240">
            <v>860</v>
          </cell>
          <cell r="E240">
            <v>16.8</v>
          </cell>
          <cell r="F240">
            <v>2.92</v>
          </cell>
          <cell r="G240">
            <v>0.45600000000000002</v>
          </cell>
          <cell r="H240" t="str">
            <v xml:space="preserve">Slight </v>
          </cell>
          <cell r="I240">
            <v>368</v>
          </cell>
          <cell r="J240">
            <v>0</v>
          </cell>
        </row>
        <row r="241">
          <cell r="C241">
            <v>4353</v>
          </cell>
          <cell r="D241">
            <v>761</v>
          </cell>
          <cell r="E241">
            <v>12.32</v>
          </cell>
          <cell r="F241">
            <v>3.2</v>
          </cell>
          <cell r="G241">
            <v>0.55600000000000005</v>
          </cell>
          <cell r="H241" t="str">
            <v>Modest</v>
          </cell>
          <cell r="I241">
            <v>553</v>
          </cell>
          <cell r="J241">
            <v>0</v>
          </cell>
        </row>
        <row r="242">
          <cell r="C242">
            <v>4473</v>
          </cell>
          <cell r="D242">
            <v>845</v>
          </cell>
          <cell r="E242">
            <v>12.33</v>
          </cell>
          <cell r="F242">
            <v>3.8</v>
          </cell>
          <cell r="G242">
            <v>0.83</v>
          </cell>
          <cell r="H242" t="str">
            <v>Modest</v>
          </cell>
          <cell r="I242">
            <v>551</v>
          </cell>
          <cell r="J242">
            <v>0</v>
          </cell>
        </row>
        <row r="243">
          <cell r="C243">
            <v>4498</v>
          </cell>
          <cell r="D243">
            <v>819</v>
          </cell>
          <cell r="E243">
            <v>12.2</v>
          </cell>
          <cell r="F243">
            <v>3.44</v>
          </cell>
          <cell r="G243">
            <v>0.63</v>
          </cell>
          <cell r="H243" t="str">
            <v>Small</v>
          </cell>
          <cell r="I243">
            <v>468</v>
          </cell>
          <cell r="J243" t="str">
            <v>A-</v>
          </cell>
        </row>
        <row r="244">
          <cell r="C244">
            <v>4328</v>
          </cell>
          <cell r="D244">
            <v>846</v>
          </cell>
          <cell r="E244">
            <v>13</v>
          </cell>
          <cell r="F244">
            <v>3.9</v>
          </cell>
          <cell r="G244">
            <v>0.88</v>
          </cell>
          <cell r="H244" t="str">
            <v>Small</v>
          </cell>
          <cell r="I244">
            <v>490</v>
          </cell>
          <cell r="J244">
            <v>0</v>
          </cell>
        </row>
        <row r="245">
          <cell r="C245">
            <v>4513</v>
          </cell>
          <cell r="D245">
            <v>849</v>
          </cell>
          <cell r="E245">
            <v>13.2</v>
          </cell>
          <cell r="F245">
            <v>3.9</v>
          </cell>
          <cell r="G245">
            <v>0.76</v>
          </cell>
          <cell r="H245" t="str">
            <v>Small</v>
          </cell>
          <cell r="I245">
            <v>428</v>
          </cell>
          <cell r="J245">
            <v>0</v>
          </cell>
        </row>
        <row r="246">
          <cell r="C246">
            <v>4741</v>
          </cell>
          <cell r="D246">
            <v>828</v>
          </cell>
          <cell r="E246">
            <v>13.7</v>
          </cell>
          <cell r="F246">
            <v>3.1</v>
          </cell>
          <cell r="G246">
            <v>0.51</v>
          </cell>
          <cell r="H246" t="str">
            <v>Small</v>
          </cell>
          <cell r="I246">
            <v>438</v>
          </cell>
          <cell r="J246" t="str">
            <v>C</v>
          </cell>
        </row>
        <row r="247">
          <cell r="C247">
            <v>4602</v>
          </cell>
          <cell r="D247">
            <v>814</v>
          </cell>
          <cell r="E247">
            <v>16</v>
          </cell>
          <cell r="F247">
            <v>3</v>
          </cell>
          <cell r="G247">
            <v>0.68</v>
          </cell>
          <cell r="H247" t="str">
            <v>Modest</v>
          </cell>
          <cell r="I247">
            <v>540</v>
          </cell>
          <cell r="J247" t="str">
            <v>A-</v>
          </cell>
        </row>
        <row r="248">
          <cell r="C248">
            <v>4358</v>
          </cell>
          <cell r="D248">
            <v>918</v>
          </cell>
          <cell r="E248">
            <v>13.5</v>
          </cell>
          <cell r="F248">
            <v>3.3</v>
          </cell>
          <cell r="G248">
            <v>0.55000000000000004</v>
          </cell>
          <cell r="H248" t="str">
            <v>Moderate</v>
          </cell>
          <cell r="I248">
            <v>649</v>
          </cell>
          <cell r="J248">
            <v>0</v>
          </cell>
        </row>
        <row r="249">
          <cell r="C249">
            <v>4318</v>
          </cell>
          <cell r="D249">
            <v>832</v>
          </cell>
          <cell r="E249">
            <v>12.94</v>
          </cell>
          <cell r="F249">
            <v>3.3</v>
          </cell>
          <cell r="G249">
            <v>0.71199999999999997</v>
          </cell>
          <cell r="H249" t="str">
            <v>Modest</v>
          </cell>
          <cell r="I249">
            <v>541</v>
          </cell>
          <cell r="J249">
            <v>0</v>
          </cell>
        </row>
        <row r="250">
          <cell r="C250">
            <v>4314</v>
          </cell>
          <cell r="D250">
            <v>775</v>
          </cell>
          <cell r="E250" t="str">
            <v>.</v>
          </cell>
          <cell r="F250" t="str">
            <v>.</v>
          </cell>
          <cell r="G250" t="str">
            <v>.</v>
          </cell>
          <cell r="H250" t="str">
            <v>.</v>
          </cell>
          <cell r="I250" t="str">
            <v>.</v>
          </cell>
          <cell r="J250" t="str">
            <v>A-</v>
          </cell>
        </row>
        <row r="251">
          <cell r="C251">
            <v>4540</v>
          </cell>
          <cell r="D251">
            <v>732</v>
          </cell>
          <cell r="E251">
            <v>12.2</v>
          </cell>
          <cell r="F251">
            <v>2.6</v>
          </cell>
          <cell r="G251">
            <v>0.5</v>
          </cell>
          <cell r="H251" t="str">
            <v xml:space="preserve">Modest </v>
          </cell>
          <cell r="I251">
            <v>540</v>
          </cell>
          <cell r="J251" t="str">
            <v>A+</v>
          </cell>
        </row>
        <row r="252">
          <cell r="C252">
            <v>4317</v>
          </cell>
          <cell r="D252">
            <v>698</v>
          </cell>
          <cell r="E252">
            <v>10.8</v>
          </cell>
          <cell r="F252">
            <v>3.3</v>
          </cell>
          <cell r="G252">
            <v>0.57999999999999996</v>
          </cell>
          <cell r="H252" t="str">
            <v>Small</v>
          </cell>
          <cell r="I252">
            <v>458</v>
          </cell>
          <cell r="J252">
            <v>0</v>
          </cell>
        </row>
        <row r="253">
          <cell r="C253">
            <v>4690</v>
          </cell>
          <cell r="D253">
            <v>897</v>
          </cell>
          <cell r="E253">
            <v>13.5</v>
          </cell>
          <cell r="F253">
            <v>3.65</v>
          </cell>
          <cell r="G253">
            <v>0.72</v>
          </cell>
          <cell r="H253" t="str">
            <v>Modest</v>
          </cell>
          <cell r="I253">
            <v>536</v>
          </cell>
          <cell r="J253" t="str">
            <v>A+</v>
          </cell>
        </row>
        <row r="254">
          <cell r="C254">
            <v>4351</v>
          </cell>
          <cell r="D254">
            <v>866</v>
          </cell>
          <cell r="E254">
            <v>13.06</v>
          </cell>
          <cell r="F254">
            <v>3.45</v>
          </cell>
          <cell r="G254">
            <v>0.72799999999999998</v>
          </cell>
          <cell r="H254" t="str">
            <v>Modest</v>
          </cell>
          <cell r="I254">
            <v>558</v>
          </cell>
          <cell r="J254">
            <v>0</v>
          </cell>
        </row>
        <row r="255">
          <cell r="C255">
            <v>4334</v>
          </cell>
          <cell r="D255">
            <v>788</v>
          </cell>
          <cell r="E255">
            <v>14.5</v>
          </cell>
          <cell r="F255">
            <v>3</v>
          </cell>
          <cell r="G255">
            <v>0.52</v>
          </cell>
          <cell r="H255" t="str">
            <v>Modest</v>
          </cell>
          <cell r="I255">
            <v>521</v>
          </cell>
          <cell r="J255" t="str">
            <v>C</v>
          </cell>
        </row>
        <row r="256">
          <cell r="C256">
            <v>4595</v>
          </cell>
          <cell r="D256">
            <v>855</v>
          </cell>
          <cell r="E256">
            <v>15.5</v>
          </cell>
          <cell r="F256">
            <v>2.9</v>
          </cell>
          <cell r="G256">
            <v>0.41199999999999998</v>
          </cell>
          <cell r="H256" t="str">
            <v>Modest</v>
          </cell>
          <cell r="I256">
            <v>511</v>
          </cell>
          <cell r="J256">
            <v>0</v>
          </cell>
        </row>
        <row r="257">
          <cell r="C257">
            <v>4598</v>
          </cell>
          <cell r="D257">
            <v>770</v>
          </cell>
          <cell r="E257">
            <v>12.7</v>
          </cell>
          <cell r="F257">
            <v>3.4</v>
          </cell>
          <cell r="G257">
            <v>0.57599999999999996</v>
          </cell>
          <cell r="H257" t="str">
            <v>Moderate</v>
          </cell>
          <cell r="I257">
            <v>612</v>
          </cell>
          <cell r="J257" t="str">
            <v>A-</v>
          </cell>
        </row>
        <row r="258">
          <cell r="C258">
            <v>4537</v>
          </cell>
          <cell r="D258">
            <v>817</v>
          </cell>
          <cell r="E258">
            <v>14</v>
          </cell>
          <cell r="F258">
            <v>3.09</v>
          </cell>
          <cell r="G258">
            <v>0.53600000000000003</v>
          </cell>
          <cell r="H258" t="str">
            <v>Small</v>
          </cell>
          <cell r="I258">
            <v>434</v>
          </cell>
          <cell r="J258" t="str">
            <v>A</v>
          </cell>
        </row>
        <row r="259">
          <cell r="C259">
            <v>4356</v>
          </cell>
          <cell r="D259">
            <v>880</v>
          </cell>
          <cell r="E259">
            <v>13.6</v>
          </cell>
          <cell r="F259">
            <v>3.2</v>
          </cell>
          <cell r="G259">
            <v>0.68</v>
          </cell>
          <cell r="H259" t="str">
            <v>Moderate</v>
          </cell>
          <cell r="I259">
            <v>611</v>
          </cell>
          <cell r="J259" t="str">
            <v>A-</v>
          </cell>
        </row>
        <row r="260">
          <cell r="C260">
            <v>4662</v>
          </cell>
          <cell r="D260">
            <v>848</v>
          </cell>
          <cell r="E260">
            <v>13.7</v>
          </cell>
          <cell r="F260">
            <v>3.3</v>
          </cell>
          <cell r="G260">
            <v>0.6</v>
          </cell>
          <cell r="H260" t="str">
            <v>Modest</v>
          </cell>
          <cell r="I260">
            <v>509</v>
          </cell>
          <cell r="J260">
            <v>0</v>
          </cell>
        </row>
        <row r="261">
          <cell r="C261">
            <v>4479</v>
          </cell>
          <cell r="D261">
            <v>800</v>
          </cell>
          <cell r="E261">
            <v>13.1</v>
          </cell>
          <cell r="F261">
            <v>3.1</v>
          </cell>
          <cell r="G261">
            <v>0.71</v>
          </cell>
          <cell r="H261" t="str">
            <v xml:space="preserve">Moderate </v>
          </cell>
          <cell r="I261">
            <v>670</v>
          </cell>
          <cell r="J261">
            <v>0</v>
          </cell>
        </row>
        <row r="262">
          <cell r="C262">
            <v>4718</v>
          </cell>
          <cell r="D262">
            <v>818</v>
          </cell>
          <cell r="E262">
            <v>13.44</v>
          </cell>
          <cell r="F262">
            <v>3.05</v>
          </cell>
          <cell r="G262">
            <v>1.2</v>
          </cell>
          <cell r="H262" t="str">
            <v>Modest</v>
          </cell>
          <cell r="I262">
            <v>530</v>
          </cell>
          <cell r="J262">
            <v>0</v>
          </cell>
        </row>
        <row r="263">
          <cell r="C263">
            <v>4471</v>
          </cell>
          <cell r="D263">
            <v>879</v>
          </cell>
          <cell r="E263" t="str">
            <v>.</v>
          </cell>
          <cell r="F263" t="str">
            <v>.</v>
          </cell>
          <cell r="G263" t="str">
            <v>.</v>
          </cell>
          <cell r="H263" t="str">
            <v>.</v>
          </cell>
          <cell r="I263" t="str">
            <v>.</v>
          </cell>
          <cell r="J263" t="str">
            <v>C</v>
          </cell>
        </row>
        <row r="264">
          <cell r="C264">
            <v>4366</v>
          </cell>
          <cell r="D264">
            <v>899</v>
          </cell>
          <cell r="E264">
            <v>13.9</v>
          </cell>
          <cell r="F264">
            <v>3.7</v>
          </cell>
          <cell r="G264">
            <v>0.68799999999999994</v>
          </cell>
          <cell r="H264" t="str">
            <v>Small</v>
          </cell>
          <cell r="I264">
            <v>450</v>
          </cell>
          <cell r="J264" t="str">
            <v>A-</v>
          </cell>
        </row>
        <row r="265">
          <cell r="C265">
            <v>4642</v>
          </cell>
          <cell r="D265">
            <v>923</v>
          </cell>
          <cell r="E265">
            <v>13.4</v>
          </cell>
          <cell r="F265">
            <v>3.72</v>
          </cell>
          <cell r="G265">
            <v>0.72799999999999998</v>
          </cell>
          <cell r="H265" t="str">
            <v xml:space="preserve">Moderately Abundant </v>
          </cell>
          <cell r="I265">
            <v>801</v>
          </cell>
          <cell r="J265" t="str">
            <v>C</v>
          </cell>
        </row>
        <row r="266">
          <cell r="C266">
            <v>4543</v>
          </cell>
          <cell r="D266">
            <v>817</v>
          </cell>
          <cell r="E266">
            <v>15</v>
          </cell>
          <cell r="F266">
            <v>2.8</v>
          </cell>
          <cell r="G266">
            <v>0.39</v>
          </cell>
          <cell r="H266" t="str">
            <v>Small</v>
          </cell>
          <cell r="I266">
            <v>482</v>
          </cell>
          <cell r="J266" t="str">
            <v>C</v>
          </cell>
        </row>
        <row r="267">
          <cell r="C267">
            <v>4340</v>
          </cell>
          <cell r="D267">
            <v>846</v>
          </cell>
          <cell r="E267">
            <v>14.4</v>
          </cell>
          <cell r="F267">
            <v>3.5</v>
          </cell>
          <cell r="G267">
            <v>0.68</v>
          </cell>
          <cell r="H267" t="str">
            <v xml:space="preserve">Moderate </v>
          </cell>
          <cell r="I267">
            <v>619</v>
          </cell>
          <cell r="J267">
            <v>0</v>
          </cell>
        </row>
        <row r="268">
          <cell r="C268">
            <v>4416</v>
          </cell>
          <cell r="D268">
            <v>938</v>
          </cell>
          <cell r="E268">
            <v>14.65</v>
          </cell>
          <cell r="F268">
            <v>3.9</v>
          </cell>
          <cell r="G268">
            <v>0.97</v>
          </cell>
          <cell r="H268" t="str">
            <v>Modest</v>
          </cell>
          <cell r="I268">
            <v>545</v>
          </cell>
          <cell r="J268">
            <v>0</v>
          </cell>
        </row>
        <row r="269">
          <cell r="C269">
            <v>4430</v>
          </cell>
          <cell r="D269">
            <v>766</v>
          </cell>
          <cell r="E269">
            <v>12.9</v>
          </cell>
          <cell r="F269">
            <v>3.45</v>
          </cell>
          <cell r="G269">
            <v>0.64400000000000002</v>
          </cell>
          <cell r="H269" t="str">
            <v>Small</v>
          </cell>
          <cell r="I269">
            <v>443</v>
          </cell>
          <cell r="J269">
            <v>0</v>
          </cell>
        </row>
        <row r="270">
          <cell r="C270">
            <v>4694</v>
          </cell>
          <cell r="D270">
            <v>849</v>
          </cell>
          <cell r="E270">
            <v>15.3</v>
          </cell>
          <cell r="F270">
            <v>3.2</v>
          </cell>
          <cell r="G270">
            <v>0.48000000000000009</v>
          </cell>
          <cell r="H270" t="str">
            <v xml:space="preserve">Moderate </v>
          </cell>
          <cell r="I270">
            <v>691</v>
          </cell>
          <cell r="J270" t="str">
            <v>C</v>
          </cell>
        </row>
        <row r="271">
          <cell r="C271">
            <v>4632</v>
          </cell>
          <cell r="D271">
            <v>903</v>
          </cell>
          <cell r="E271">
            <v>13.5</v>
          </cell>
          <cell r="F271">
            <v>3.1</v>
          </cell>
          <cell r="G271">
            <v>0.68</v>
          </cell>
          <cell r="H271" t="str">
            <v>Modest</v>
          </cell>
          <cell r="I271">
            <v>513</v>
          </cell>
          <cell r="J271" t="str">
            <v>A+</v>
          </cell>
        </row>
        <row r="272">
          <cell r="C272">
            <v>4320</v>
          </cell>
          <cell r="D272">
            <v>893</v>
          </cell>
          <cell r="E272">
            <v>13</v>
          </cell>
          <cell r="F272">
            <v>4.5999999999999996</v>
          </cell>
          <cell r="G272">
            <v>1.06</v>
          </cell>
          <cell r="H272" t="str">
            <v>Modest</v>
          </cell>
          <cell r="I272">
            <v>543</v>
          </cell>
          <cell r="J272" t="str">
            <v>A+</v>
          </cell>
        </row>
        <row r="273">
          <cell r="C273">
            <v>4763</v>
          </cell>
          <cell r="D273">
            <v>809</v>
          </cell>
          <cell r="E273">
            <v>12.6</v>
          </cell>
          <cell r="F273">
            <v>3.6</v>
          </cell>
          <cell r="G273">
            <v>0.68</v>
          </cell>
          <cell r="H273" t="str">
            <v xml:space="preserve">Slightly Abundant </v>
          </cell>
          <cell r="I273">
            <v>774</v>
          </cell>
          <cell r="J273" t="str">
            <v>A+</v>
          </cell>
        </row>
        <row r="274">
          <cell r="C274">
            <v>4586</v>
          </cell>
          <cell r="D274">
            <v>838</v>
          </cell>
          <cell r="E274">
            <v>13.4</v>
          </cell>
          <cell r="F274">
            <v>3.5</v>
          </cell>
          <cell r="G274">
            <v>0.68</v>
          </cell>
          <cell r="H274" t="str">
            <v>Small</v>
          </cell>
          <cell r="I274">
            <v>499</v>
          </cell>
          <cell r="J274">
            <v>0</v>
          </cell>
        </row>
        <row r="275">
          <cell r="C275">
            <v>4579</v>
          </cell>
          <cell r="D275">
            <v>827</v>
          </cell>
          <cell r="E275">
            <v>14.8</v>
          </cell>
          <cell r="F275">
            <v>3.5</v>
          </cell>
          <cell r="G275">
            <v>0.69</v>
          </cell>
          <cell r="H275" t="str">
            <v>Small</v>
          </cell>
          <cell r="I275">
            <v>483</v>
          </cell>
          <cell r="J275">
            <v>0</v>
          </cell>
        </row>
        <row r="276">
          <cell r="C276">
            <v>4604</v>
          </cell>
          <cell r="D276">
            <v>913</v>
          </cell>
          <cell r="E276">
            <v>14.6</v>
          </cell>
          <cell r="F276">
            <v>3.5</v>
          </cell>
          <cell r="G276">
            <v>0.63</v>
          </cell>
          <cell r="H276" t="str">
            <v>Moderate</v>
          </cell>
          <cell r="I276">
            <v>695</v>
          </cell>
          <cell r="J276" t="str">
            <v>C</v>
          </cell>
        </row>
        <row r="277">
          <cell r="C277">
            <v>4523</v>
          </cell>
          <cell r="D277">
            <v>912</v>
          </cell>
          <cell r="E277">
            <v>14</v>
          </cell>
          <cell r="F277">
            <v>4</v>
          </cell>
          <cell r="G277">
            <v>0.96</v>
          </cell>
          <cell r="H277" t="str">
            <v xml:space="preserve">Slightly Abundant </v>
          </cell>
          <cell r="I277">
            <v>763</v>
          </cell>
          <cell r="J277" t="str">
            <v>C</v>
          </cell>
        </row>
        <row r="278">
          <cell r="C278">
            <v>4343</v>
          </cell>
          <cell r="D278">
            <v>866</v>
          </cell>
          <cell r="E278">
            <v>13.2</v>
          </cell>
          <cell r="F278">
            <v>3.6</v>
          </cell>
          <cell r="G278">
            <v>0.75</v>
          </cell>
          <cell r="H278" t="str">
            <v>Modest</v>
          </cell>
          <cell r="I278">
            <v>527</v>
          </cell>
          <cell r="J278">
            <v>0</v>
          </cell>
        </row>
        <row r="279">
          <cell r="C279">
            <v>4330</v>
          </cell>
          <cell r="D279">
            <v>846</v>
          </cell>
          <cell r="E279">
            <v>13</v>
          </cell>
          <cell r="F279">
            <v>3.3</v>
          </cell>
          <cell r="G279">
            <v>0.66</v>
          </cell>
          <cell r="H279" t="str">
            <v>Moderate</v>
          </cell>
          <cell r="I279">
            <v>648</v>
          </cell>
          <cell r="J279" t="str">
            <v>A+</v>
          </cell>
        </row>
        <row r="280">
          <cell r="C280">
            <v>4628</v>
          </cell>
          <cell r="D280">
            <v>813</v>
          </cell>
          <cell r="E280">
            <v>14.2</v>
          </cell>
          <cell r="F280">
            <v>3</v>
          </cell>
          <cell r="G280">
            <v>0.49</v>
          </cell>
          <cell r="H280" t="str">
            <v xml:space="preserve">Slight </v>
          </cell>
          <cell r="I280">
            <v>381</v>
          </cell>
          <cell r="J280">
            <v>0</v>
          </cell>
        </row>
        <row r="281">
          <cell r="C281">
            <v>4459</v>
          </cell>
          <cell r="D281">
            <v>813</v>
          </cell>
          <cell r="E281">
            <v>12.5</v>
          </cell>
          <cell r="F281">
            <v>3.2</v>
          </cell>
          <cell r="G281">
            <v>0.55000000000000004</v>
          </cell>
          <cell r="H281" t="str">
            <v>Modest</v>
          </cell>
          <cell r="I281">
            <v>568</v>
          </cell>
          <cell r="J281" t="str">
            <v>A+</v>
          </cell>
        </row>
        <row r="282">
          <cell r="C282">
            <v>4587</v>
          </cell>
          <cell r="D282">
            <v>960</v>
          </cell>
          <cell r="E282">
            <v>12.9</v>
          </cell>
          <cell r="F282">
            <v>3.7</v>
          </cell>
          <cell r="G282">
            <v>0.76</v>
          </cell>
          <cell r="H282" t="str">
            <v>Modest</v>
          </cell>
          <cell r="I282">
            <v>564</v>
          </cell>
          <cell r="J282" t="str">
            <v>A</v>
          </cell>
        </row>
        <row r="283">
          <cell r="C283">
            <v>4470</v>
          </cell>
          <cell r="D283">
            <v>761</v>
          </cell>
          <cell r="E283">
            <v>12.34</v>
          </cell>
          <cell r="F283">
            <v>3.64</v>
          </cell>
          <cell r="G283">
            <v>0.72</v>
          </cell>
          <cell r="H283" t="str">
            <v>Small</v>
          </cell>
          <cell r="I283">
            <v>466</v>
          </cell>
          <cell r="J283" t="str">
            <v>A-</v>
          </cell>
        </row>
        <row r="284">
          <cell r="C284">
            <v>4369</v>
          </cell>
          <cell r="D284">
            <v>874</v>
          </cell>
          <cell r="E284">
            <v>14.3</v>
          </cell>
          <cell r="F284">
            <v>3.65</v>
          </cell>
          <cell r="G284">
            <v>0.84</v>
          </cell>
          <cell r="H284" t="str">
            <v>Moderate</v>
          </cell>
          <cell r="I284">
            <v>625</v>
          </cell>
          <cell r="J284">
            <v>0</v>
          </cell>
        </row>
        <row r="285">
          <cell r="C285">
            <v>4597</v>
          </cell>
          <cell r="D285">
            <v>793</v>
          </cell>
          <cell r="E285">
            <v>13.7</v>
          </cell>
          <cell r="F285">
            <v>3.32</v>
          </cell>
          <cell r="G285">
            <v>0.54</v>
          </cell>
          <cell r="H285" t="str">
            <v xml:space="preserve">Slight </v>
          </cell>
          <cell r="I285">
            <v>388</v>
          </cell>
          <cell r="J285" t="str">
            <v>C</v>
          </cell>
        </row>
        <row r="286">
          <cell r="C286">
            <v>4413</v>
          </cell>
          <cell r="D286">
            <v>729</v>
          </cell>
          <cell r="E286">
            <v>12.3</v>
          </cell>
          <cell r="F286" t="str">
            <v>.</v>
          </cell>
          <cell r="G286">
            <v>0.7</v>
          </cell>
          <cell r="H286" t="str">
            <v>Slightly Abundant</v>
          </cell>
          <cell r="I286">
            <v>724</v>
          </cell>
          <cell r="J286" t="str">
            <v>A+</v>
          </cell>
        </row>
        <row r="287">
          <cell r="C287">
            <v>4647</v>
          </cell>
          <cell r="D287">
            <v>887</v>
          </cell>
          <cell r="E287">
            <v>15.3</v>
          </cell>
          <cell r="F287">
            <v>3.3</v>
          </cell>
          <cell r="G287">
            <v>0.63</v>
          </cell>
          <cell r="H287" t="str">
            <v>Small</v>
          </cell>
          <cell r="I287">
            <v>468</v>
          </cell>
          <cell r="J287" t="str">
            <v>C</v>
          </cell>
        </row>
        <row r="288">
          <cell r="C288">
            <v>4374</v>
          </cell>
          <cell r="D288">
            <v>899</v>
          </cell>
          <cell r="E288">
            <v>14.4</v>
          </cell>
          <cell r="F288">
            <v>3.55</v>
          </cell>
          <cell r="G288">
            <v>0.66</v>
          </cell>
          <cell r="H288" t="str">
            <v xml:space="preserve">Slightly Abundant </v>
          </cell>
          <cell r="I288">
            <v>749</v>
          </cell>
          <cell r="J288" t="str">
            <v>C</v>
          </cell>
        </row>
        <row r="289">
          <cell r="C289">
            <v>4509</v>
          </cell>
          <cell r="D289">
            <v>863</v>
          </cell>
          <cell r="E289">
            <v>13.3</v>
          </cell>
          <cell r="F289">
            <v>3.42</v>
          </cell>
          <cell r="G289">
            <v>0.57999999999999996</v>
          </cell>
          <cell r="H289" t="str">
            <v>Modest</v>
          </cell>
          <cell r="I289">
            <v>566</v>
          </cell>
          <cell r="J289">
            <v>0</v>
          </cell>
        </row>
        <row r="290">
          <cell r="C290">
            <v>4689</v>
          </cell>
          <cell r="D290">
            <v>999</v>
          </cell>
          <cell r="E290">
            <v>13.7</v>
          </cell>
          <cell r="F290">
            <v>4.5999999999999996</v>
          </cell>
          <cell r="G290">
            <v>1.1299999999999999</v>
          </cell>
          <cell r="H290" t="str">
            <v xml:space="preserve">Slightly Abundant </v>
          </cell>
          <cell r="I290">
            <v>789</v>
          </cell>
          <cell r="J290" t="str">
            <v>C</v>
          </cell>
        </row>
        <row r="291">
          <cell r="C291">
            <v>4452</v>
          </cell>
          <cell r="D291">
            <v>911</v>
          </cell>
          <cell r="E291">
            <v>13</v>
          </cell>
          <cell r="F291">
            <v>3.3</v>
          </cell>
          <cell r="G291">
            <v>0.82</v>
          </cell>
          <cell r="H291" t="str">
            <v xml:space="preserve">Slightly Abundant </v>
          </cell>
          <cell r="I291">
            <v>751</v>
          </cell>
          <cell r="J291">
            <v>0</v>
          </cell>
        </row>
        <row r="292">
          <cell r="C292">
            <v>4550</v>
          </cell>
          <cell r="D292">
            <v>739</v>
          </cell>
          <cell r="E292">
            <v>12.4</v>
          </cell>
          <cell r="F292">
            <v>3.3</v>
          </cell>
          <cell r="G292">
            <v>0.56000000000000005</v>
          </cell>
          <cell r="H292" t="str">
            <v xml:space="preserve">Slight </v>
          </cell>
          <cell r="I292">
            <v>386</v>
          </cell>
          <cell r="J292" t="str">
            <v>A-</v>
          </cell>
        </row>
        <row r="293">
          <cell r="C293">
            <v>4400</v>
          </cell>
          <cell r="D293">
            <v>832</v>
          </cell>
          <cell r="E293">
            <v>13.8</v>
          </cell>
          <cell r="F293">
            <v>3.7</v>
          </cell>
          <cell r="G293">
            <v>0.67</v>
          </cell>
          <cell r="H293" t="str">
            <v>Modest</v>
          </cell>
          <cell r="I293">
            <v>501</v>
          </cell>
          <cell r="J293" t="str">
            <v>A-</v>
          </cell>
        </row>
        <row r="294">
          <cell r="C294">
            <v>4428</v>
          </cell>
          <cell r="D294">
            <v>794</v>
          </cell>
          <cell r="E294">
            <v>13.6</v>
          </cell>
          <cell r="F294">
            <v>3.1</v>
          </cell>
          <cell r="G294">
            <v>0.54</v>
          </cell>
          <cell r="H294" t="str">
            <v xml:space="preserve">Slightly Abundant </v>
          </cell>
          <cell r="I294">
            <v>753</v>
          </cell>
          <cell r="J294" t="str">
            <v>C</v>
          </cell>
        </row>
        <row r="295">
          <cell r="C295">
            <v>4683</v>
          </cell>
          <cell r="D295">
            <v>760</v>
          </cell>
          <cell r="E295">
            <v>15.22</v>
          </cell>
          <cell r="F295">
            <v>2.6</v>
          </cell>
          <cell r="G295">
            <v>0.36</v>
          </cell>
          <cell r="H295" t="str">
            <v xml:space="preserve">Slight </v>
          </cell>
          <cell r="I295">
            <v>362</v>
          </cell>
          <cell r="J295">
            <v>0</v>
          </cell>
        </row>
        <row r="296">
          <cell r="C296">
            <v>4575</v>
          </cell>
          <cell r="D296">
            <v>873</v>
          </cell>
          <cell r="E296">
            <v>12.45</v>
          </cell>
          <cell r="F296">
            <v>3.7</v>
          </cell>
          <cell r="G296">
            <v>0.69</v>
          </cell>
          <cell r="H296" t="str">
            <v>Modest</v>
          </cell>
          <cell r="I296">
            <v>535</v>
          </cell>
          <cell r="J296" t="str">
            <v>A-</v>
          </cell>
        </row>
        <row r="297">
          <cell r="C297">
            <v>4494</v>
          </cell>
          <cell r="D297">
            <v>831</v>
          </cell>
          <cell r="E297">
            <v>13.7</v>
          </cell>
          <cell r="F297">
            <v>2.5</v>
          </cell>
          <cell r="G297">
            <v>0.38</v>
          </cell>
          <cell r="H297" t="str">
            <v>Small</v>
          </cell>
          <cell r="I297">
            <v>417</v>
          </cell>
          <cell r="J297" t="str">
            <v>A+</v>
          </cell>
        </row>
        <row r="298">
          <cell r="C298">
            <v>4466</v>
          </cell>
          <cell r="D298">
            <v>736</v>
          </cell>
          <cell r="E298">
            <v>13</v>
          </cell>
          <cell r="F298">
            <v>3.2</v>
          </cell>
          <cell r="G298">
            <v>0.5</v>
          </cell>
          <cell r="H298" t="str">
            <v>Small</v>
          </cell>
          <cell r="I298">
            <v>469</v>
          </cell>
          <cell r="J298">
            <v>0</v>
          </cell>
        </row>
        <row r="299">
          <cell r="C299">
            <v>4517</v>
          </cell>
          <cell r="D299">
            <v>849</v>
          </cell>
          <cell r="E299">
            <v>16.5</v>
          </cell>
          <cell r="F299">
            <v>2.8</v>
          </cell>
          <cell r="G299">
            <v>0.45</v>
          </cell>
          <cell r="H299" t="str">
            <v>Modest</v>
          </cell>
          <cell r="I299">
            <v>507</v>
          </cell>
          <cell r="J299" t="str">
            <v>A-</v>
          </cell>
        </row>
        <row r="300">
          <cell r="C300">
            <v>4435</v>
          </cell>
          <cell r="D300">
            <v>913</v>
          </cell>
          <cell r="E300">
            <v>16.8</v>
          </cell>
          <cell r="F300">
            <v>3.6</v>
          </cell>
          <cell r="G300">
            <v>0.63</v>
          </cell>
          <cell r="H300" t="str">
            <v>Moderate</v>
          </cell>
          <cell r="I300">
            <v>636</v>
          </cell>
          <cell r="J300">
            <v>0</v>
          </cell>
        </row>
        <row r="301">
          <cell r="C301">
            <v>4607</v>
          </cell>
          <cell r="D301">
            <v>846</v>
          </cell>
          <cell r="E301">
            <v>12.9</v>
          </cell>
          <cell r="F301">
            <v>3.8</v>
          </cell>
          <cell r="G301">
            <v>0.84</v>
          </cell>
          <cell r="H301" t="str">
            <v>Modest</v>
          </cell>
          <cell r="I301">
            <v>543</v>
          </cell>
          <cell r="J301">
            <v>0</v>
          </cell>
        </row>
        <row r="302">
          <cell r="C302">
            <v>4564</v>
          </cell>
          <cell r="D302">
            <v>1040</v>
          </cell>
          <cell r="E302">
            <v>15.2</v>
          </cell>
          <cell r="F302">
            <v>3.9</v>
          </cell>
          <cell r="G302">
            <v>0.76800000000000002</v>
          </cell>
          <cell r="H302" t="str">
            <v>Moderate</v>
          </cell>
          <cell r="I302">
            <v>673</v>
          </cell>
          <cell r="J302" t="str">
            <v>C</v>
          </cell>
        </row>
        <row r="303">
          <cell r="C303">
            <v>4739</v>
          </cell>
          <cell r="D303">
            <v>757</v>
          </cell>
          <cell r="E303">
            <v>12.9</v>
          </cell>
          <cell r="F303">
            <v>3.3</v>
          </cell>
          <cell r="G303">
            <v>0.60399999999999998</v>
          </cell>
          <cell r="H303" t="str">
            <v>Modest</v>
          </cell>
          <cell r="I303">
            <v>551</v>
          </cell>
          <cell r="J303">
            <v>0</v>
          </cell>
        </row>
        <row r="304">
          <cell r="C304">
            <v>4344</v>
          </cell>
          <cell r="D304">
            <v>625</v>
          </cell>
          <cell r="E304">
            <v>12.5</v>
          </cell>
          <cell r="F304">
            <v>3</v>
          </cell>
          <cell r="G304">
            <v>0.39600000000000002</v>
          </cell>
          <cell r="H304" t="str">
            <v xml:space="preserve">Slight </v>
          </cell>
          <cell r="I304">
            <v>392</v>
          </cell>
          <cell r="J304">
            <v>0</v>
          </cell>
        </row>
        <row r="305">
          <cell r="C305">
            <v>4368</v>
          </cell>
          <cell r="D305">
            <v>826</v>
          </cell>
          <cell r="E305">
            <v>11.3</v>
          </cell>
          <cell r="F305">
            <v>4.5999999999999996</v>
          </cell>
          <cell r="G305">
            <v>1.1100000000000001</v>
          </cell>
          <cell r="H305" t="str">
            <v xml:space="preserve">Moderately Abundant </v>
          </cell>
          <cell r="I305">
            <v>800</v>
          </cell>
          <cell r="J305" t="str">
            <v>A</v>
          </cell>
        </row>
        <row r="306">
          <cell r="C306">
            <v>4596</v>
          </cell>
          <cell r="D306">
            <v>834</v>
          </cell>
          <cell r="E306">
            <v>14.2</v>
          </cell>
          <cell r="F306">
            <v>4.2</v>
          </cell>
          <cell r="G306">
            <v>0.91</v>
          </cell>
          <cell r="H306" t="str">
            <v>Modest</v>
          </cell>
          <cell r="I306">
            <v>561</v>
          </cell>
          <cell r="J306" t="str">
            <v>C</v>
          </cell>
        </row>
        <row r="307">
          <cell r="C307">
            <v>4714</v>
          </cell>
          <cell r="D307">
            <v>786</v>
          </cell>
          <cell r="E307">
            <v>12.9</v>
          </cell>
          <cell r="F307">
            <v>2.8</v>
          </cell>
          <cell r="G307">
            <v>0.39</v>
          </cell>
          <cell r="H307" t="str">
            <v>Slight</v>
          </cell>
          <cell r="I307">
            <v>381</v>
          </cell>
          <cell r="J307" t="str">
            <v>A-</v>
          </cell>
        </row>
        <row r="308">
          <cell r="C308">
            <v>4359</v>
          </cell>
          <cell r="D308">
            <v>894</v>
          </cell>
          <cell r="E308">
            <v>14.3</v>
          </cell>
          <cell r="F308">
            <v>3.6</v>
          </cell>
          <cell r="G308">
            <v>0.78</v>
          </cell>
          <cell r="H308" t="str">
            <v>Modest</v>
          </cell>
          <cell r="I308">
            <v>580</v>
          </cell>
          <cell r="J308">
            <v>0</v>
          </cell>
        </row>
        <row r="309">
          <cell r="C309">
            <v>4590</v>
          </cell>
          <cell r="D309">
            <v>861</v>
          </cell>
          <cell r="E309">
            <v>14</v>
          </cell>
          <cell r="F309">
            <v>3.3</v>
          </cell>
          <cell r="G309">
            <v>0.59</v>
          </cell>
          <cell r="H309" t="str">
            <v>Modest</v>
          </cell>
          <cell r="I309">
            <v>558</v>
          </cell>
          <cell r="J309">
            <v>0</v>
          </cell>
        </row>
        <row r="310">
          <cell r="C310">
            <v>4477</v>
          </cell>
          <cell r="D310">
            <v>786</v>
          </cell>
          <cell r="E310">
            <v>11.5</v>
          </cell>
          <cell r="F310">
            <v>4.55</v>
          </cell>
          <cell r="G310">
            <v>1.1000000000000001</v>
          </cell>
          <cell r="H310" t="str">
            <v>Modest</v>
          </cell>
          <cell r="I310">
            <v>516</v>
          </cell>
          <cell r="J310" t="str">
            <v>C</v>
          </cell>
        </row>
        <row r="311">
          <cell r="C311">
            <v>4417</v>
          </cell>
          <cell r="D311">
            <v>863</v>
          </cell>
          <cell r="E311">
            <v>11.83</v>
          </cell>
          <cell r="F311">
            <v>4.2</v>
          </cell>
          <cell r="G311">
            <v>1.0880000000000001</v>
          </cell>
          <cell r="H311" t="str">
            <v>Modest</v>
          </cell>
          <cell r="I311">
            <v>582</v>
          </cell>
          <cell r="J311" t="str">
            <v>A-</v>
          </cell>
        </row>
        <row r="312">
          <cell r="C312">
            <v>4406</v>
          </cell>
          <cell r="D312">
            <v>940</v>
          </cell>
          <cell r="E312">
            <v>13.46</v>
          </cell>
          <cell r="F312">
            <v>4.5999999999999996</v>
          </cell>
          <cell r="G312">
            <v>1.2</v>
          </cell>
          <cell r="H312" t="str">
            <v xml:space="preserve">Small </v>
          </cell>
          <cell r="I312">
            <v>466</v>
          </cell>
          <cell r="J312">
            <v>0</v>
          </cell>
        </row>
        <row r="313">
          <cell r="C313">
            <v>4574</v>
          </cell>
          <cell r="D313">
            <v>906</v>
          </cell>
          <cell r="E313">
            <v>13</v>
          </cell>
          <cell r="F313">
            <v>4.2</v>
          </cell>
          <cell r="G313">
            <v>0.92</v>
          </cell>
          <cell r="H313" t="str">
            <v>Moderate</v>
          </cell>
          <cell r="I313">
            <v>684</v>
          </cell>
          <cell r="J313">
            <v>0</v>
          </cell>
        </row>
        <row r="314">
          <cell r="C314">
            <v>4432</v>
          </cell>
          <cell r="D314">
            <v>778</v>
          </cell>
          <cell r="E314">
            <v>12.6</v>
          </cell>
          <cell r="F314">
            <v>3.6</v>
          </cell>
          <cell r="G314">
            <v>0.77</v>
          </cell>
          <cell r="H314" t="str">
            <v>Modest</v>
          </cell>
          <cell r="I314">
            <v>545</v>
          </cell>
          <cell r="J314">
            <v>0</v>
          </cell>
        </row>
        <row r="315">
          <cell r="C315">
            <v>4624</v>
          </cell>
          <cell r="D315">
            <v>926</v>
          </cell>
          <cell r="E315">
            <v>13.8</v>
          </cell>
          <cell r="F315">
            <v>4.0999999999999996</v>
          </cell>
          <cell r="G315">
            <v>0.96</v>
          </cell>
          <cell r="H315" t="str">
            <v>Small</v>
          </cell>
          <cell r="I315">
            <v>402</v>
          </cell>
          <cell r="J315">
            <v>0</v>
          </cell>
        </row>
        <row r="316">
          <cell r="C316">
            <v>4691</v>
          </cell>
          <cell r="D316">
            <v>665</v>
          </cell>
          <cell r="E316">
            <v>13.25</v>
          </cell>
          <cell r="F316">
            <v>2.8</v>
          </cell>
          <cell r="G316">
            <v>0.44</v>
          </cell>
          <cell r="H316" t="str">
            <v>Small</v>
          </cell>
          <cell r="I316">
            <v>421</v>
          </cell>
          <cell r="J316">
            <v>0</v>
          </cell>
        </row>
        <row r="317">
          <cell r="C317">
            <v>4668</v>
          </cell>
          <cell r="D317">
            <v>774</v>
          </cell>
          <cell r="E317">
            <v>14.45</v>
          </cell>
          <cell r="F317">
            <v>3.2</v>
          </cell>
          <cell r="G317">
            <v>0.51</v>
          </cell>
          <cell r="H317" t="str">
            <v>Modest</v>
          </cell>
          <cell r="I317">
            <v>552</v>
          </cell>
          <cell r="J317" t="str">
            <v>A-</v>
          </cell>
        </row>
        <row r="318">
          <cell r="C318">
            <v>4693</v>
          </cell>
          <cell r="D318">
            <v>805</v>
          </cell>
          <cell r="E318">
            <v>12.2</v>
          </cell>
          <cell r="F318">
            <v>3.6</v>
          </cell>
          <cell r="G318">
            <v>0.72</v>
          </cell>
          <cell r="H318" t="str">
            <v>Modest</v>
          </cell>
          <cell r="I318">
            <v>592</v>
          </cell>
          <cell r="J318">
            <v>0</v>
          </cell>
        </row>
        <row r="319">
          <cell r="C319">
            <v>4665</v>
          </cell>
          <cell r="D319">
            <v>839</v>
          </cell>
          <cell r="E319">
            <v>14.2</v>
          </cell>
          <cell r="F319">
            <v>3.4</v>
          </cell>
          <cell r="G319">
            <v>0.69</v>
          </cell>
          <cell r="H319" t="str">
            <v>Small</v>
          </cell>
          <cell r="I319">
            <v>487</v>
          </cell>
          <cell r="J319" t="str">
            <v>A-</v>
          </cell>
        </row>
        <row r="320">
          <cell r="C320">
            <v>4583</v>
          </cell>
          <cell r="D320">
            <v>870</v>
          </cell>
          <cell r="E320">
            <v>15.3</v>
          </cell>
          <cell r="F320">
            <v>2.8</v>
          </cell>
          <cell r="G320">
            <v>0.52</v>
          </cell>
          <cell r="H320" t="str">
            <v>Modest</v>
          </cell>
          <cell r="I320">
            <v>516</v>
          </cell>
          <cell r="J320">
            <v>0</v>
          </cell>
        </row>
        <row r="321">
          <cell r="C321">
            <v>4510</v>
          </cell>
          <cell r="D321">
            <v>924</v>
          </cell>
          <cell r="E321">
            <v>13.4</v>
          </cell>
          <cell r="F321">
            <v>3.9</v>
          </cell>
          <cell r="G321">
            <v>0.76</v>
          </cell>
          <cell r="H321" t="str">
            <v xml:space="preserve">Slightly Abundant </v>
          </cell>
          <cell r="I321">
            <v>710</v>
          </cell>
          <cell r="J321" t="str">
            <v>A</v>
          </cell>
        </row>
        <row r="322">
          <cell r="C322">
            <v>4469</v>
          </cell>
          <cell r="D322">
            <v>769</v>
          </cell>
          <cell r="E322">
            <v>13.1</v>
          </cell>
          <cell r="F322">
            <v>3.2</v>
          </cell>
          <cell r="G322">
            <v>0.56000000000000005</v>
          </cell>
          <cell r="H322" t="str">
            <v>Modest</v>
          </cell>
          <cell r="I322">
            <v>522</v>
          </cell>
          <cell r="J322">
            <v>0</v>
          </cell>
        </row>
        <row r="323">
          <cell r="C323">
            <v>4332</v>
          </cell>
          <cell r="D323">
            <v>856</v>
          </cell>
          <cell r="E323">
            <v>14.5</v>
          </cell>
          <cell r="F323">
            <v>3.3</v>
          </cell>
          <cell r="G323">
            <v>0.55000000000000004</v>
          </cell>
          <cell r="H323" t="str">
            <v>Moderate</v>
          </cell>
          <cell r="I323">
            <v>638</v>
          </cell>
          <cell r="J323">
            <v>0</v>
          </cell>
        </row>
        <row r="324">
          <cell r="C324">
            <v>4737</v>
          </cell>
          <cell r="D324">
            <v>806</v>
          </cell>
          <cell r="E324">
            <v>13.85</v>
          </cell>
          <cell r="F324">
            <v>3.6</v>
          </cell>
          <cell r="G324">
            <v>0.68</v>
          </cell>
          <cell r="H324" t="str">
            <v>Modest</v>
          </cell>
          <cell r="I324">
            <v>503</v>
          </cell>
          <cell r="J324" t="str">
            <v>A+</v>
          </cell>
        </row>
        <row r="325">
          <cell r="C325">
            <v>4768</v>
          </cell>
          <cell r="D325">
            <v>805</v>
          </cell>
          <cell r="E325">
            <v>13.5</v>
          </cell>
          <cell r="F325">
            <v>3.5</v>
          </cell>
          <cell r="G325">
            <v>0.66</v>
          </cell>
          <cell r="H325" t="str">
            <v>Modest</v>
          </cell>
          <cell r="I325">
            <v>583</v>
          </cell>
          <cell r="J325" t="str">
            <v>A-</v>
          </cell>
        </row>
        <row r="326">
          <cell r="C326">
            <v>4410</v>
          </cell>
          <cell r="D326">
            <v>772</v>
          </cell>
          <cell r="E326">
            <v>13.2</v>
          </cell>
          <cell r="F326">
            <v>3.2</v>
          </cell>
          <cell r="G326">
            <v>0.64</v>
          </cell>
          <cell r="H326" t="str">
            <v>Moderate</v>
          </cell>
          <cell r="I326">
            <v>697</v>
          </cell>
          <cell r="J326">
            <v>0</v>
          </cell>
        </row>
        <row r="327">
          <cell r="C327">
            <v>4593</v>
          </cell>
          <cell r="D327">
            <v>932</v>
          </cell>
          <cell r="E327">
            <v>14.65</v>
          </cell>
          <cell r="F327">
            <v>3.8</v>
          </cell>
          <cell r="G327">
            <v>0.8</v>
          </cell>
          <cell r="H327" t="str">
            <v>Moderate</v>
          </cell>
          <cell r="I327">
            <v>662</v>
          </cell>
          <cell r="J327">
            <v>0</v>
          </cell>
        </row>
        <row r="328">
          <cell r="C328">
            <v>4541</v>
          </cell>
          <cell r="D328">
            <v>830</v>
          </cell>
          <cell r="E328">
            <v>16.600000000000001</v>
          </cell>
          <cell r="F328">
            <v>3.1</v>
          </cell>
          <cell r="G328">
            <v>0.6</v>
          </cell>
          <cell r="H328" t="str">
            <v>Small</v>
          </cell>
          <cell r="I328">
            <v>447</v>
          </cell>
          <cell r="J328">
            <v>0</v>
          </cell>
        </row>
        <row r="329">
          <cell r="C329">
            <v>4752</v>
          </cell>
          <cell r="D329">
            <v>809</v>
          </cell>
          <cell r="E329">
            <v>12.8</v>
          </cell>
          <cell r="F329">
            <v>3.3</v>
          </cell>
          <cell r="G329">
            <v>0.64400000000000002</v>
          </cell>
          <cell r="H329" t="str">
            <v>Modest</v>
          </cell>
          <cell r="I329">
            <v>563</v>
          </cell>
          <cell r="J329" t="str">
            <v>C</v>
          </cell>
        </row>
        <row r="330">
          <cell r="C330">
            <v>4608</v>
          </cell>
          <cell r="D330">
            <v>832</v>
          </cell>
          <cell r="E330">
            <v>13.4</v>
          </cell>
          <cell r="F330">
            <v>3.1</v>
          </cell>
          <cell r="G330">
            <v>0.44000000000000006</v>
          </cell>
          <cell r="H330" t="str">
            <v>Modest</v>
          </cell>
          <cell r="I330">
            <v>516</v>
          </cell>
          <cell r="J330">
            <v>0</v>
          </cell>
        </row>
        <row r="331">
          <cell r="C331">
            <v>4715</v>
          </cell>
          <cell r="D331">
            <v>938</v>
          </cell>
          <cell r="E331">
            <v>13.9</v>
          </cell>
          <cell r="F331">
            <v>3.5</v>
          </cell>
          <cell r="G331">
            <v>0.6</v>
          </cell>
          <cell r="H331" t="str">
            <v>Modest</v>
          </cell>
          <cell r="I331">
            <v>595</v>
          </cell>
          <cell r="J331">
            <v>0</v>
          </cell>
        </row>
        <row r="332">
          <cell r="C332">
            <v>4573</v>
          </cell>
          <cell r="D332">
            <v>833</v>
          </cell>
          <cell r="E332">
            <v>13.76</v>
          </cell>
          <cell r="F332">
            <v>3.86</v>
          </cell>
          <cell r="G332">
            <v>0.88</v>
          </cell>
          <cell r="H332" t="str">
            <v>Modest</v>
          </cell>
          <cell r="I332">
            <v>592</v>
          </cell>
          <cell r="J332" t="str">
            <v>A+</v>
          </cell>
        </row>
        <row r="333">
          <cell r="C333">
            <v>4732</v>
          </cell>
          <cell r="D333">
            <v>958</v>
          </cell>
          <cell r="E333">
            <v>14.13</v>
          </cell>
          <cell r="F333">
            <v>3.63</v>
          </cell>
          <cell r="G333">
            <v>0.67600000000000005</v>
          </cell>
          <cell r="H333" t="str">
            <v xml:space="preserve">Modest </v>
          </cell>
          <cell r="I333">
            <v>536</v>
          </cell>
          <cell r="J333" t="str">
            <v>A+</v>
          </cell>
        </row>
        <row r="334">
          <cell r="C334">
            <v>4378</v>
          </cell>
          <cell r="D334">
            <v>793</v>
          </cell>
          <cell r="E334">
            <v>13</v>
          </cell>
          <cell r="F334">
            <v>3.1</v>
          </cell>
          <cell r="G334">
            <v>0.57999999999999996</v>
          </cell>
          <cell r="H334" t="str">
            <v xml:space="preserve">Slight </v>
          </cell>
          <cell r="I334">
            <v>349</v>
          </cell>
          <cell r="J334" t="str">
            <v>A-</v>
          </cell>
        </row>
        <row r="335">
          <cell r="C335">
            <v>4323</v>
          </cell>
          <cell r="D335">
            <v>873</v>
          </cell>
          <cell r="E335">
            <v>15.3</v>
          </cell>
          <cell r="F335">
            <v>4</v>
          </cell>
          <cell r="G335">
            <v>0.88800000000000001</v>
          </cell>
          <cell r="H335" t="str">
            <v xml:space="preserve">Moderate </v>
          </cell>
          <cell r="I335">
            <v>616</v>
          </cell>
          <cell r="J335">
            <v>0</v>
          </cell>
        </row>
        <row r="336">
          <cell r="C336">
            <v>4493</v>
          </cell>
          <cell r="D336">
            <v>937</v>
          </cell>
          <cell r="E336">
            <v>15.1</v>
          </cell>
          <cell r="F336">
            <v>3.3</v>
          </cell>
          <cell r="G336">
            <v>0.76</v>
          </cell>
          <cell r="H336" t="str">
            <v>Modest</v>
          </cell>
          <cell r="I336">
            <v>529</v>
          </cell>
          <cell r="J336">
            <v>0</v>
          </cell>
        </row>
        <row r="337">
          <cell r="C337">
            <v>4572</v>
          </cell>
          <cell r="D337">
            <v>650</v>
          </cell>
          <cell r="E337">
            <v>14.6</v>
          </cell>
          <cell r="F337">
            <v>2.85</v>
          </cell>
          <cell r="G337">
            <v>0.4</v>
          </cell>
          <cell r="H337" t="str">
            <v>Slight</v>
          </cell>
          <cell r="I337">
            <v>395</v>
          </cell>
          <cell r="J337">
            <v>0</v>
          </cell>
        </row>
        <row r="338">
          <cell r="C338">
            <v>4352</v>
          </cell>
          <cell r="D338">
            <v>946</v>
          </cell>
          <cell r="E338">
            <v>14.2</v>
          </cell>
          <cell r="F338">
            <v>3.5</v>
          </cell>
          <cell r="G338">
            <v>0.63</v>
          </cell>
          <cell r="H338" t="str">
            <v xml:space="preserve">Slightly Abundant </v>
          </cell>
          <cell r="I338">
            <v>791</v>
          </cell>
          <cell r="J338" t="str">
            <v>A</v>
          </cell>
        </row>
        <row r="339">
          <cell r="C339">
            <v>4426</v>
          </cell>
          <cell r="D339">
            <v>864</v>
          </cell>
          <cell r="E339">
            <v>13.2</v>
          </cell>
          <cell r="F339">
            <v>3</v>
          </cell>
          <cell r="G339">
            <v>0.54</v>
          </cell>
          <cell r="H339" t="str">
            <v>Moderate</v>
          </cell>
          <cell r="I339">
            <v>631</v>
          </cell>
          <cell r="J339" t="str">
            <v>A+</v>
          </cell>
        </row>
        <row r="340">
          <cell r="C340">
            <v>4321</v>
          </cell>
          <cell r="D340">
            <v>836</v>
          </cell>
          <cell r="E340">
            <v>13.7</v>
          </cell>
          <cell r="F340">
            <v>3</v>
          </cell>
          <cell r="G340">
            <v>0.54400000000000004</v>
          </cell>
          <cell r="H340" t="str">
            <v>Modest</v>
          </cell>
          <cell r="I340">
            <v>581</v>
          </cell>
          <cell r="J340" t="str">
            <v>A-</v>
          </cell>
        </row>
        <row r="341">
          <cell r="C341">
            <v>4758</v>
          </cell>
          <cell r="D341">
            <v>907</v>
          </cell>
          <cell r="E341">
            <v>15.67</v>
          </cell>
          <cell r="F341">
            <v>3.6</v>
          </cell>
          <cell r="G341">
            <v>0.72</v>
          </cell>
          <cell r="H341" t="str">
            <v>Small</v>
          </cell>
          <cell r="I341">
            <v>476</v>
          </cell>
          <cell r="J341">
            <v>0</v>
          </cell>
        </row>
        <row r="342">
          <cell r="C342">
            <v>4631</v>
          </cell>
          <cell r="D342">
            <v>816</v>
          </cell>
          <cell r="E342">
            <v>14.4</v>
          </cell>
          <cell r="F342">
            <v>3</v>
          </cell>
          <cell r="G342">
            <v>0.41</v>
          </cell>
          <cell r="H342" t="str">
            <v xml:space="preserve">Slight </v>
          </cell>
          <cell r="I342">
            <v>397</v>
          </cell>
          <cell r="J342">
            <v>0</v>
          </cell>
        </row>
        <row r="343">
          <cell r="C343">
            <v>4408</v>
          </cell>
          <cell r="D343">
            <v>792</v>
          </cell>
          <cell r="E343">
            <v>13.5</v>
          </cell>
          <cell r="F343">
            <v>3.2</v>
          </cell>
          <cell r="G343">
            <v>0.6</v>
          </cell>
          <cell r="H343" t="str">
            <v>Small</v>
          </cell>
          <cell r="I343">
            <v>439</v>
          </cell>
          <cell r="J343" t="str">
            <v>A-</v>
          </cell>
        </row>
        <row r="344">
          <cell r="C344">
            <v>4612</v>
          </cell>
          <cell r="D344">
            <v>860</v>
          </cell>
          <cell r="E344">
            <v>15.5</v>
          </cell>
          <cell r="F344">
            <v>3</v>
          </cell>
          <cell r="G344">
            <v>0.5</v>
          </cell>
          <cell r="H344" t="str">
            <v>Small</v>
          </cell>
          <cell r="I344">
            <v>451</v>
          </cell>
          <cell r="J344">
            <v>0</v>
          </cell>
        </row>
        <row r="345">
          <cell r="C345">
            <v>4506</v>
          </cell>
          <cell r="D345">
            <v>881</v>
          </cell>
          <cell r="E345">
            <v>16.2</v>
          </cell>
          <cell r="F345">
            <v>3.3</v>
          </cell>
          <cell r="G345">
            <v>0.63</v>
          </cell>
          <cell r="H345" t="str">
            <v>Modest</v>
          </cell>
          <cell r="I345">
            <v>571</v>
          </cell>
          <cell r="J345" t="str">
            <v>A+</v>
          </cell>
        </row>
        <row r="346">
          <cell r="C346">
            <v>4672</v>
          </cell>
          <cell r="D346">
            <v>808</v>
          </cell>
          <cell r="E346">
            <v>14.1</v>
          </cell>
          <cell r="F346">
            <v>3.54</v>
          </cell>
          <cell r="G346">
            <v>0.67</v>
          </cell>
          <cell r="H346" t="str">
            <v>Modest</v>
          </cell>
          <cell r="I346">
            <v>575</v>
          </cell>
          <cell r="J346" t="str">
            <v>A-</v>
          </cell>
        </row>
        <row r="347">
          <cell r="C347">
            <v>4617</v>
          </cell>
          <cell r="D347">
            <v>778</v>
          </cell>
          <cell r="E347">
            <v>14</v>
          </cell>
          <cell r="F347">
            <v>3.7</v>
          </cell>
          <cell r="G347">
            <v>0.81</v>
          </cell>
          <cell r="H347" t="str">
            <v>Small</v>
          </cell>
          <cell r="I347">
            <v>473</v>
          </cell>
          <cell r="J347" t="str">
            <v>C</v>
          </cell>
        </row>
        <row r="348">
          <cell r="C348">
            <v>4619</v>
          </cell>
          <cell r="D348">
            <v>811</v>
          </cell>
          <cell r="E348">
            <v>12.7</v>
          </cell>
          <cell r="F348">
            <v>3.7</v>
          </cell>
          <cell r="G348">
            <v>0.75</v>
          </cell>
          <cell r="H348" t="str">
            <v xml:space="preserve">Moderate </v>
          </cell>
          <cell r="I348">
            <v>616</v>
          </cell>
          <cell r="J348">
            <v>0</v>
          </cell>
        </row>
        <row r="349">
          <cell r="C349">
            <v>4327</v>
          </cell>
          <cell r="D349">
            <v>881</v>
          </cell>
          <cell r="E349">
            <v>16.64</v>
          </cell>
          <cell r="F349">
            <v>2.69</v>
          </cell>
          <cell r="G349">
            <v>0.35199999999999998</v>
          </cell>
          <cell r="H349" t="str">
            <v>Slight</v>
          </cell>
          <cell r="I349">
            <v>351</v>
          </cell>
          <cell r="J349" t="str">
            <v>A-</v>
          </cell>
        </row>
        <row r="350">
          <cell r="C350">
            <v>4589</v>
          </cell>
          <cell r="D350">
            <v>782</v>
          </cell>
          <cell r="E350">
            <v>13.4</v>
          </cell>
          <cell r="F350">
            <v>3.5</v>
          </cell>
          <cell r="G350">
            <v>0.67</v>
          </cell>
          <cell r="H350" t="str">
            <v>Moderate</v>
          </cell>
          <cell r="I350">
            <v>629</v>
          </cell>
          <cell r="J350" t="str">
            <v>C</v>
          </cell>
        </row>
        <row r="351">
          <cell r="C351">
            <v>4636</v>
          </cell>
          <cell r="D351">
            <v>772</v>
          </cell>
          <cell r="E351">
            <v>13.9</v>
          </cell>
          <cell r="F351">
            <v>2.4</v>
          </cell>
          <cell r="G351">
            <v>0.37</v>
          </cell>
          <cell r="H351" t="str">
            <v xml:space="preserve">Slight </v>
          </cell>
          <cell r="I351">
            <v>356</v>
          </cell>
          <cell r="J351">
            <v>0</v>
          </cell>
        </row>
        <row r="352">
          <cell r="C352">
            <v>4393</v>
          </cell>
          <cell r="D352">
            <v>844</v>
          </cell>
          <cell r="E352">
            <v>15.6</v>
          </cell>
          <cell r="F352">
            <v>3</v>
          </cell>
          <cell r="G352">
            <v>0.47</v>
          </cell>
          <cell r="H352" t="str">
            <v>Modest</v>
          </cell>
          <cell r="I352">
            <v>550</v>
          </cell>
          <cell r="J352" t="str">
            <v>A-</v>
          </cell>
        </row>
        <row r="353">
          <cell r="C353">
            <v>4372</v>
          </cell>
          <cell r="D353">
            <v>822</v>
          </cell>
          <cell r="E353">
            <v>14.6</v>
          </cell>
          <cell r="F353">
            <v>2.9</v>
          </cell>
          <cell r="G353">
            <v>0.46</v>
          </cell>
          <cell r="H353" t="str">
            <v>Modest</v>
          </cell>
          <cell r="I353">
            <v>593</v>
          </cell>
          <cell r="J353" t="str">
            <v>A-</v>
          </cell>
        </row>
        <row r="354">
          <cell r="C354">
            <v>4329</v>
          </cell>
          <cell r="D354">
            <v>853</v>
          </cell>
          <cell r="E354">
            <v>13.7</v>
          </cell>
          <cell r="F354">
            <v>4.2</v>
          </cell>
          <cell r="G354">
            <v>0.88000000000000012</v>
          </cell>
          <cell r="H354" t="str">
            <v>Small</v>
          </cell>
          <cell r="I354">
            <v>458</v>
          </cell>
          <cell r="J354">
            <v>0</v>
          </cell>
        </row>
        <row r="355">
          <cell r="C355">
            <v>4456</v>
          </cell>
          <cell r="D355">
            <v>842</v>
          </cell>
          <cell r="E355">
            <v>13.5</v>
          </cell>
          <cell r="F355">
            <v>3.5</v>
          </cell>
          <cell r="G355">
            <v>0.76</v>
          </cell>
          <cell r="H355" t="str">
            <v>Moderate</v>
          </cell>
          <cell r="I355">
            <v>623</v>
          </cell>
          <cell r="J355" t="str">
            <v>A-</v>
          </cell>
        </row>
        <row r="356">
          <cell r="C356">
            <v>4709</v>
          </cell>
          <cell r="D356">
            <v>860</v>
          </cell>
          <cell r="E356">
            <v>14.52</v>
          </cell>
          <cell r="F356">
            <v>2.7</v>
          </cell>
          <cell r="G356">
            <v>0.49</v>
          </cell>
          <cell r="H356" t="str">
            <v>Modest</v>
          </cell>
          <cell r="I356">
            <v>576</v>
          </cell>
          <cell r="J356" t="str">
            <v>A+</v>
          </cell>
        </row>
        <row r="357">
          <cell r="C357">
            <v>4674</v>
          </cell>
          <cell r="D357">
            <v>756</v>
          </cell>
          <cell r="E357">
            <v>13.7</v>
          </cell>
          <cell r="F357">
            <v>3.3</v>
          </cell>
          <cell r="G357">
            <v>0.71</v>
          </cell>
          <cell r="H357" t="str">
            <v>Small</v>
          </cell>
          <cell r="I357">
            <v>479</v>
          </cell>
          <cell r="J357">
            <v>0</v>
          </cell>
        </row>
        <row r="358">
          <cell r="C358">
            <v>4491</v>
          </cell>
          <cell r="D358">
            <v>839</v>
          </cell>
          <cell r="E358">
            <v>14.7</v>
          </cell>
          <cell r="F358">
            <v>3.3</v>
          </cell>
          <cell r="G358">
            <v>0.53</v>
          </cell>
          <cell r="H358" t="str">
            <v>Modest</v>
          </cell>
          <cell r="I358">
            <v>516</v>
          </cell>
          <cell r="J358">
            <v>0</v>
          </cell>
        </row>
        <row r="359">
          <cell r="C359">
            <v>4484</v>
          </cell>
          <cell r="D359">
            <v>891</v>
          </cell>
          <cell r="E359">
            <v>15.1</v>
          </cell>
          <cell r="F359">
            <v>3.8</v>
          </cell>
          <cell r="G359">
            <v>0.76</v>
          </cell>
          <cell r="H359" t="str">
            <v>Moderate</v>
          </cell>
          <cell r="I359">
            <v>664</v>
          </cell>
          <cell r="J359" t="str">
            <v>A-</v>
          </cell>
        </row>
        <row r="360">
          <cell r="C360">
            <v>4643</v>
          </cell>
          <cell r="D360">
            <v>833</v>
          </cell>
          <cell r="E360">
            <v>15.4</v>
          </cell>
          <cell r="F360">
            <v>3.2</v>
          </cell>
          <cell r="G360">
            <v>0.72</v>
          </cell>
          <cell r="H360" t="str">
            <v>Small</v>
          </cell>
          <cell r="I360">
            <v>446</v>
          </cell>
          <cell r="J360" t="str">
            <v>C</v>
          </cell>
        </row>
        <row r="361">
          <cell r="C361">
            <v>4771</v>
          </cell>
          <cell r="D361">
            <v>907</v>
          </cell>
          <cell r="E361">
            <v>14.25</v>
          </cell>
          <cell r="F361">
            <v>3.9</v>
          </cell>
          <cell r="G361">
            <v>0.75</v>
          </cell>
          <cell r="H361" t="str">
            <v>Modest</v>
          </cell>
          <cell r="I361">
            <v>589</v>
          </cell>
          <cell r="J361">
            <v>0</v>
          </cell>
        </row>
        <row r="362">
          <cell r="C362">
            <v>4512</v>
          </cell>
          <cell r="D362">
            <v>848</v>
          </cell>
          <cell r="E362">
            <v>15.2</v>
          </cell>
          <cell r="F362">
            <v>3.1</v>
          </cell>
          <cell r="G362">
            <v>0.46</v>
          </cell>
          <cell r="H362" t="str">
            <v xml:space="preserve">Moderate </v>
          </cell>
          <cell r="I362">
            <v>697</v>
          </cell>
          <cell r="J362">
            <v>0</v>
          </cell>
        </row>
        <row r="363">
          <cell r="C363">
            <v>4496</v>
          </cell>
          <cell r="D363">
            <v>859</v>
          </cell>
          <cell r="E363">
            <v>16.2</v>
          </cell>
          <cell r="F363">
            <v>4.0999999999999996</v>
          </cell>
          <cell r="G363">
            <v>0.92</v>
          </cell>
          <cell r="H363" t="str">
            <v>Modest</v>
          </cell>
          <cell r="I363">
            <v>598</v>
          </cell>
          <cell r="J363" t="str">
            <v>C</v>
          </cell>
        </row>
        <row r="364">
          <cell r="C364">
            <v>4429</v>
          </cell>
          <cell r="D364">
            <v>841</v>
          </cell>
          <cell r="E364">
            <v>12.85</v>
          </cell>
          <cell r="F364">
            <v>3.8</v>
          </cell>
          <cell r="G364">
            <v>0.73</v>
          </cell>
          <cell r="H364" t="str">
            <v>Slightly Abundant</v>
          </cell>
          <cell r="I364">
            <v>752</v>
          </cell>
          <cell r="J364" t="str">
            <v>A+</v>
          </cell>
        </row>
        <row r="365">
          <cell r="C365">
            <v>4747</v>
          </cell>
          <cell r="D365">
            <v>768</v>
          </cell>
          <cell r="E365">
            <v>12.2</v>
          </cell>
          <cell r="F365">
            <v>3.91</v>
          </cell>
          <cell r="G365">
            <v>0.82</v>
          </cell>
          <cell r="H365" t="str">
            <v xml:space="preserve">Small </v>
          </cell>
          <cell r="I365">
            <v>460</v>
          </cell>
          <cell r="J365" t="str">
            <v>A-</v>
          </cell>
        </row>
        <row r="366">
          <cell r="C366">
            <v>4384</v>
          </cell>
          <cell r="D366">
            <v>817</v>
          </cell>
          <cell r="E366">
            <v>12.9</v>
          </cell>
          <cell r="F366">
            <v>3.85</v>
          </cell>
          <cell r="G366">
            <v>0.82</v>
          </cell>
          <cell r="H366" t="str">
            <v xml:space="preserve">Slightly Abundant </v>
          </cell>
          <cell r="I366">
            <v>701</v>
          </cell>
          <cell r="J366" t="str">
            <v>A</v>
          </cell>
        </row>
        <row r="367">
          <cell r="C367">
            <v>4713</v>
          </cell>
          <cell r="D367">
            <v>871</v>
          </cell>
          <cell r="E367">
            <v>14.1</v>
          </cell>
          <cell r="F367">
            <v>4.5999999999999996</v>
          </cell>
          <cell r="G367">
            <v>1.1299999999999999</v>
          </cell>
          <cell r="H367" t="str">
            <v>Small</v>
          </cell>
          <cell r="I367">
            <v>496</v>
          </cell>
          <cell r="J367">
            <v>0</v>
          </cell>
        </row>
        <row r="368">
          <cell r="C368">
            <v>4312</v>
          </cell>
          <cell r="D368">
            <v>802</v>
          </cell>
          <cell r="E368">
            <v>11.7</v>
          </cell>
          <cell r="F368">
            <v>3.3</v>
          </cell>
          <cell r="G368">
            <v>0.72</v>
          </cell>
          <cell r="H368" t="str">
            <v xml:space="preserve">Slightly Abundant </v>
          </cell>
          <cell r="I368">
            <v>714</v>
          </cell>
          <cell r="J368" t="str">
            <v>A</v>
          </cell>
        </row>
        <row r="369">
          <cell r="C369">
            <v>4388</v>
          </cell>
          <cell r="D369">
            <v>883</v>
          </cell>
          <cell r="E369">
            <v>15.1</v>
          </cell>
          <cell r="F369">
            <v>3.5</v>
          </cell>
          <cell r="G369">
            <v>0.63</v>
          </cell>
          <cell r="H369" t="str">
            <v>Small</v>
          </cell>
          <cell r="I369">
            <v>495</v>
          </cell>
          <cell r="J369" t="str">
            <v>A+</v>
          </cell>
        </row>
        <row r="370">
          <cell r="C370">
            <v>4704</v>
          </cell>
          <cell r="D370">
            <v>889</v>
          </cell>
          <cell r="E370">
            <v>13.9</v>
          </cell>
          <cell r="F370">
            <v>3.5</v>
          </cell>
          <cell r="G370">
            <v>0.62</v>
          </cell>
          <cell r="H370" t="str">
            <v>Modest</v>
          </cell>
          <cell r="I370">
            <v>508</v>
          </cell>
          <cell r="J370">
            <v>0</v>
          </cell>
        </row>
        <row r="371">
          <cell r="C371">
            <v>4411</v>
          </cell>
          <cell r="D371">
            <v>757</v>
          </cell>
          <cell r="E371">
            <v>12.1</v>
          </cell>
          <cell r="F371">
            <v>3.05</v>
          </cell>
          <cell r="G371">
            <v>0.75</v>
          </cell>
          <cell r="H371" t="str">
            <v xml:space="preserve">Small </v>
          </cell>
          <cell r="I371">
            <v>478</v>
          </cell>
          <cell r="J371" t="str">
            <v>A-</v>
          </cell>
        </row>
        <row r="372">
          <cell r="C372">
            <v>4448</v>
          </cell>
          <cell r="D372">
            <v>813</v>
          </cell>
          <cell r="E372">
            <v>12.6</v>
          </cell>
          <cell r="F372">
            <v>3.5</v>
          </cell>
          <cell r="G372">
            <v>0.68</v>
          </cell>
          <cell r="H372" t="str">
            <v xml:space="preserve">Slightly Abundant </v>
          </cell>
          <cell r="I372">
            <v>714</v>
          </cell>
          <cell r="J372">
            <v>0</v>
          </cell>
        </row>
        <row r="373">
          <cell r="C373">
            <v>4546</v>
          </cell>
          <cell r="D373">
            <v>778</v>
          </cell>
          <cell r="E373">
            <v>15.3</v>
          </cell>
          <cell r="F373">
            <v>3.6</v>
          </cell>
          <cell r="G373">
            <v>0.64</v>
          </cell>
          <cell r="H373" t="str">
            <v xml:space="preserve">Moderate </v>
          </cell>
          <cell r="I373">
            <v>628</v>
          </cell>
          <cell r="J373">
            <v>0</v>
          </cell>
        </row>
        <row r="374">
          <cell r="C374">
            <v>4475</v>
          </cell>
          <cell r="D374">
            <v>870</v>
          </cell>
          <cell r="E374">
            <v>14.5</v>
          </cell>
          <cell r="F374">
            <v>3.2</v>
          </cell>
          <cell r="G374">
            <v>0.56000000000000005</v>
          </cell>
          <cell r="H374" t="str">
            <v>Small</v>
          </cell>
          <cell r="I374">
            <v>461</v>
          </cell>
          <cell r="J374">
            <v>0</v>
          </cell>
        </row>
        <row r="375">
          <cell r="C375">
            <v>4481</v>
          </cell>
          <cell r="D375">
            <v>889</v>
          </cell>
          <cell r="E375">
            <v>14.8</v>
          </cell>
          <cell r="F375">
            <v>3.3</v>
          </cell>
          <cell r="G375">
            <v>0.51999999999999991</v>
          </cell>
          <cell r="H375" t="str">
            <v>Small</v>
          </cell>
          <cell r="I375">
            <v>486</v>
          </cell>
          <cell r="J375">
            <v>0</v>
          </cell>
        </row>
        <row r="376">
          <cell r="C376">
            <v>4676</v>
          </cell>
          <cell r="D376">
            <v>886</v>
          </cell>
          <cell r="E376">
            <v>13.96</v>
          </cell>
          <cell r="F376">
            <v>3.8</v>
          </cell>
          <cell r="G376">
            <v>0.77</v>
          </cell>
          <cell r="H376" t="str">
            <v>Small</v>
          </cell>
          <cell r="I376">
            <v>401</v>
          </cell>
          <cell r="J376">
            <v>0</v>
          </cell>
        </row>
        <row r="377">
          <cell r="C377">
            <v>4527</v>
          </cell>
          <cell r="D377">
            <v>794</v>
          </cell>
          <cell r="E377" t="str">
            <v>.</v>
          </cell>
          <cell r="F377" t="str">
            <v>.</v>
          </cell>
          <cell r="G377" t="str">
            <v>.</v>
          </cell>
          <cell r="H377" t="str">
            <v xml:space="preserve">Slightly Abundant </v>
          </cell>
          <cell r="I377">
            <v>723</v>
          </cell>
          <cell r="J377" t="str">
            <v>A-</v>
          </cell>
        </row>
        <row r="378">
          <cell r="C378">
            <v>4666</v>
          </cell>
          <cell r="D378">
            <v>909</v>
          </cell>
          <cell r="E378">
            <v>13.67</v>
          </cell>
          <cell r="F378">
            <v>3.45</v>
          </cell>
          <cell r="G378">
            <v>0.7</v>
          </cell>
          <cell r="H378" t="str">
            <v xml:space="preserve">Moderate </v>
          </cell>
          <cell r="I378">
            <v>689</v>
          </cell>
          <cell r="J378">
            <v>0</v>
          </cell>
        </row>
        <row r="379">
          <cell r="C379">
            <v>4600</v>
          </cell>
          <cell r="D379">
            <v>770</v>
          </cell>
          <cell r="E379">
            <v>14.45</v>
          </cell>
          <cell r="F379">
            <v>3.2</v>
          </cell>
          <cell r="G379">
            <v>0.5</v>
          </cell>
          <cell r="H379" t="str">
            <v>Small</v>
          </cell>
          <cell r="I379">
            <v>450</v>
          </cell>
          <cell r="J379">
            <v>0</v>
          </cell>
        </row>
        <row r="380">
          <cell r="C380">
            <v>4681</v>
          </cell>
          <cell r="D380">
            <v>853</v>
          </cell>
          <cell r="E380">
            <v>15.5</v>
          </cell>
          <cell r="F380">
            <v>3.25</v>
          </cell>
          <cell r="G380">
            <v>0.63</v>
          </cell>
          <cell r="H380" t="str">
            <v>Small</v>
          </cell>
          <cell r="I380">
            <v>484</v>
          </cell>
          <cell r="J380">
            <v>0</v>
          </cell>
        </row>
        <row r="381">
          <cell r="C381">
            <v>4383</v>
          </cell>
          <cell r="D381">
            <v>730</v>
          </cell>
          <cell r="E381">
            <v>12.7</v>
          </cell>
          <cell r="F381">
            <v>2.8</v>
          </cell>
          <cell r="G381">
            <v>0.33</v>
          </cell>
          <cell r="H381" t="str">
            <v>Small</v>
          </cell>
          <cell r="I381">
            <v>417</v>
          </cell>
          <cell r="J381">
            <v>0</v>
          </cell>
        </row>
        <row r="382">
          <cell r="C382">
            <v>4545</v>
          </cell>
          <cell r="D382">
            <v>732</v>
          </cell>
          <cell r="E382">
            <v>12.4</v>
          </cell>
          <cell r="F382">
            <v>3.05</v>
          </cell>
          <cell r="G382">
            <v>0.6</v>
          </cell>
          <cell r="H382" t="str">
            <v>Small</v>
          </cell>
          <cell r="I382">
            <v>451</v>
          </cell>
          <cell r="J382">
            <v>0</v>
          </cell>
        </row>
        <row r="383">
          <cell r="C383">
            <v>4742</v>
          </cell>
          <cell r="D383">
            <v>795</v>
          </cell>
          <cell r="E383">
            <v>14.7</v>
          </cell>
          <cell r="F383">
            <v>3.3</v>
          </cell>
          <cell r="G383">
            <v>0.56999999999999995</v>
          </cell>
          <cell r="H383" t="str">
            <v xml:space="preserve">Moderate </v>
          </cell>
          <cell r="I383">
            <v>611</v>
          </cell>
          <cell r="J383">
            <v>0</v>
          </cell>
        </row>
        <row r="384">
          <cell r="C384">
            <v>4467</v>
          </cell>
          <cell r="D384">
            <v>852</v>
          </cell>
          <cell r="E384">
            <v>13.1</v>
          </cell>
          <cell r="F384">
            <v>3.5</v>
          </cell>
          <cell r="G384">
            <v>0.79</v>
          </cell>
          <cell r="H384" t="str">
            <v>Small</v>
          </cell>
          <cell r="I384">
            <v>407</v>
          </cell>
          <cell r="J384">
            <v>0</v>
          </cell>
        </row>
        <row r="385">
          <cell r="C385">
            <v>4630</v>
          </cell>
          <cell r="D385">
            <v>886</v>
          </cell>
          <cell r="E385">
            <v>13.9</v>
          </cell>
          <cell r="F385">
            <v>4</v>
          </cell>
          <cell r="G385">
            <v>0.8</v>
          </cell>
          <cell r="H385" t="str">
            <v>Modest</v>
          </cell>
          <cell r="I385">
            <v>547</v>
          </cell>
          <cell r="J385">
            <v>0</v>
          </cell>
        </row>
        <row r="386">
          <cell r="C386">
            <v>4634</v>
          </cell>
          <cell r="D386">
            <v>798</v>
          </cell>
          <cell r="E386">
            <v>12.6</v>
          </cell>
          <cell r="F386">
            <v>3.7</v>
          </cell>
          <cell r="G386">
            <v>0.72</v>
          </cell>
          <cell r="H386" t="str">
            <v>Moderately Abundant</v>
          </cell>
          <cell r="I386">
            <v>814</v>
          </cell>
          <cell r="J386">
            <v>0</v>
          </cell>
        </row>
        <row r="387">
          <cell r="C387">
            <v>4442</v>
          </cell>
          <cell r="D387">
            <v>901</v>
          </cell>
          <cell r="E387">
            <v>14.65</v>
          </cell>
          <cell r="F387">
            <v>3.3</v>
          </cell>
          <cell r="G387">
            <v>0.55000000000000004</v>
          </cell>
          <cell r="H387" t="str">
            <v xml:space="preserve">Slightly Abundant </v>
          </cell>
          <cell r="I387">
            <v>750</v>
          </cell>
          <cell r="J387" t="str">
            <v>A-</v>
          </cell>
        </row>
        <row r="388">
          <cell r="C388">
            <v>4396</v>
          </cell>
          <cell r="D388">
            <v>782</v>
          </cell>
          <cell r="E388">
            <v>15.8</v>
          </cell>
          <cell r="F388">
            <v>3.3</v>
          </cell>
          <cell r="G388">
            <v>0.51999999999999991</v>
          </cell>
          <cell r="H388" t="str">
            <v>Small</v>
          </cell>
          <cell r="I388">
            <v>444</v>
          </cell>
          <cell r="J388">
            <v>0</v>
          </cell>
        </row>
        <row r="389">
          <cell r="C389">
            <v>4738</v>
          </cell>
          <cell r="D389">
            <v>921</v>
          </cell>
          <cell r="E389">
            <v>14</v>
          </cell>
          <cell r="F389">
            <v>3.7</v>
          </cell>
          <cell r="G389">
            <v>0.75</v>
          </cell>
          <cell r="H389" t="str">
            <v>Modest</v>
          </cell>
          <cell r="I389">
            <v>535</v>
          </cell>
          <cell r="J389">
            <v>0</v>
          </cell>
        </row>
        <row r="390">
          <cell r="C390">
            <v>4488</v>
          </cell>
          <cell r="D390">
            <v>868</v>
          </cell>
          <cell r="E390">
            <v>13</v>
          </cell>
          <cell r="F390">
            <v>3.5</v>
          </cell>
          <cell r="G390">
            <v>0.6</v>
          </cell>
          <cell r="H390" t="str">
            <v>Modest</v>
          </cell>
          <cell r="I390">
            <v>512</v>
          </cell>
          <cell r="J390" t="str">
            <v>A+</v>
          </cell>
        </row>
        <row r="391">
          <cell r="C391">
            <v>4592</v>
          </cell>
          <cell r="D391">
            <v>730</v>
          </cell>
          <cell r="E391">
            <v>11.8</v>
          </cell>
          <cell r="F391">
            <v>3.45</v>
          </cell>
          <cell r="G391">
            <v>0.64</v>
          </cell>
          <cell r="H391" t="str">
            <v>Small</v>
          </cell>
          <cell r="I391">
            <v>437</v>
          </cell>
          <cell r="J391">
            <v>0</v>
          </cell>
        </row>
        <row r="392">
          <cell r="C392">
            <v>4711</v>
          </cell>
          <cell r="D392">
            <v>903</v>
          </cell>
          <cell r="E392">
            <v>11.8</v>
          </cell>
          <cell r="F392">
            <v>5</v>
          </cell>
          <cell r="G392">
            <v>1.2</v>
          </cell>
          <cell r="H392" t="str">
            <v xml:space="preserve">Slightly Abundant </v>
          </cell>
          <cell r="I392">
            <v>752</v>
          </cell>
          <cell r="J392">
            <v>0</v>
          </cell>
        </row>
        <row r="393">
          <cell r="C393">
            <v>4357</v>
          </cell>
          <cell r="D393">
            <v>777</v>
          </cell>
          <cell r="E393">
            <v>14.2</v>
          </cell>
          <cell r="F393">
            <v>3.14</v>
          </cell>
          <cell r="G393">
            <v>0.5</v>
          </cell>
          <cell r="H393" t="str">
            <v xml:space="preserve">Slight </v>
          </cell>
          <cell r="I393">
            <v>372</v>
          </cell>
          <cell r="J393">
            <v>0</v>
          </cell>
        </row>
        <row r="394">
          <cell r="C394">
            <v>4380</v>
          </cell>
          <cell r="D394">
            <v>809</v>
          </cell>
          <cell r="E394">
            <v>13.6</v>
          </cell>
          <cell r="F394">
            <v>3.4</v>
          </cell>
          <cell r="G394">
            <v>0.57999999999999996</v>
          </cell>
          <cell r="H394" t="str">
            <v>Small</v>
          </cell>
          <cell r="I394">
            <v>468</v>
          </cell>
          <cell r="J394">
            <v>0</v>
          </cell>
        </row>
        <row r="395">
          <cell r="C395">
            <v>4559</v>
          </cell>
          <cell r="D395">
            <v>867</v>
          </cell>
          <cell r="E395">
            <v>15.8</v>
          </cell>
          <cell r="F395">
            <v>3.5</v>
          </cell>
          <cell r="G395">
            <v>0.63</v>
          </cell>
          <cell r="H395" t="str">
            <v>Modest</v>
          </cell>
          <cell r="I395">
            <v>514</v>
          </cell>
          <cell r="J395">
            <v>0</v>
          </cell>
        </row>
        <row r="396">
          <cell r="C396">
            <v>4385</v>
          </cell>
          <cell r="D396">
            <v>804</v>
          </cell>
          <cell r="E396">
            <v>14.5</v>
          </cell>
          <cell r="F396">
            <v>2.9</v>
          </cell>
          <cell r="G396">
            <v>0.45</v>
          </cell>
          <cell r="H396" t="str">
            <v xml:space="preserve">Moderate </v>
          </cell>
          <cell r="I396">
            <v>614</v>
          </cell>
          <cell r="J396">
            <v>0</v>
          </cell>
        </row>
        <row r="397">
          <cell r="C397">
            <v>4439</v>
          </cell>
          <cell r="D397">
            <v>856</v>
          </cell>
          <cell r="E397">
            <v>14</v>
          </cell>
          <cell r="F397">
            <v>3.4</v>
          </cell>
          <cell r="G397">
            <v>0.57999999999999996</v>
          </cell>
          <cell r="H397" t="str">
            <v xml:space="preserve">Small </v>
          </cell>
          <cell r="I397">
            <v>463</v>
          </cell>
          <cell r="J397">
            <v>0</v>
          </cell>
        </row>
      </sheetData>
      <sheetData sheetId="6">
        <row r="2">
          <cell r="AC2">
            <v>1233.1746031746031</v>
          </cell>
          <cell r="AE2">
            <v>21.582642370891651</v>
          </cell>
        </row>
        <row r="3">
          <cell r="AC3">
            <v>1232.1428571428573</v>
          </cell>
          <cell r="AE3">
            <v>20.595227026767663</v>
          </cell>
        </row>
        <row r="4">
          <cell r="AC4">
            <v>1273.3333333333333</v>
          </cell>
          <cell r="AE4">
            <v>21.495747185717072</v>
          </cell>
        </row>
        <row r="5">
          <cell r="AC5">
            <v>1296.031746031746</v>
          </cell>
          <cell r="AE5">
            <v>22.92374071584624</v>
          </cell>
        </row>
        <row r="6">
          <cell r="AC6">
            <v>1222.7513227513227</v>
          </cell>
          <cell r="AE6">
            <v>21.32140895794052</v>
          </cell>
        </row>
        <row r="7">
          <cell r="AC7">
            <v>1227.336860670194</v>
          </cell>
          <cell r="AE7">
            <v>19.910351814073994</v>
          </cell>
        </row>
        <row r="8">
          <cell r="AC8">
            <v>1194.4444444444446</v>
          </cell>
          <cell r="AE8">
            <v>19.728557757304522</v>
          </cell>
        </row>
        <row r="9">
          <cell r="AC9">
            <v>1267.4603174603174</v>
          </cell>
          <cell r="AE9">
            <v>21.738935573736335</v>
          </cell>
        </row>
        <row r="10">
          <cell r="AC10">
            <v>1360.8465608465608</v>
          </cell>
          <cell r="AE10">
            <v>22.955779082777788</v>
          </cell>
        </row>
        <row r="11">
          <cell r="AC11">
            <v>1311.2698412698412</v>
          </cell>
          <cell r="AE11">
            <v>22.398784651854065</v>
          </cell>
        </row>
        <row r="12">
          <cell r="AC12">
            <v>1323.9858906525574</v>
          </cell>
          <cell r="AE12">
            <v>21.5797851350505</v>
          </cell>
        </row>
        <row r="13">
          <cell r="AC13">
            <v>1275.8730158730161</v>
          </cell>
          <cell r="AE13">
            <v>21.830062429040414</v>
          </cell>
        </row>
        <row r="14">
          <cell r="AC14">
            <v>1365.8730158730159</v>
          </cell>
          <cell r="AE14">
            <v>22.630176042777777</v>
          </cell>
        </row>
        <row r="15">
          <cell r="AC15">
            <v>1319.4444444444443</v>
          </cell>
          <cell r="AE15">
            <v>21.718133105510006</v>
          </cell>
        </row>
        <row r="16">
          <cell r="AC16">
            <v>1320.4761904761906</v>
          </cell>
          <cell r="AE16">
            <v>21.256780292032506</v>
          </cell>
        </row>
        <row r="17">
          <cell r="AC17">
            <v>1283.7301587301586</v>
          </cell>
          <cell r="AE17">
            <v>21.282594490991229</v>
          </cell>
        </row>
        <row r="18">
          <cell r="AC18">
            <v>1296.6490299823631</v>
          </cell>
          <cell r="AE18">
            <v>20.599573820131273</v>
          </cell>
        </row>
        <row r="19">
          <cell r="AC19">
            <v>1315.5202821869489</v>
          </cell>
          <cell r="AE19">
            <v>23.243543323568986</v>
          </cell>
        </row>
        <row r="20">
          <cell r="AC20">
            <v>1322.6984126984125</v>
          </cell>
          <cell r="AE20">
            <v>21.697158876111111</v>
          </cell>
        </row>
        <row r="21">
          <cell r="AC21">
            <v>1371.746031746032</v>
          </cell>
          <cell r="AE21">
            <v>23.183092460704504</v>
          </cell>
        </row>
        <row r="22">
          <cell r="AC22">
            <v>1354.2857142857142</v>
          </cell>
          <cell r="AE22">
            <v>22.382749735000004</v>
          </cell>
        </row>
        <row r="23">
          <cell r="AC23">
            <v>1368.4303350970017</v>
          </cell>
          <cell r="AE23">
            <v>23.18107161691918</v>
          </cell>
        </row>
        <row r="24">
          <cell r="AC24">
            <v>1369.2063492063492</v>
          </cell>
          <cell r="AE24">
            <v>23.779243605703989</v>
          </cell>
        </row>
        <row r="25">
          <cell r="AC25">
            <v>1349.3650793650791</v>
          </cell>
          <cell r="AE25">
            <v>23.507213350404029</v>
          </cell>
        </row>
        <row r="26">
          <cell r="AC26">
            <v>1380.952380952381</v>
          </cell>
          <cell r="AE26">
            <v>23.480892071111096</v>
          </cell>
        </row>
        <row r="27">
          <cell r="AC27">
            <v>1387.3015873015875</v>
          </cell>
          <cell r="AE27">
            <v>23.926712488585853</v>
          </cell>
        </row>
        <row r="28">
          <cell r="AC28">
            <v>1382.1869488536156</v>
          </cell>
          <cell r="AE28">
            <v>23.392790065062279</v>
          </cell>
        </row>
        <row r="29">
          <cell r="AC29">
            <v>1360.9523809523807</v>
          </cell>
          <cell r="AE29">
            <v>23.276936370757571</v>
          </cell>
        </row>
        <row r="30">
          <cell r="AC30">
            <v>1312.5220458553792</v>
          </cell>
          <cell r="AE30">
            <v>23.188136258216968</v>
          </cell>
        </row>
        <row r="31">
          <cell r="AC31">
            <v>1306.8783068783068</v>
          </cell>
          <cell r="AE31">
            <v>23.479164833812241</v>
          </cell>
        </row>
        <row r="32">
          <cell r="AC32">
            <v>1352.063492063492</v>
          </cell>
          <cell r="AE32">
            <v>23.841123317486332</v>
          </cell>
        </row>
        <row r="33">
          <cell r="AC33">
            <v>1394.6031746031745</v>
          </cell>
          <cell r="AE33">
            <v>24.456725328579239</v>
          </cell>
        </row>
        <row r="34">
          <cell r="AC34">
            <v>1346.9841269841272</v>
          </cell>
          <cell r="AE34">
            <v>22.840113033442627</v>
          </cell>
        </row>
        <row r="35">
          <cell r="AC35">
            <v>1334.2857142857142</v>
          </cell>
          <cell r="AE35">
            <v>22.63029404224044</v>
          </cell>
        </row>
        <row r="36">
          <cell r="AC36">
            <v>1445.5555555555554</v>
          </cell>
          <cell r="AE36">
            <v>25.087520326338787</v>
          </cell>
        </row>
        <row r="37">
          <cell r="AC37">
            <v>1369.3650793650795</v>
          </cell>
          <cell r="AE37">
            <v>23.110230187377059</v>
          </cell>
        </row>
        <row r="38">
          <cell r="AC38">
            <v>1390.4761904761904</v>
          </cell>
          <cell r="AE38">
            <v>23.277453122155439</v>
          </cell>
        </row>
        <row r="39">
          <cell r="AC39">
            <v>1324.0079365079364</v>
          </cell>
          <cell r="AE39">
            <v>23.149248339458101</v>
          </cell>
        </row>
        <row r="40">
          <cell r="AC40">
            <v>1382.1869488536156</v>
          </cell>
          <cell r="AE40">
            <v>24.396522174486932</v>
          </cell>
        </row>
        <row r="41">
          <cell r="AC41">
            <v>1350.3174603174602</v>
          </cell>
          <cell r="AE41">
            <v>24.652027832021869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Pen</v>
          </cell>
          <cell r="B1" t="str">
            <v>DMO/head/day</v>
          </cell>
        </row>
        <row r="2">
          <cell r="A2">
            <v>205</v>
          </cell>
          <cell r="B2">
            <v>21.590679934343427</v>
          </cell>
          <cell r="C2">
            <v>8.0375634517766501E-3</v>
          </cell>
          <cell r="D2">
            <v>21.582642370891651</v>
          </cell>
        </row>
        <row r="3">
          <cell r="A3">
            <v>210</v>
          </cell>
          <cell r="B3">
            <v>19.950900037424248</v>
          </cell>
          <cell r="C3">
            <v>4.0548223350253806E-2</v>
          </cell>
          <cell r="D3">
            <v>19.910351814073994</v>
          </cell>
        </row>
        <row r="4">
          <cell r="A4">
            <v>216</v>
          </cell>
          <cell r="B4">
            <v>21.830062429040414</v>
          </cell>
          <cell r="C4">
            <v>0</v>
          </cell>
          <cell r="D4">
            <v>21.830062429040414</v>
          </cell>
        </row>
        <row r="5">
          <cell r="A5">
            <v>305</v>
          </cell>
          <cell r="B5">
            <v>20.649502754141423</v>
          </cell>
          <cell r="C5">
            <v>4.9928934010152283E-2</v>
          </cell>
          <cell r="D5">
            <v>20.599573820131273</v>
          </cell>
        </row>
        <row r="6">
          <cell r="A6">
            <v>311</v>
          </cell>
          <cell r="B6">
            <v>23.786979646313128</v>
          </cell>
          <cell r="C6">
            <v>7.7360406091370564E-3</v>
          </cell>
          <cell r="D6">
            <v>23.779243605703989</v>
          </cell>
        </row>
        <row r="7">
          <cell r="A7">
            <v>316</v>
          </cell>
          <cell r="B7">
            <v>23.276936370757571</v>
          </cell>
          <cell r="C7">
            <v>0</v>
          </cell>
          <cell r="D7">
            <v>23.276936370757571</v>
          </cell>
        </row>
        <row r="8">
          <cell r="A8">
            <v>406</v>
          </cell>
          <cell r="B8">
            <v>24.456725328579239</v>
          </cell>
          <cell r="C8">
            <v>0</v>
          </cell>
          <cell r="D8">
            <v>24.456725328579239</v>
          </cell>
        </row>
        <row r="9">
          <cell r="A9">
            <v>411</v>
          </cell>
          <cell r="B9">
            <v>23.277453122155439</v>
          </cell>
          <cell r="C9">
            <v>0</v>
          </cell>
          <cell r="D9">
            <v>23.277453122155439</v>
          </cell>
        </row>
        <row r="10">
          <cell r="B10" t="e">
            <v>#N/A</v>
          </cell>
          <cell r="C10" t="e">
            <v>#N/A</v>
          </cell>
          <cell r="D10" t="e">
            <v>#N/A</v>
          </cell>
        </row>
        <row r="11">
          <cell r="B11" t="e">
            <v>#N/A</v>
          </cell>
          <cell r="C11" t="e">
            <v>#N/A</v>
          </cell>
          <cell r="D11" t="e">
            <v>#N/A</v>
          </cell>
        </row>
        <row r="12">
          <cell r="A12">
            <v>206</v>
          </cell>
          <cell r="B12">
            <v>20.595227026767663</v>
          </cell>
          <cell r="C12">
            <v>0</v>
          </cell>
          <cell r="D12">
            <v>20.595227026767663</v>
          </cell>
        </row>
        <row r="13">
          <cell r="A13">
            <v>213</v>
          </cell>
          <cell r="B13">
            <v>22.955779082777788</v>
          </cell>
          <cell r="C13">
            <v>0</v>
          </cell>
          <cell r="D13">
            <v>22.955779082777788</v>
          </cell>
        </row>
        <row r="14">
          <cell r="A14">
            <v>215</v>
          </cell>
          <cell r="B14">
            <v>21.5797851350505</v>
          </cell>
          <cell r="C14">
            <v>0</v>
          </cell>
          <cell r="D14">
            <v>21.5797851350505</v>
          </cell>
        </row>
        <row r="15">
          <cell r="A15">
            <v>304</v>
          </cell>
          <cell r="B15">
            <v>21.352743338176214</v>
          </cell>
          <cell r="C15">
            <v>7.014884718498661E-2</v>
          </cell>
          <cell r="D15">
            <v>21.282594490991229</v>
          </cell>
        </row>
        <row r="16">
          <cell r="A16">
            <v>310</v>
          </cell>
          <cell r="B16">
            <v>23.18107161691918</v>
          </cell>
          <cell r="C16">
            <v>0</v>
          </cell>
          <cell r="D16">
            <v>23.18107161691918</v>
          </cell>
        </row>
        <row r="17">
          <cell r="A17">
            <v>318</v>
          </cell>
          <cell r="B17">
            <v>23.485921178989905</v>
          </cell>
          <cell r="C17">
            <v>6.7563451776649752E-3</v>
          </cell>
          <cell r="D17">
            <v>23.479164833812241</v>
          </cell>
        </row>
        <row r="18">
          <cell r="A18">
            <v>405</v>
          </cell>
          <cell r="B18">
            <v>23.841123317486328</v>
          </cell>
          <cell r="C18">
            <v>1.2675683060109289E-2</v>
          </cell>
          <cell r="D18">
            <v>23.828447634426219</v>
          </cell>
        </row>
        <row r="19">
          <cell r="A19">
            <v>414</v>
          </cell>
          <cell r="B19">
            <v>24.652027832021865</v>
          </cell>
          <cell r="C19">
            <v>9.4808743169398912E-2</v>
          </cell>
          <cell r="D19">
            <v>24.557219088852467</v>
          </cell>
        </row>
        <row r="20">
          <cell r="B20" t="e">
            <v>#N/A</v>
          </cell>
          <cell r="C20" t="e">
            <v>#N/A</v>
          </cell>
          <cell r="D20" t="e">
            <v>#N/A</v>
          </cell>
        </row>
        <row r="21">
          <cell r="B21" t="e">
            <v>#N/A</v>
          </cell>
          <cell r="C21" t="e">
            <v>#N/A</v>
          </cell>
          <cell r="D21" t="e">
            <v>#N/A</v>
          </cell>
        </row>
        <row r="22">
          <cell r="A22">
            <v>209</v>
          </cell>
          <cell r="B22">
            <v>21.32140895794052</v>
          </cell>
          <cell r="C22">
            <v>0</v>
          </cell>
          <cell r="D22">
            <v>21.32140895794052</v>
          </cell>
        </row>
        <row r="23">
          <cell r="A23">
            <v>214</v>
          </cell>
          <cell r="B23">
            <v>22.439530844747466</v>
          </cell>
          <cell r="C23">
            <v>4.0746192893401013E-2</v>
          </cell>
          <cell r="D23">
            <v>22.398784651854065</v>
          </cell>
        </row>
        <row r="24">
          <cell r="A24">
            <v>301</v>
          </cell>
          <cell r="B24">
            <v>22.630176042777777</v>
          </cell>
          <cell r="C24">
            <v>0</v>
          </cell>
          <cell r="D24">
            <v>22.630176042777777</v>
          </cell>
        </row>
        <row r="25">
          <cell r="A25">
            <v>308</v>
          </cell>
          <cell r="B25">
            <v>23.19753916121212</v>
          </cell>
          <cell r="C25">
            <v>1.4446700507614214E-2</v>
          </cell>
          <cell r="D25">
            <v>23.183092460704504</v>
          </cell>
        </row>
        <row r="26">
          <cell r="A26">
            <v>312</v>
          </cell>
          <cell r="B26">
            <v>23.507213350404029</v>
          </cell>
          <cell r="C26">
            <v>0</v>
          </cell>
          <cell r="D26">
            <v>23.507213350404029</v>
          </cell>
        </row>
        <row r="27">
          <cell r="A27">
            <v>315</v>
          </cell>
          <cell r="B27">
            <v>23.415555242727255</v>
          </cell>
          <cell r="C27">
            <v>2.2765177664974618E-2</v>
          </cell>
          <cell r="D27">
            <v>23.392790065062279</v>
          </cell>
        </row>
        <row r="28">
          <cell r="A28">
            <v>409</v>
          </cell>
          <cell r="B28">
            <v>25.087520326338783</v>
          </cell>
          <cell r="C28">
            <v>9.6622950819672121E-2</v>
          </cell>
          <cell r="D28">
            <v>24.990897375519111</v>
          </cell>
        </row>
        <row r="29">
          <cell r="A29">
            <v>413</v>
          </cell>
          <cell r="B29">
            <v>24.396522174486932</v>
          </cell>
          <cell r="C29">
            <v>0</v>
          </cell>
          <cell r="D29">
            <v>24.396522174486932</v>
          </cell>
        </row>
        <row r="30">
          <cell r="B30" t="e">
            <v>#N/A</v>
          </cell>
          <cell r="C30" t="e">
            <v>#N/A</v>
          </cell>
          <cell r="D30" t="e">
            <v>#N/A</v>
          </cell>
        </row>
        <row r="31">
          <cell r="B31" t="e">
            <v>#N/A</v>
          </cell>
          <cell r="C31" t="e">
            <v>#N/A</v>
          </cell>
          <cell r="D31" t="e">
            <v>#N/A</v>
          </cell>
        </row>
        <row r="32">
          <cell r="A32">
            <v>208</v>
          </cell>
          <cell r="B32">
            <v>23.001962072348483</v>
          </cell>
          <cell r="C32">
            <v>7.8221356502242143E-2</v>
          </cell>
          <cell r="D32">
            <v>22.92374071584624</v>
          </cell>
        </row>
        <row r="33">
          <cell r="A33">
            <v>212</v>
          </cell>
          <cell r="B33">
            <v>21.775204253939382</v>
          </cell>
          <cell r="C33">
            <v>3.6268680203045682E-2</v>
          </cell>
          <cell r="D33">
            <v>21.738935573736335</v>
          </cell>
        </row>
        <row r="34">
          <cell r="A34">
            <v>302</v>
          </cell>
          <cell r="B34">
            <v>21.752078486102686</v>
          </cell>
          <cell r="C34">
            <v>3.3945380592678674E-2</v>
          </cell>
          <cell r="D34">
            <v>21.718133105510006</v>
          </cell>
        </row>
        <row r="35">
          <cell r="A35">
            <v>307</v>
          </cell>
          <cell r="B35">
            <v>21.697158876111111</v>
          </cell>
          <cell r="C35">
            <v>0</v>
          </cell>
          <cell r="D35">
            <v>21.697158876111111</v>
          </cell>
        </row>
        <row r="36">
          <cell r="A36">
            <v>313</v>
          </cell>
          <cell r="B36">
            <v>23.480892071111096</v>
          </cell>
          <cell r="C36">
            <v>0</v>
          </cell>
          <cell r="D36">
            <v>23.480892071111096</v>
          </cell>
        </row>
        <row r="37">
          <cell r="A37">
            <v>314</v>
          </cell>
          <cell r="B37">
            <v>23.926712488585853</v>
          </cell>
          <cell r="C37">
            <v>0</v>
          </cell>
          <cell r="D37">
            <v>23.926712488585853</v>
          </cell>
        </row>
        <row r="38">
          <cell r="A38">
            <v>407</v>
          </cell>
          <cell r="B38">
            <v>22.840113033442623</v>
          </cell>
          <cell r="C38">
            <v>6.1983606557377051E-2</v>
          </cell>
          <cell r="D38">
            <v>22.778129426885247</v>
          </cell>
        </row>
        <row r="39">
          <cell r="A39">
            <v>410</v>
          </cell>
          <cell r="B39">
            <v>23.110230187377059</v>
          </cell>
          <cell r="C39">
            <v>0</v>
          </cell>
          <cell r="D39">
            <v>23.110230187377059</v>
          </cell>
        </row>
        <row r="40">
          <cell r="B40" t="e">
            <v>#N/A</v>
          </cell>
          <cell r="C40" t="e">
            <v>#N/A</v>
          </cell>
          <cell r="D40" t="e">
            <v>#N/A</v>
          </cell>
        </row>
        <row r="41">
          <cell r="B41" t="e">
            <v>#N/A</v>
          </cell>
          <cell r="C41" t="e">
            <v>#N/A</v>
          </cell>
          <cell r="D41" t="e">
            <v>#N/A</v>
          </cell>
        </row>
        <row r="42">
          <cell r="A42">
            <v>207</v>
          </cell>
          <cell r="B42">
            <v>21.511475053737374</v>
          </cell>
          <cell r="C42">
            <v>1.5727868020304566E-2</v>
          </cell>
          <cell r="D42">
            <v>21.495747185717072</v>
          </cell>
        </row>
        <row r="43">
          <cell r="A43">
            <v>211</v>
          </cell>
          <cell r="B43">
            <v>19.808848671010104</v>
          </cell>
          <cell r="C43">
            <v>8.0290913705583764E-2</v>
          </cell>
          <cell r="D43">
            <v>19.728557757304522</v>
          </cell>
        </row>
        <row r="44">
          <cell r="A44">
            <v>303</v>
          </cell>
          <cell r="B44">
            <v>21.311646129595957</v>
          </cell>
          <cell r="C44">
            <v>5.4865837563451779E-2</v>
          </cell>
          <cell r="D44">
            <v>21.256780292032506</v>
          </cell>
        </row>
        <row r="45">
          <cell r="A45">
            <v>306</v>
          </cell>
          <cell r="B45">
            <v>23.266446073844012</v>
          </cell>
          <cell r="C45">
            <v>2.2902750275027504E-2</v>
          </cell>
          <cell r="D45">
            <v>23.243543323568986</v>
          </cell>
        </row>
        <row r="46">
          <cell r="A46">
            <v>309</v>
          </cell>
          <cell r="B46">
            <v>22.382749735000004</v>
          </cell>
          <cell r="C46">
            <v>0</v>
          </cell>
          <cell r="D46">
            <v>22.382749735000004</v>
          </cell>
        </row>
        <row r="47">
          <cell r="A47">
            <v>317</v>
          </cell>
          <cell r="B47">
            <v>23.211633720145901</v>
          </cell>
          <cell r="C47">
            <v>2.349746192893401E-2</v>
          </cell>
          <cell r="D47">
            <v>23.188136258216968</v>
          </cell>
        </row>
        <row r="48">
          <cell r="A48">
            <v>408</v>
          </cell>
          <cell r="B48">
            <v>22.630294042240436</v>
          </cell>
          <cell r="C48">
            <v>4.8484918032786886E-2</v>
          </cell>
          <cell r="D48">
            <v>22.581809124207648</v>
          </cell>
        </row>
        <row r="49">
          <cell r="A49">
            <v>412</v>
          </cell>
          <cell r="B49">
            <v>23.149248339458101</v>
          </cell>
          <cell r="C49">
            <v>5.6977130325814536E-2</v>
          </cell>
          <cell r="D49">
            <v>23.092271209132285</v>
          </cell>
        </row>
      </sheetData>
      <sheetData sheetId="12" refreshError="1"/>
      <sheetData sheetId="13" refreshError="1"/>
      <sheetData sheetId="14" refreshError="1"/>
      <sheetData sheetId="15">
        <row r="1">
          <cell r="E1" t="str">
            <v>Lnk_AnID</v>
          </cell>
          <cell r="F1" t="str">
            <v>Type</v>
          </cell>
          <cell r="G1" t="str">
            <v>Description</v>
          </cell>
          <cell r="H1" t="str">
            <v>Who</v>
          </cell>
          <cell r="I1" t="str">
            <v>Value</v>
          </cell>
        </row>
        <row r="2">
          <cell r="E2">
            <v>4311</v>
          </cell>
          <cell r="F2" t="str">
            <v>Full Fed</v>
          </cell>
          <cell r="G2" t="str">
            <v>Weight</v>
          </cell>
          <cell r="H2" t="str">
            <v>Rebecca Sjostrand</v>
          </cell>
          <cell r="I2">
            <v>842</v>
          </cell>
        </row>
        <row r="3">
          <cell r="E3">
            <v>4312</v>
          </cell>
          <cell r="F3" t="str">
            <v>Full Fed</v>
          </cell>
          <cell r="G3" t="str">
            <v>Weight</v>
          </cell>
          <cell r="H3" t="str">
            <v>Rebecca Sjostrand</v>
          </cell>
          <cell r="I3">
            <v>876</v>
          </cell>
        </row>
        <row r="4">
          <cell r="E4">
            <v>4313</v>
          </cell>
          <cell r="F4" t="str">
            <v>Full Fed</v>
          </cell>
          <cell r="G4" t="str">
            <v>Weight</v>
          </cell>
          <cell r="H4" t="str">
            <v>Rebecca Sjostrand</v>
          </cell>
          <cell r="I4">
            <v>752</v>
          </cell>
        </row>
        <row r="5">
          <cell r="E5">
            <v>4314</v>
          </cell>
          <cell r="F5" t="str">
            <v>Full Fed</v>
          </cell>
          <cell r="G5" t="str">
            <v>Weight</v>
          </cell>
          <cell r="H5" t="str">
            <v>Rebecca Sjostrand</v>
          </cell>
          <cell r="I5">
            <v>870</v>
          </cell>
        </row>
        <row r="6">
          <cell r="E6">
            <v>4315</v>
          </cell>
          <cell r="F6" t="str">
            <v>Full Fed</v>
          </cell>
          <cell r="G6" t="str">
            <v>Weight</v>
          </cell>
          <cell r="H6" t="str">
            <v>Rebecca Sjostrand</v>
          </cell>
          <cell r="I6">
            <v>744</v>
          </cell>
        </row>
        <row r="7">
          <cell r="E7">
            <v>4316</v>
          </cell>
          <cell r="F7" t="str">
            <v>Full Fed</v>
          </cell>
          <cell r="G7" t="str">
            <v>Weight</v>
          </cell>
          <cell r="H7" t="str">
            <v>Rebecca Sjostrand</v>
          </cell>
          <cell r="I7">
            <v>732</v>
          </cell>
        </row>
        <row r="8">
          <cell r="E8">
            <v>4317</v>
          </cell>
          <cell r="F8" t="str">
            <v>Full Fed</v>
          </cell>
          <cell r="G8" t="str">
            <v>Weight</v>
          </cell>
          <cell r="H8" t="str">
            <v>Rebecca Sjostrand</v>
          </cell>
          <cell r="I8">
            <v>766</v>
          </cell>
        </row>
        <row r="9">
          <cell r="E9">
            <v>4318</v>
          </cell>
          <cell r="F9" t="str">
            <v>Full Fed</v>
          </cell>
          <cell r="G9" t="str">
            <v>Weight</v>
          </cell>
          <cell r="H9" t="str">
            <v>Rebecca Sjostrand</v>
          </cell>
          <cell r="I9">
            <v>838</v>
          </cell>
        </row>
        <row r="10">
          <cell r="E10">
            <v>4320</v>
          </cell>
          <cell r="F10" t="str">
            <v>Full Fed</v>
          </cell>
          <cell r="G10" t="str">
            <v>Weight</v>
          </cell>
          <cell r="H10" t="str">
            <v>Rebecca Sjostrand</v>
          </cell>
          <cell r="I10">
            <v>842</v>
          </cell>
        </row>
        <row r="11">
          <cell r="E11">
            <v>4321</v>
          </cell>
          <cell r="F11" t="str">
            <v>Full Fed</v>
          </cell>
          <cell r="G11" t="str">
            <v>Weight</v>
          </cell>
          <cell r="H11" t="str">
            <v>Rebecca Sjostrand</v>
          </cell>
          <cell r="I11">
            <v>892</v>
          </cell>
        </row>
        <row r="12">
          <cell r="E12">
            <v>4322</v>
          </cell>
          <cell r="F12" t="str">
            <v>Full Fed</v>
          </cell>
          <cell r="G12" t="str">
            <v>Weight</v>
          </cell>
          <cell r="H12" t="str">
            <v>Rebecca Sjostrand</v>
          </cell>
          <cell r="I12">
            <v>788</v>
          </cell>
        </row>
        <row r="13">
          <cell r="E13">
            <v>4323</v>
          </cell>
          <cell r="F13" t="str">
            <v>Full Fed</v>
          </cell>
          <cell r="G13" t="str">
            <v>Weight</v>
          </cell>
          <cell r="H13" t="str">
            <v>Rebecca Sjostrand</v>
          </cell>
          <cell r="I13">
            <v>836</v>
          </cell>
        </row>
        <row r="14">
          <cell r="E14">
            <v>4324</v>
          </cell>
          <cell r="F14" t="str">
            <v>Full Fed</v>
          </cell>
          <cell r="G14" t="str">
            <v>Weight</v>
          </cell>
          <cell r="H14" t="str">
            <v>Rebecca Sjostrand</v>
          </cell>
          <cell r="I14">
            <v>902</v>
          </cell>
        </row>
        <row r="15">
          <cell r="E15">
            <v>4326</v>
          </cell>
          <cell r="F15" t="str">
            <v>Full Fed</v>
          </cell>
          <cell r="G15" t="str">
            <v>Weight</v>
          </cell>
          <cell r="H15" t="str">
            <v>Rebecca Sjostrand</v>
          </cell>
          <cell r="I15">
            <v>948</v>
          </cell>
        </row>
        <row r="16">
          <cell r="E16">
            <v>4327</v>
          </cell>
          <cell r="F16" t="str">
            <v>Full Fed</v>
          </cell>
          <cell r="G16" t="str">
            <v>Weight</v>
          </cell>
          <cell r="H16" t="str">
            <v>Rebecca Sjostrand</v>
          </cell>
          <cell r="I16">
            <v>872</v>
          </cell>
        </row>
        <row r="17">
          <cell r="E17">
            <v>4328</v>
          </cell>
          <cell r="F17" t="str">
            <v>Full Fed</v>
          </cell>
          <cell r="G17" t="str">
            <v>Weight</v>
          </cell>
          <cell r="H17" t="str">
            <v>Rebecca Sjostrand</v>
          </cell>
          <cell r="I17">
            <v>788</v>
          </cell>
        </row>
        <row r="18">
          <cell r="E18">
            <v>4329</v>
          </cell>
          <cell r="F18" t="str">
            <v>Full Fed</v>
          </cell>
          <cell r="G18" t="str">
            <v>Weight</v>
          </cell>
          <cell r="H18" t="str">
            <v>Rebecca Sjostrand</v>
          </cell>
          <cell r="I18">
            <v>818</v>
          </cell>
        </row>
        <row r="19">
          <cell r="E19">
            <v>4330</v>
          </cell>
          <cell r="F19" t="str">
            <v>Full Fed</v>
          </cell>
          <cell r="G19" t="str">
            <v>Weight</v>
          </cell>
          <cell r="H19" t="str">
            <v>Rebecca Sjostrand</v>
          </cell>
          <cell r="I19">
            <v>890</v>
          </cell>
        </row>
        <row r="20">
          <cell r="E20">
            <v>4332</v>
          </cell>
          <cell r="F20" t="str">
            <v>Full Fed</v>
          </cell>
          <cell r="G20" t="str">
            <v>Weight</v>
          </cell>
          <cell r="H20" t="str">
            <v>Rebecca Sjostrand</v>
          </cell>
          <cell r="I20">
            <v>822</v>
          </cell>
        </row>
        <row r="21">
          <cell r="E21">
            <v>4333</v>
          </cell>
          <cell r="F21" t="str">
            <v>Full Fed</v>
          </cell>
          <cell r="G21" t="str">
            <v>Weight</v>
          </cell>
          <cell r="H21" t="str">
            <v>Rebecca Sjostrand</v>
          </cell>
          <cell r="I21">
            <v>718</v>
          </cell>
        </row>
        <row r="22">
          <cell r="E22">
            <v>4334</v>
          </cell>
          <cell r="F22" t="str">
            <v>Full Fed</v>
          </cell>
          <cell r="G22" t="str">
            <v>Weight</v>
          </cell>
          <cell r="H22" t="str">
            <v>Rebecca Sjostrand</v>
          </cell>
          <cell r="I22">
            <v>780</v>
          </cell>
        </row>
        <row r="23">
          <cell r="E23">
            <v>4335</v>
          </cell>
          <cell r="F23" t="str">
            <v>Full Fed</v>
          </cell>
          <cell r="G23" t="str">
            <v>Weight</v>
          </cell>
          <cell r="H23" t="str">
            <v>Rebecca Sjostrand</v>
          </cell>
          <cell r="I23">
            <v>916</v>
          </cell>
        </row>
        <row r="24">
          <cell r="E24">
            <v>4336</v>
          </cell>
          <cell r="F24" t="str">
            <v>Full Fed</v>
          </cell>
          <cell r="G24" t="str">
            <v>Weight</v>
          </cell>
          <cell r="H24" t="str">
            <v>Rebecca Sjostrand</v>
          </cell>
          <cell r="I24">
            <v>830</v>
          </cell>
        </row>
        <row r="25">
          <cell r="E25">
            <v>4337</v>
          </cell>
          <cell r="F25" t="str">
            <v>Full Fed</v>
          </cell>
          <cell r="G25" t="str">
            <v>Weight</v>
          </cell>
          <cell r="H25" t="str">
            <v>Rebecca Sjostrand</v>
          </cell>
          <cell r="I25">
            <v>726</v>
          </cell>
        </row>
        <row r="26">
          <cell r="E26">
            <v>4338</v>
          </cell>
          <cell r="F26" t="str">
            <v>Full Fed</v>
          </cell>
          <cell r="G26" t="str">
            <v>Weight</v>
          </cell>
          <cell r="H26" t="str">
            <v>Rebecca Sjostrand</v>
          </cell>
          <cell r="I26">
            <v>984</v>
          </cell>
        </row>
        <row r="27">
          <cell r="E27">
            <v>4339</v>
          </cell>
          <cell r="F27" t="str">
            <v>Full Fed</v>
          </cell>
          <cell r="G27" t="str">
            <v>Weight</v>
          </cell>
          <cell r="H27" t="str">
            <v>Rebecca Sjostrand</v>
          </cell>
          <cell r="I27">
            <v>802</v>
          </cell>
        </row>
        <row r="28">
          <cell r="E28">
            <v>4340</v>
          </cell>
          <cell r="F28" t="str">
            <v>Full Fed</v>
          </cell>
          <cell r="G28" t="str">
            <v>Weight</v>
          </cell>
          <cell r="H28" t="str">
            <v>Rebecca Sjostrand</v>
          </cell>
          <cell r="I28">
            <v>900</v>
          </cell>
        </row>
        <row r="29">
          <cell r="E29">
            <v>4341</v>
          </cell>
          <cell r="F29" t="str">
            <v>Full Fed</v>
          </cell>
          <cell r="G29" t="str">
            <v>Weight</v>
          </cell>
          <cell r="H29" t="str">
            <v>Rebecca Sjostrand</v>
          </cell>
          <cell r="I29">
            <v>770</v>
          </cell>
        </row>
        <row r="30">
          <cell r="E30">
            <v>4343</v>
          </cell>
          <cell r="F30" t="str">
            <v>Full Fed</v>
          </cell>
          <cell r="G30" t="str">
            <v>Weight</v>
          </cell>
          <cell r="H30" t="str">
            <v>Rebecca Sjostrand</v>
          </cell>
          <cell r="I30">
            <v>836</v>
          </cell>
        </row>
        <row r="31">
          <cell r="E31">
            <v>4344</v>
          </cell>
          <cell r="F31" t="str">
            <v>Full Fed</v>
          </cell>
          <cell r="G31" t="str">
            <v>Weight</v>
          </cell>
          <cell r="H31" t="str">
            <v>Rebecca Sjostrand</v>
          </cell>
          <cell r="I31">
            <v>680</v>
          </cell>
        </row>
        <row r="32">
          <cell r="E32">
            <v>4345</v>
          </cell>
          <cell r="F32" t="str">
            <v>Full Fed</v>
          </cell>
          <cell r="G32" t="str">
            <v>Weight</v>
          </cell>
          <cell r="H32" t="str">
            <v>Rebecca Sjostrand</v>
          </cell>
          <cell r="I32">
            <v>772</v>
          </cell>
        </row>
        <row r="33">
          <cell r="E33">
            <v>4346</v>
          </cell>
          <cell r="F33" t="str">
            <v>Full Fed</v>
          </cell>
          <cell r="G33" t="str">
            <v>Weight</v>
          </cell>
          <cell r="H33" t="str">
            <v>Rebecca Sjostrand</v>
          </cell>
          <cell r="I33">
            <v>878</v>
          </cell>
        </row>
        <row r="34">
          <cell r="E34">
            <v>4347</v>
          </cell>
          <cell r="F34" t="str">
            <v>Full Fed</v>
          </cell>
          <cell r="G34" t="str">
            <v>Weight</v>
          </cell>
          <cell r="H34" t="str">
            <v>Rebecca Sjostrand</v>
          </cell>
          <cell r="I34">
            <v>892</v>
          </cell>
        </row>
        <row r="35">
          <cell r="E35">
            <v>4348</v>
          </cell>
          <cell r="F35" t="str">
            <v>Full Fed</v>
          </cell>
          <cell r="G35" t="str">
            <v>Weight</v>
          </cell>
          <cell r="H35" t="str">
            <v>Rebecca Sjostrand</v>
          </cell>
          <cell r="I35">
            <v>796</v>
          </cell>
        </row>
        <row r="36">
          <cell r="E36">
            <v>4350</v>
          </cell>
          <cell r="F36" t="str">
            <v>Full Fed</v>
          </cell>
          <cell r="G36" t="str">
            <v>Weight</v>
          </cell>
          <cell r="H36" t="str">
            <v>Rebecca Sjostrand</v>
          </cell>
          <cell r="I36">
            <v>824</v>
          </cell>
        </row>
        <row r="37">
          <cell r="E37">
            <v>4351</v>
          </cell>
          <cell r="F37" t="str">
            <v>Full Fed</v>
          </cell>
          <cell r="G37" t="str">
            <v>Weight</v>
          </cell>
          <cell r="H37" t="str">
            <v>Rebecca Sjostrand</v>
          </cell>
          <cell r="I37">
            <v>842</v>
          </cell>
        </row>
        <row r="38">
          <cell r="E38">
            <v>4352</v>
          </cell>
          <cell r="F38" t="str">
            <v>Full Fed</v>
          </cell>
          <cell r="G38" t="str">
            <v>Weight</v>
          </cell>
          <cell r="H38" t="str">
            <v>Rebecca Sjostrand</v>
          </cell>
          <cell r="I38">
            <v>954</v>
          </cell>
        </row>
        <row r="39">
          <cell r="E39">
            <v>4353</v>
          </cell>
          <cell r="F39" t="str">
            <v>Full Fed</v>
          </cell>
          <cell r="G39" t="str">
            <v>Weight</v>
          </cell>
          <cell r="H39" t="str">
            <v>Rebecca Sjostrand</v>
          </cell>
          <cell r="I39">
            <v>798</v>
          </cell>
        </row>
        <row r="40">
          <cell r="E40">
            <v>4355</v>
          </cell>
          <cell r="F40" t="str">
            <v>Full Fed</v>
          </cell>
          <cell r="G40" t="str">
            <v>Weight</v>
          </cell>
          <cell r="H40" t="str">
            <v>Rebecca Sjostrand</v>
          </cell>
          <cell r="I40">
            <v>808</v>
          </cell>
        </row>
        <row r="41">
          <cell r="E41">
            <v>4356</v>
          </cell>
          <cell r="F41" t="str">
            <v>Full Fed</v>
          </cell>
          <cell r="G41" t="str">
            <v>Weight</v>
          </cell>
          <cell r="H41" t="str">
            <v>Rebecca Sjostrand</v>
          </cell>
          <cell r="I41">
            <v>822</v>
          </cell>
        </row>
        <row r="42">
          <cell r="E42">
            <v>4357</v>
          </cell>
          <cell r="F42" t="str">
            <v>Full Fed</v>
          </cell>
          <cell r="G42" t="str">
            <v>Weight</v>
          </cell>
          <cell r="H42" t="str">
            <v>Rebecca Sjostrand</v>
          </cell>
          <cell r="I42">
            <v>808</v>
          </cell>
        </row>
        <row r="43">
          <cell r="E43">
            <v>4358</v>
          </cell>
          <cell r="F43" t="str">
            <v>Full Fed</v>
          </cell>
          <cell r="G43" t="str">
            <v>Weight</v>
          </cell>
          <cell r="H43" t="str">
            <v>Rebecca Sjostrand</v>
          </cell>
          <cell r="I43">
            <v>916</v>
          </cell>
        </row>
        <row r="44">
          <cell r="E44">
            <v>4359</v>
          </cell>
          <cell r="F44" t="str">
            <v>Full Fed</v>
          </cell>
          <cell r="G44" t="str">
            <v>Weight</v>
          </cell>
          <cell r="H44" t="str">
            <v>Rebecca Sjostrand</v>
          </cell>
          <cell r="I44">
            <v>826</v>
          </cell>
        </row>
        <row r="45">
          <cell r="E45">
            <v>4361</v>
          </cell>
          <cell r="F45" t="str">
            <v>Full Fed</v>
          </cell>
          <cell r="G45" t="str">
            <v>Weight</v>
          </cell>
          <cell r="H45" t="str">
            <v>Rebecca Sjostrand</v>
          </cell>
          <cell r="I45">
            <v>838</v>
          </cell>
        </row>
        <row r="46">
          <cell r="E46">
            <v>4364</v>
          </cell>
          <cell r="F46" t="str">
            <v>Full Fed</v>
          </cell>
          <cell r="G46" t="str">
            <v>Weight</v>
          </cell>
          <cell r="H46" t="str">
            <v>Rebecca Sjostrand</v>
          </cell>
          <cell r="I46">
            <v>1038</v>
          </cell>
        </row>
        <row r="47">
          <cell r="E47">
            <v>4365</v>
          </cell>
          <cell r="F47" t="str">
            <v>Full Fed</v>
          </cell>
          <cell r="G47" t="str">
            <v>Weight</v>
          </cell>
          <cell r="H47" t="str">
            <v>Rebecca Sjostrand</v>
          </cell>
          <cell r="I47">
            <v>778</v>
          </cell>
        </row>
        <row r="48">
          <cell r="E48">
            <v>4366</v>
          </cell>
          <cell r="F48" t="str">
            <v>Full Fed</v>
          </cell>
          <cell r="G48" t="str">
            <v>Weight</v>
          </cell>
          <cell r="H48" t="str">
            <v>Rebecca Sjostrand</v>
          </cell>
          <cell r="I48">
            <v>936</v>
          </cell>
        </row>
        <row r="49">
          <cell r="E49">
            <v>4367</v>
          </cell>
          <cell r="F49" t="str">
            <v>Full Fed</v>
          </cell>
          <cell r="G49" t="str">
            <v>Weight</v>
          </cell>
          <cell r="H49" t="str">
            <v>Rebecca Sjostrand</v>
          </cell>
          <cell r="I49">
            <v>962</v>
          </cell>
        </row>
        <row r="50">
          <cell r="E50">
            <v>4368</v>
          </cell>
          <cell r="F50" t="str">
            <v>Full Fed</v>
          </cell>
          <cell r="G50" t="str">
            <v>Weight</v>
          </cell>
          <cell r="H50" t="str">
            <v>Rebecca Sjostrand</v>
          </cell>
          <cell r="I50">
            <v>828</v>
          </cell>
        </row>
        <row r="51">
          <cell r="E51">
            <v>4369</v>
          </cell>
          <cell r="F51" t="str">
            <v>Full Fed</v>
          </cell>
          <cell r="G51" t="str">
            <v>Weight</v>
          </cell>
          <cell r="H51" t="str">
            <v>Rebecca Sjostrand</v>
          </cell>
          <cell r="I51">
            <v>820</v>
          </cell>
        </row>
        <row r="52">
          <cell r="E52">
            <v>4370</v>
          </cell>
          <cell r="F52" t="str">
            <v>Full Fed</v>
          </cell>
          <cell r="G52" t="str">
            <v>Weight</v>
          </cell>
          <cell r="H52" t="str">
            <v>Rebecca Sjostrand</v>
          </cell>
          <cell r="I52">
            <v>830</v>
          </cell>
        </row>
        <row r="53">
          <cell r="E53">
            <v>4372</v>
          </cell>
          <cell r="F53" t="str">
            <v>Full Fed</v>
          </cell>
          <cell r="G53" t="str">
            <v>Weight</v>
          </cell>
          <cell r="H53" t="str">
            <v>Rebecca Sjostrand</v>
          </cell>
          <cell r="I53">
            <v>866</v>
          </cell>
        </row>
        <row r="54">
          <cell r="E54">
            <v>4373</v>
          </cell>
          <cell r="F54" t="str">
            <v>Full Fed</v>
          </cell>
          <cell r="G54" t="str">
            <v>Weight</v>
          </cell>
          <cell r="H54" t="str">
            <v>Rebecca Sjostrand</v>
          </cell>
          <cell r="I54">
            <v>908</v>
          </cell>
        </row>
        <row r="55">
          <cell r="E55">
            <v>4374</v>
          </cell>
          <cell r="F55" t="str">
            <v>Full Fed</v>
          </cell>
          <cell r="G55" t="str">
            <v>Weight</v>
          </cell>
          <cell r="H55" t="str">
            <v>Rebecca Sjostrand</v>
          </cell>
          <cell r="I55">
            <v>898</v>
          </cell>
        </row>
        <row r="56">
          <cell r="E56">
            <v>4375</v>
          </cell>
          <cell r="F56" t="str">
            <v>Full Fed</v>
          </cell>
          <cell r="G56" t="str">
            <v>Weight</v>
          </cell>
          <cell r="H56" t="str">
            <v>Rebecca Sjostrand</v>
          </cell>
          <cell r="I56">
            <v>920</v>
          </cell>
        </row>
        <row r="57">
          <cell r="E57">
            <v>4376</v>
          </cell>
          <cell r="F57" t="str">
            <v>Full Fed</v>
          </cell>
          <cell r="G57" t="str">
            <v>Weight</v>
          </cell>
          <cell r="H57" t="str">
            <v>Rebecca Sjostrand</v>
          </cell>
          <cell r="I57">
            <v>808</v>
          </cell>
        </row>
        <row r="58">
          <cell r="E58">
            <v>4377</v>
          </cell>
          <cell r="F58" t="str">
            <v>Full Fed</v>
          </cell>
          <cell r="G58" t="str">
            <v>Weight</v>
          </cell>
          <cell r="H58" t="str">
            <v>Rebecca Sjostrand</v>
          </cell>
          <cell r="I58">
            <v>970</v>
          </cell>
        </row>
        <row r="59">
          <cell r="E59">
            <v>4378</v>
          </cell>
          <cell r="F59" t="str">
            <v>Full Fed</v>
          </cell>
          <cell r="G59" t="str">
            <v>Weight</v>
          </cell>
          <cell r="H59" t="str">
            <v>Rebecca Sjostrand</v>
          </cell>
          <cell r="I59">
            <v>812</v>
          </cell>
        </row>
        <row r="60">
          <cell r="E60">
            <v>4380</v>
          </cell>
          <cell r="F60" t="str">
            <v>Full Fed</v>
          </cell>
          <cell r="G60" t="str">
            <v>Weight</v>
          </cell>
          <cell r="H60" t="str">
            <v>Rebecca Sjostrand</v>
          </cell>
          <cell r="I60">
            <v>824</v>
          </cell>
        </row>
        <row r="61">
          <cell r="E61">
            <v>4381</v>
          </cell>
          <cell r="F61" t="str">
            <v>Full Fed</v>
          </cell>
          <cell r="G61" t="str">
            <v>Weight</v>
          </cell>
          <cell r="H61" t="str">
            <v>Rebecca Sjostrand</v>
          </cell>
          <cell r="I61">
            <v>952</v>
          </cell>
        </row>
        <row r="62">
          <cell r="E62">
            <v>4382</v>
          </cell>
          <cell r="F62" t="str">
            <v>Full Fed</v>
          </cell>
          <cell r="G62" t="str">
            <v>Weight</v>
          </cell>
          <cell r="H62" t="str">
            <v>Rebecca Sjostrand</v>
          </cell>
          <cell r="I62">
            <v>946</v>
          </cell>
        </row>
        <row r="63">
          <cell r="E63">
            <v>4383</v>
          </cell>
          <cell r="F63" t="str">
            <v>Full Fed</v>
          </cell>
          <cell r="G63" t="str">
            <v>Weight</v>
          </cell>
          <cell r="H63" t="str">
            <v>Rebecca Sjostrand</v>
          </cell>
          <cell r="I63">
            <v>796</v>
          </cell>
        </row>
        <row r="64">
          <cell r="E64">
            <v>4384</v>
          </cell>
          <cell r="F64" t="str">
            <v>Full Fed</v>
          </cell>
          <cell r="G64" t="str">
            <v>Weight</v>
          </cell>
          <cell r="H64" t="str">
            <v>Rebecca Sjostrand</v>
          </cell>
          <cell r="I64">
            <v>850</v>
          </cell>
        </row>
        <row r="65">
          <cell r="E65">
            <v>4385</v>
          </cell>
          <cell r="F65" t="str">
            <v>Full Fed</v>
          </cell>
          <cell r="G65" t="str">
            <v>Weight</v>
          </cell>
          <cell r="H65" t="str">
            <v>Rebecca Sjostrand</v>
          </cell>
          <cell r="I65">
            <v>814</v>
          </cell>
        </row>
        <row r="66">
          <cell r="E66">
            <v>4387</v>
          </cell>
          <cell r="F66" t="str">
            <v>Full Fed</v>
          </cell>
          <cell r="G66" t="str">
            <v>Weight</v>
          </cell>
          <cell r="H66" t="str">
            <v>Rebecca Sjostrand</v>
          </cell>
          <cell r="I66">
            <v>786</v>
          </cell>
        </row>
        <row r="67">
          <cell r="E67">
            <v>4388</v>
          </cell>
          <cell r="F67" t="str">
            <v>Full Fed</v>
          </cell>
          <cell r="G67" t="str">
            <v>Weight</v>
          </cell>
          <cell r="H67" t="str">
            <v>Rebecca Sjostrand</v>
          </cell>
          <cell r="I67">
            <v>888</v>
          </cell>
        </row>
        <row r="68">
          <cell r="E68">
            <v>4389</v>
          </cell>
          <cell r="F68" t="str">
            <v>Full Fed</v>
          </cell>
          <cell r="G68" t="str">
            <v>Weight</v>
          </cell>
          <cell r="H68" t="str">
            <v>Rebecca Sjostrand</v>
          </cell>
          <cell r="I68">
            <v>730</v>
          </cell>
        </row>
        <row r="69">
          <cell r="E69">
            <v>4390</v>
          </cell>
          <cell r="F69" t="str">
            <v>Full Fed</v>
          </cell>
          <cell r="G69" t="str">
            <v>Weight</v>
          </cell>
          <cell r="H69" t="str">
            <v>Rebecca Sjostrand</v>
          </cell>
          <cell r="I69">
            <v>940</v>
          </cell>
        </row>
        <row r="70">
          <cell r="E70">
            <v>4391</v>
          </cell>
          <cell r="F70" t="str">
            <v>Full Fed</v>
          </cell>
          <cell r="G70" t="str">
            <v>Weight</v>
          </cell>
          <cell r="H70" t="str">
            <v>Rebecca Sjostrand</v>
          </cell>
          <cell r="I70">
            <v>812</v>
          </cell>
        </row>
        <row r="71">
          <cell r="E71">
            <v>4392</v>
          </cell>
          <cell r="F71" t="str">
            <v>Full Fed</v>
          </cell>
          <cell r="G71" t="str">
            <v>Weight</v>
          </cell>
          <cell r="H71" t="str">
            <v>Rebecca Sjostrand</v>
          </cell>
          <cell r="I71">
            <v>984</v>
          </cell>
        </row>
        <row r="72">
          <cell r="E72">
            <v>4393</v>
          </cell>
          <cell r="F72" t="str">
            <v>Full Fed</v>
          </cell>
          <cell r="G72" t="str">
            <v>Weight</v>
          </cell>
          <cell r="H72" t="str">
            <v>Rebecca Sjostrand</v>
          </cell>
          <cell r="I72">
            <v>922</v>
          </cell>
        </row>
        <row r="73">
          <cell r="E73">
            <v>4394</v>
          </cell>
          <cell r="F73" t="str">
            <v>Full Fed</v>
          </cell>
          <cell r="G73" t="str">
            <v>Weight</v>
          </cell>
          <cell r="H73" t="str">
            <v>Rebecca Sjostrand</v>
          </cell>
          <cell r="I73">
            <v>810</v>
          </cell>
        </row>
        <row r="74">
          <cell r="E74">
            <v>4395</v>
          </cell>
          <cell r="F74" t="str">
            <v>Full Fed</v>
          </cell>
          <cell r="G74" t="str">
            <v>Weight</v>
          </cell>
          <cell r="H74" t="str">
            <v>Rebecca Sjostrand</v>
          </cell>
          <cell r="I74">
            <v>756</v>
          </cell>
        </row>
        <row r="75">
          <cell r="E75">
            <v>4396</v>
          </cell>
          <cell r="F75" t="str">
            <v>Full Fed</v>
          </cell>
          <cell r="G75" t="str">
            <v>Weight</v>
          </cell>
          <cell r="H75" t="str">
            <v>Rebecca Sjostrand</v>
          </cell>
          <cell r="I75">
            <v>856</v>
          </cell>
        </row>
        <row r="76">
          <cell r="E76">
            <v>4397</v>
          </cell>
          <cell r="F76" t="str">
            <v>Full Fed</v>
          </cell>
          <cell r="G76" t="str">
            <v>Weight</v>
          </cell>
          <cell r="H76" t="str">
            <v>Rebecca Sjostrand</v>
          </cell>
          <cell r="I76">
            <v>932</v>
          </cell>
        </row>
        <row r="77">
          <cell r="E77">
            <v>4398</v>
          </cell>
          <cell r="F77" t="str">
            <v>Full Fed</v>
          </cell>
          <cell r="G77" t="str">
            <v>Weight</v>
          </cell>
          <cell r="H77" t="str">
            <v>Rebecca Sjostrand</v>
          </cell>
          <cell r="I77">
            <v>908</v>
          </cell>
        </row>
        <row r="78">
          <cell r="E78">
            <v>4399</v>
          </cell>
          <cell r="F78" t="str">
            <v>Full Fed</v>
          </cell>
          <cell r="G78" t="str">
            <v>Weight</v>
          </cell>
          <cell r="H78" t="str">
            <v>Rebecca Sjostrand</v>
          </cell>
          <cell r="I78">
            <v>796</v>
          </cell>
        </row>
        <row r="79">
          <cell r="E79">
            <v>4400</v>
          </cell>
          <cell r="F79" t="str">
            <v>Full Fed</v>
          </cell>
          <cell r="G79" t="str">
            <v>Weight</v>
          </cell>
          <cell r="H79" t="str">
            <v>Rebecca Sjostrand</v>
          </cell>
          <cell r="I79">
            <v>836</v>
          </cell>
        </row>
        <row r="80">
          <cell r="E80">
            <v>4401</v>
          </cell>
          <cell r="F80" t="str">
            <v>Full Fed</v>
          </cell>
          <cell r="G80" t="str">
            <v>Weight</v>
          </cell>
          <cell r="H80" t="str">
            <v>Rebecca Sjostrand</v>
          </cell>
          <cell r="I80">
            <v>932</v>
          </cell>
        </row>
        <row r="81">
          <cell r="E81">
            <v>4402</v>
          </cell>
          <cell r="F81" t="str">
            <v>Full Fed</v>
          </cell>
          <cell r="G81" t="str">
            <v>Weight</v>
          </cell>
          <cell r="H81" t="str">
            <v>Rebecca Sjostrand</v>
          </cell>
          <cell r="I81">
            <v>884</v>
          </cell>
        </row>
        <row r="82">
          <cell r="E82">
            <v>4403</v>
          </cell>
          <cell r="F82" t="str">
            <v>Full Fed</v>
          </cell>
          <cell r="G82" t="str">
            <v>Weight</v>
          </cell>
          <cell r="H82" t="str">
            <v>Rebecca Sjostrand</v>
          </cell>
          <cell r="I82">
            <v>960</v>
          </cell>
        </row>
        <row r="83">
          <cell r="E83">
            <v>4404</v>
          </cell>
          <cell r="F83" t="str">
            <v>Full Fed</v>
          </cell>
          <cell r="G83" t="str">
            <v>Weight</v>
          </cell>
          <cell r="H83" t="str">
            <v>Rebecca Sjostrand</v>
          </cell>
          <cell r="I83">
            <v>810</v>
          </cell>
        </row>
        <row r="84">
          <cell r="E84">
            <v>4405</v>
          </cell>
          <cell r="F84" t="str">
            <v>Full Fed</v>
          </cell>
          <cell r="G84" t="str">
            <v>Weight</v>
          </cell>
          <cell r="H84" t="str">
            <v>Rebecca Sjostrand</v>
          </cell>
          <cell r="I84">
            <v>994</v>
          </cell>
        </row>
        <row r="85">
          <cell r="E85">
            <v>4406</v>
          </cell>
          <cell r="F85" t="str">
            <v>Full Fed</v>
          </cell>
          <cell r="G85" t="str">
            <v>Weight</v>
          </cell>
          <cell r="H85" t="str">
            <v>Rebecca Sjostrand</v>
          </cell>
          <cell r="I85">
            <v>924</v>
          </cell>
        </row>
        <row r="86">
          <cell r="E86">
            <v>4407</v>
          </cell>
          <cell r="F86" t="str">
            <v>Full Fed</v>
          </cell>
          <cell r="G86" t="str">
            <v>Weight</v>
          </cell>
          <cell r="H86" t="str">
            <v>Rebecca Sjostrand</v>
          </cell>
          <cell r="I86">
            <v>812</v>
          </cell>
        </row>
        <row r="87">
          <cell r="E87">
            <v>4408</v>
          </cell>
          <cell r="F87" t="str">
            <v>Full Fed</v>
          </cell>
          <cell r="G87" t="str">
            <v>Weight</v>
          </cell>
          <cell r="H87" t="str">
            <v>Rebecca Sjostrand</v>
          </cell>
          <cell r="I87">
            <v>784</v>
          </cell>
        </row>
        <row r="88">
          <cell r="E88">
            <v>4410</v>
          </cell>
          <cell r="F88" t="str">
            <v>Full Fed</v>
          </cell>
          <cell r="G88" t="str">
            <v>Weight</v>
          </cell>
          <cell r="H88" t="str">
            <v>Rebecca Sjostrand</v>
          </cell>
          <cell r="I88">
            <v>806</v>
          </cell>
        </row>
        <row r="89">
          <cell r="E89">
            <v>4411</v>
          </cell>
          <cell r="F89" t="str">
            <v>Full Fed</v>
          </cell>
          <cell r="G89" t="str">
            <v>Weight</v>
          </cell>
          <cell r="H89" t="str">
            <v>Rebecca Sjostrand</v>
          </cell>
          <cell r="I89">
            <v>834</v>
          </cell>
        </row>
        <row r="90">
          <cell r="E90">
            <v>4412</v>
          </cell>
          <cell r="F90" t="str">
            <v>Full Fed</v>
          </cell>
          <cell r="G90" t="str">
            <v>Weight</v>
          </cell>
          <cell r="H90" t="str">
            <v>Rebecca Sjostrand</v>
          </cell>
          <cell r="I90">
            <v>946</v>
          </cell>
        </row>
        <row r="91">
          <cell r="E91">
            <v>4413</v>
          </cell>
          <cell r="F91" t="str">
            <v>Full Fed</v>
          </cell>
          <cell r="G91" t="str">
            <v>Weight</v>
          </cell>
          <cell r="H91" t="str">
            <v>Rebecca Sjostrand</v>
          </cell>
          <cell r="I91">
            <v>868</v>
          </cell>
        </row>
        <row r="92">
          <cell r="E92">
            <v>4415</v>
          </cell>
          <cell r="F92" t="str">
            <v>Full Fed</v>
          </cell>
          <cell r="G92" t="str">
            <v>Weight</v>
          </cell>
          <cell r="H92" t="str">
            <v>Rebecca Sjostrand</v>
          </cell>
          <cell r="I92">
            <v>854</v>
          </cell>
        </row>
        <row r="93">
          <cell r="E93">
            <v>4416</v>
          </cell>
          <cell r="F93" t="str">
            <v>Full Fed</v>
          </cell>
          <cell r="G93" t="str">
            <v>Weight</v>
          </cell>
          <cell r="H93" t="str">
            <v>Rebecca Sjostrand</v>
          </cell>
          <cell r="I93">
            <v>888</v>
          </cell>
        </row>
        <row r="94">
          <cell r="E94">
            <v>4417</v>
          </cell>
          <cell r="F94" t="str">
            <v>Full Fed</v>
          </cell>
          <cell r="G94" t="str">
            <v>Weight</v>
          </cell>
          <cell r="H94" t="str">
            <v>Rebecca Sjostrand</v>
          </cell>
          <cell r="I94">
            <v>894</v>
          </cell>
        </row>
        <row r="95">
          <cell r="E95">
            <v>4418</v>
          </cell>
          <cell r="F95" t="str">
            <v>Full Fed</v>
          </cell>
          <cell r="G95" t="str">
            <v>Weight</v>
          </cell>
          <cell r="H95" t="str">
            <v>Rebecca Sjostrand</v>
          </cell>
          <cell r="I95">
            <v>772</v>
          </cell>
        </row>
        <row r="96">
          <cell r="E96">
            <v>4421</v>
          </cell>
          <cell r="F96" t="str">
            <v>Full Fed</v>
          </cell>
          <cell r="G96" t="str">
            <v>Weight</v>
          </cell>
          <cell r="H96" t="str">
            <v>Rebecca Sjostrand</v>
          </cell>
          <cell r="I96">
            <v>732</v>
          </cell>
        </row>
        <row r="97">
          <cell r="E97">
            <v>4423</v>
          </cell>
          <cell r="F97" t="str">
            <v>Full Fed</v>
          </cell>
          <cell r="G97" t="str">
            <v>Weight</v>
          </cell>
          <cell r="H97" t="str">
            <v>Rebecca Sjostrand</v>
          </cell>
          <cell r="I97">
            <v>754</v>
          </cell>
        </row>
        <row r="98">
          <cell r="E98">
            <v>4424</v>
          </cell>
          <cell r="F98" t="str">
            <v>Full Fed</v>
          </cell>
          <cell r="G98" t="str">
            <v>Weight</v>
          </cell>
          <cell r="H98" t="str">
            <v>Rebecca Sjostrand</v>
          </cell>
          <cell r="I98">
            <v>834</v>
          </cell>
        </row>
        <row r="99">
          <cell r="E99">
            <v>4425</v>
          </cell>
          <cell r="F99" t="str">
            <v>Full Fed</v>
          </cell>
          <cell r="G99" t="str">
            <v>Weight</v>
          </cell>
          <cell r="H99" t="str">
            <v>Rebecca Sjostrand</v>
          </cell>
          <cell r="I99">
            <v>838</v>
          </cell>
        </row>
        <row r="100">
          <cell r="E100">
            <v>4426</v>
          </cell>
          <cell r="F100" t="str">
            <v>Full Fed</v>
          </cell>
          <cell r="G100" t="str">
            <v>Weight</v>
          </cell>
          <cell r="H100" t="str">
            <v>Rebecca Sjostrand</v>
          </cell>
          <cell r="I100">
            <v>886</v>
          </cell>
        </row>
        <row r="101">
          <cell r="E101">
            <v>4427</v>
          </cell>
          <cell r="F101" t="str">
            <v>Full Fed</v>
          </cell>
          <cell r="G101" t="str">
            <v>Weight</v>
          </cell>
          <cell r="H101" t="str">
            <v>Rebecca Sjostrand</v>
          </cell>
          <cell r="I101">
            <v>786</v>
          </cell>
        </row>
        <row r="102">
          <cell r="E102">
            <v>4428</v>
          </cell>
          <cell r="F102" t="str">
            <v>Full Fed</v>
          </cell>
          <cell r="G102" t="str">
            <v>Weight</v>
          </cell>
          <cell r="H102" t="str">
            <v>Rebecca Sjostrand</v>
          </cell>
          <cell r="I102">
            <v>858</v>
          </cell>
        </row>
        <row r="103">
          <cell r="E103">
            <v>4429</v>
          </cell>
          <cell r="F103" t="str">
            <v>Full Fed</v>
          </cell>
          <cell r="G103" t="str">
            <v>Weight</v>
          </cell>
          <cell r="H103" t="str">
            <v>Rebecca Sjostrand</v>
          </cell>
          <cell r="I103">
            <v>854</v>
          </cell>
        </row>
        <row r="104">
          <cell r="E104">
            <v>4430</v>
          </cell>
          <cell r="F104" t="str">
            <v>Full Fed</v>
          </cell>
          <cell r="G104" t="str">
            <v>Weight</v>
          </cell>
          <cell r="H104" t="str">
            <v>Rebecca Sjostrand</v>
          </cell>
          <cell r="I104">
            <v>766</v>
          </cell>
        </row>
        <row r="105">
          <cell r="E105">
            <v>4432</v>
          </cell>
          <cell r="F105" t="str">
            <v>Full Fed</v>
          </cell>
          <cell r="G105" t="str">
            <v>Weight</v>
          </cell>
          <cell r="H105" t="str">
            <v>Rebecca Sjostrand</v>
          </cell>
          <cell r="I105">
            <v>824</v>
          </cell>
        </row>
        <row r="106">
          <cell r="E106">
            <v>4433</v>
          </cell>
          <cell r="F106" t="str">
            <v>Full Fed</v>
          </cell>
          <cell r="G106" t="str">
            <v>Weight</v>
          </cell>
          <cell r="H106" t="str">
            <v>Rebecca Sjostrand</v>
          </cell>
          <cell r="I106">
            <v>860</v>
          </cell>
        </row>
        <row r="107">
          <cell r="E107">
            <v>4435</v>
          </cell>
          <cell r="F107" t="str">
            <v>Full Fed</v>
          </cell>
          <cell r="G107" t="str">
            <v>Weight</v>
          </cell>
          <cell r="H107" t="str">
            <v>Rebecca Sjostrand</v>
          </cell>
          <cell r="I107">
            <v>892</v>
          </cell>
        </row>
        <row r="108">
          <cell r="E108">
            <v>4436</v>
          </cell>
          <cell r="F108" t="str">
            <v>Full Fed</v>
          </cell>
          <cell r="G108" t="str">
            <v>Weight</v>
          </cell>
          <cell r="H108" t="str">
            <v>Rebecca Sjostrand</v>
          </cell>
          <cell r="I108">
            <v>1094</v>
          </cell>
        </row>
        <row r="109">
          <cell r="E109">
            <v>4437</v>
          </cell>
          <cell r="F109" t="str">
            <v>Full Fed</v>
          </cell>
          <cell r="G109" t="str">
            <v>Weight</v>
          </cell>
          <cell r="H109" t="str">
            <v>Rebecca Sjostrand</v>
          </cell>
          <cell r="I109">
            <v>776</v>
          </cell>
        </row>
        <row r="110">
          <cell r="E110">
            <v>4439</v>
          </cell>
          <cell r="F110" t="str">
            <v>Full Fed</v>
          </cell>
          <cell r="G110" t="str">
            <v>Weight</v>
          </cell>
          <cell r="H110" t="str">
            <v>Rebecca Sjostrand</v>
          </cell>
          <cell r="I110">
            <v>844</v>
          </cell>
        </row>
        <row r="111">
          <cell r="E111">
            <v>4440</v>
          </cell>
          <cell r="F111" t="str">
            <v>Full Fed</v>
          </cell>
          <cell r="G111" t="str">
            <v>Weight</v>
          </cell>
          <cell r="H111" t="str">
            <v>Rebecca Sjostrand</v>
          </cell>
          <cell r="I111">
            <v>934</v>
          </cell>
        </row>
        <row r="112">
          <cell r="E112">
            <v>4441</v>
          </cell>
          <cell r="F112" t="str">
            <v>Full Fed</v>
          </cell>
          <cell r="G112" t="str">
            <v>Weight</v>
          </cell>
          <cell r="H112" t="str">
            <v>Rebecca Sjostrand</v>
          </cell>
          <cell r="I112">
            <v>1108</v>
          </cell>
        </row>
        <row r="113">
          <cell r="E113">
            <v>4442</v>
          </cell>
          <cell r="F113" t="str">
            <v>Full Fed</v>
          </cell>
          <cell r="G113" t="str">
            <v>Weight</v>
          </cell>
          <cell r="H113" t="str">
            <v>Rebecca Sjostrand</v>
          </cell>
          <cell r="I113">
            <v>876</v>
          </cell>
        </row>
        <row r="114">
          <cell r="E114">
            <v>4443</v>
          </cell>
          <cell r="F114" t="str">
            <v>Full Fed</v>
          </cell>
          <cell r="G114" t="str">
            <v>Weight</v>
          </cell>
          <cell r="H114" t="str">
            <v>Rebecca Sjostrand</v>
          </cell>
          <cell r="I114">
            <v>820</v>
          </cell>
        </row>
        <row r="115">
          <cell r="E115">
            <v>4444</v>
          </cell>
          <cell r="F115" t="str">
            <v>Full Fed</v>
          </cell>
          <cell r="G115" t="str">
            <v>Weight</v>
          </cell>
          <cell r="H115" t="str">
            <v>Rebecca Sjostrand</v>
          </cell>
          <cell r="I115">
            <v>810</v>
          </cell>
        </row>
        <row r="116">
          <cell r="E116">
            <v>4445</v>
          </cell>
          <cell r="F116" t="str">
            <v>Full Fed</v>
          </cell>
          <cell r="G116" t="str">
            <v>Weight</v>
          </cell>
          <cell r="H116" t="str">
            <v>Rebecca Sjostrand</v>
          </cell>
          <cell r="I116">
            <v>802</v>
          </cell>
        </row>
        <row r="117">
          <cell r="E117">
            <v>4446</v>
          </cell>
          <cell r="F117" t="str">
            <v>Full Fed</v>
          </cell>
          <cell r="G117" t="str">
            <v>Weight</v>
          </cell>
          <cell r="H117" t="str">
            <v>Rebecca Sjostrand</v>
          </cell>
          <cell r="I117">
            <v>858</v>
          </cell>
        </row>
        <row r="118">
          <cell r="E118">
            <v>4447</v>
          </cell>
          <cell r="F118" t="str">
            <v>Full Fed</v>
          </cell>
          <cell r="G118" t="str">
            <v>Weight</v>
          </cell>
          <cell r="H118" t="str">
            <v>Rebecca Sjostrand</v>
          </cell>
          <cell r="I118">
            <v>1044</v>
          </cell>
        </row>
        <row r="119">
          <cell r="E119">
            <v>4448</v>
          </cell>
          <cell r="F119" t="str">
            <v>Full Fed</v>
          </cell>
          <cell r="G119" t="str">
            <v>Weight</v>
          </cell>
          <cell r="H119" t="str">
            <v>Rebecca Sjostrand</v>
          </cell>
          <cell r="I119">
            <v>826</v>
          </cell>
        </row>
        <row r="120">
          <cell r="E120">
            <v>4449</v>
          </cell>
          <cell r="F120" t="str">
            <v>Full Fed</v>
          </cell>
          <cell r="G120" t="str">
            <v>Weight</v>
          </cell>
          <cell r="H120" t="str">
            <v>Rebecca Sjostrand</v>
          </cell>
          <cell r="I120">
            <v>1068</v>
          </cell>
        </row>
        <row r="121">
          <cell r="E121">
            <v>4450</v>
          </cell>
          <cell r="F121" t="str">
            <v>Full Fed</v>
          </cell>
          <cell r="G121" t="str">
            <v>Weight</v>
          </cell>
          <cell r="H121" t="str">
            <v>Rebecca Sjostrand</v>
          </cell>
          <cell r="I121">
            <v>758</v>
          </cell>
        </row>
        <row r="122">
          <cell r="E122">
            <v>4451</v>
          </cell>
          <cell r="F122" t="str">
            <v>Full Fed</v>
          </cell>
          <cell r="G122" t="str">
            <v>Weight</v>
          </cell>
          <cell r="H122" t="str">
            <v>Rebecca Sjostrand</v>
          </cell>
          <cell r="I122">
            <v>1014</v>
          </cell>
        </row>
        <row r="123">
          <cell r="E123">
            <v>4452</v>
          </cell>
          <cell r="F123" t="str">
            <v>Full Fed</v>
          </cell>
          <cell r="G123" t="str">
            <v>Weight</v>
          </cell>
          <cell r="H123" t="str">
            <v>Rebecca Sjostrand</v>
          </cell>
          <cell r="I123">
            <v>870</v>
          </cell>
        </row>
        <row r="124">
          <cell r="E124">
            <v>4453</v>
          </cell>
          <cell r="F124" t="str">
            <v>Full Fed</v>
          </cell>
          <cell r="G124" t="str">
            <v>Weight</v>
          </cell>
          <cell r="H124" t="str">
            <v>Rebecca Sjostrand</v>
          </cell>
          <cell r="I124">
            <v>888</v>
          </cell>
        </row>
        <row r="125">
          <cell r="E125">
            <v>4454</v>
          </cell>
          <cell r="F125" t="str">
            <v>Full Fed</v>
          </cell>
          <cell r="G125" t="str">
            <v>Weight</v>
          </cell>
          <cell r="H125" t="str">
            <v>Rebecca Sjostrand</v>
          </cell>
          <cell r="I125">
            <v>830</v>
          </cell>
        </row>
        <row r="126">
          <cell r="E126">
            <v>4456</v>
          </cell>
          <cell r="F126" t="str">
            <v>Full Fed</v>
          </cell>
          <cell r="G126" t="str">
            <v>Weight</v>
          </cell>
          <cell r="H126" t="str">
            <v>Rebecca Sjostrand</v>
          </cell>
          <cell r="I126">
            <v>852</v>
          </cell>
        </row>
        <row r="127">
          <cell r="E127">
            <v>4458</v>
          </cell>
          <cell r="F127" t="str">
            <v>Full Fed</v>
          </cell>
          <cell r="G127" t="str">
            <v>Weight</v>
          </cell>
          <cell r="H127" t="str">
            <v>Rebecca Sjostrand</v>
          </cell>
          <cell r="I127">
            <v>906</v>
          </cell>
        </row>
        <row r="128">
          <cell r="E128">
            <v>4459</v>
          </cell>
          <cell r="F128" t="str">
            <v>Full Fed</v>
          </cell>
          <cell r="G128" t="str">
            <v>Weight</v>
          </cell>
          <cell r="H128" t="str">
            <v>Rebecca Sjostrand</v>
          </cell>
          <cell r="I128">
            <v>802</v>
          </cell>
        </row>
        <row r="129">
          <cell r="E129">
            <v>4460</v>
          </cell>
          <cell r="F129" t="str">
            <v>Full Fed</v>
          </cell>
          <cell r="G129" t="str">
            <v>Weight</v>
          </cell>
          <cell r="H129" t="str">
            <v>Rebecca Sjostrand</v>
          </cell>
          <cell r="I129">
            <v>804</v>
          </cell>
        </row>
        <row r="130">
          <cell r="E130">
            <v>4461</v>
          </cell>
          <cell r="F130" t="str">
            <v>Full Fed</v>
          </cell>
          <cell r="G130" t="str">
            <v>Weight</v>
          </cell>
          <cell r="H130" t="str">
            <v>Rebecca Sjostrand</v>
          </cell>
          <cell r="I130">
            <v>908</v>
          </cell>
        </row>
        <row r="131">
          <cell r="E131">
            <v>4462</v>
          </cell>
          <cell r="F131" t="str">
            <v>Full Fed</v>
          </cell>
          <cell r="G131" t="str">
            <v>Weight</v>
          </cell>
          <cell r="H131" t="str">
            <v>Rebecca Sjostrand</v>
          </cell>
          <cell r="I131">
            <v>942</v>
          </cell>
        </row>
        <row r="132">
          <cell r="E132">
            <v>4463</v>
          </cell>
          <cell r="F132" t="str">
            <v>Full Fed</v>
          </cell>
          <cell r="G132" t="str">
            <v>Weight</v>
          </cell>
          <cell r="H132" t="str">
            <v>Rebecca Sjostrand</v>
          </cell>
          <cell r="I132">
            <v>770</v>
          </cell>
        </row>
        <row r="133">
          <cell r="E133">
            <v>4464</v>
          </cell>
          <cell r="F133" t="str">
            <v>Full Fed</v>
          </cell>
          <cell r="G133" t="str">
            <v>Weight</v>
          </cell>
          <cell r="H133" t="str">
            <v>Rebecca Sjostrand</v>
          </cell>
          <cell r="I133">
            <v>796</v>
          </cell>
        </row>
        <row r="134">
          <cell r="E134">
            <v>4466</v>
          </cell>
          <cell r="F134" t="str">
            <v>Full Fed</v>
          </cell>
          <cell r="G134" t="str">
            <v>Weight</v>
          </cell>
          <cell r="H134" t="str">
            <v>Rebecca Sjostrand</v>
          </cell>
          <cell r="I134">
            <v>736</v>
          </cell>
        </row>
        <row r="135">
          <cell r="E135">
            <v>4467</v>
          </cell>
          <cell r="F135" t="str">
            <v>Full Fed</v>
          </cell>
          <cell r="G135" t="str">
            <v>Weight</v>
          </cell>
          <cell r="H135" t="str">
            <v>Rebecca Sjostrand</v>
          </cell>
          <cell r="I135">
            <v>880</v>
          </cell>
        </row>
        <row r="136">
          <cell r="E136">
            <v>4468</v>
          </cell>
          <cell r="F136" t="str">
            <v>Full Fed</v>
          </cell>
          <cell r="G136" t="str">
            <v>Weight</v>
          </cell>
          <cell r="H136" t="str">
            <v>Rebecca Sjostrand</v>
          </cell>
          <cell r="I136">
            <v>840</v>
          </cell>
        </row>
        <row r="137">
          <cell r="E137">
            <v>4469</v>
          </cell>
          <cell r="F137" t="str">
            <v>Full Fed</v>
          </cell>
          <cell r="G137" t="str">
            <v>Weight</v>
          </cell>
          <cell r="H137" t="str">
            <v>Rebecca Sjostrand</v>
          </cell>
          <cell r="I137">
            <v>804</v>
          </cell>
        </row>
        <row r="138">
          <cell r="E138">
            <v>4470</v>
          </cell>
          <cell r="F138" t="str">
            <v>Full Fed</v>
          </cell>
          <cell r="G138" t="str">
            <v>Weight</v>
          </cell>
          <cell r="H138" t="str">
            <v>Rebecca Sjostrand</v>
          </cell>
          <cell r="I138">
            <v>906</v>
          </cell>
        </row>
        <row r="139">
          <cell r="E139">
            <v>4471</v>
          </cell>
          <cell r="F139" t="str">
            <v>Full Fed</v>
          </cell>
          <cell r="G139" t="str">
            <v>Weight</v>
          </cell>
          <cell r="H139" t="str">
            <v>Rebecca Sjostrand</v>
          </cell>
          <cell r="I139">
            <v>848</v>
          </cell>
        </row>
        <row r="140">
          <cell r="E140">
            <v>4472</v>
          </cell>
          <cell r="F140" t="str">
            <v>Full Fed</v>
          </cell>
          <cell r="G140" t="str">
            <v>Weight</v>
          </cell>
          <cell r="H140" t="str">
            <v>Rebecca Sjostrand</v>
          </cell>
          <cell r="I140">
            <v>804</v>
          </cell>
        </row>
        <row r="141">
          <cell r="E141">
            <v>4473</v>
          </cell>
          <cell r="F141" t="str">
            <v>Full Fed</v>
          </cell>
          <cell r="G141" t="str">
            <v>Weight</v>
          </cell>
          <cell r="H141" t="str">
            <v>Rebecca Sjostrand</v>
          </cell>
          <cell r="I141">
            <v>828</v>
          </cell>
        </row>
        <row r="142">
          <cell r="E142">
            <v>4474</v>
          </cell>
          <cell r="F142" t="str">
            <v>Full Fed</v>
          </cell>
          <cell r="G142" t="str">
            <v>Weight</v>
          </cell>
          <cell r="H142" t="str">
            <v>Rebecca Sjostrand</v>
          </cell>
          <cell r="I142">
            <v>932</v>
          </cell>
        </row>
        <row r="143">
          <cell r="E143">
            <v>4475</v>
          </cell>
          <cell r="F143" t="str">
            <v>Full Fed</v>
          </cell>
          <cell r="G143" t="str">
            <v>Weight</v>
          </cell>
          <cell r="H143" t="str">
            <v>Rebecca Sjostrand</v>
          </cell>
          <cell r="I143">
            <v>830</v>
          </cell>
        </row>
        <row r="144">
          <cell r="E144">
            <v>4477</v>
          </cell>
          <cell r="F144" t="str">
            <v>Full Fed</v>
          </cell>
          <cell r="G144" t="str">
            <v>Weight</v>
          </cell>
          <cell r="H144" t="str">
            <v>Rebecca Sjostrand</v>
          </cell>
          <cell r="I144">
            <v>844</v>
          </cell>
        </row>
        <row r="145">
          <cell r="E145">
            <v>4478</v>
          </cell>
          <cell r="F145" t="str">
            <v>Full Fed</v>
          </cell>
          <cell r="G145" t="str">
            <v>Weight</v>
          </cell>
          <cell r="H145" t="str">
            <v>Rebecca Sjostrand</v>
          </cell>
          <cell r="I145">
            <v>882</v>
          </cell>
        </row>
        <row r="146">
          <cell r="E146">
            <v>4479</v>
          </cell>
          <cell r="F146" t="str">
            <v>Full Fed</v>
          </cell>
          <cell r="G146" t="str">
            <v>Weight</v>
          </cell>
          <cell r="H146" t="str">
            <v>Rebecca Sjostrand</v>
          </cell>
          <cell r="I146">
            <v>848</v>
          </cell>
        </row>
        <row r="147">
          <cell r="E147">
            <v>4481</v>
          </cell>
          <cell r="F147" t="str">
            <v>Full Fed</v>
          </cell>
          <cell r="G147" t="str">
            <v>Weight</v>
          </cell>
          <cell r="H147" t="str">
            <v>Rebecca Sjostrand</v>
          </cell>
          <cell r="I147">
            <v>828</v>
          </cell>
        </row>
        <row r="148">
          <cell r="E148">
            <v>4482</v>
          </cell>
          <cell r="F148" t="str">
            <v>Full Fed</v>
          </cell>
          <cell r="G148" t="str">
            <v>Weight</v>
          </cell>
          <cell r="H148" t="str">
            <v>Rebecca Sjostrand</v>
          </cell>
          <cell r="I148">
            <v>1038</v>
          </cell>
        </row>
        <row r="149">
          <cell r="E149">
            <v>4483</v>
          </cell>
          <cell r="F149" t="str">
            <v>Full Fed</v>
          </cell>
          <cell r="G149" t="str">
            <v>Weight</v>
          </cell>
          <cell r="H149" t="str">
            <v>Rebecca Sjostrand</v>
          </cell>
          <cell r="I149">
            <v>826</v>
          </cell>
        </row>
        <row r="150">
          <cell r="E150">
            <v>4484</v>
          </cell>
          <cell r="F150" t="str">
            <v>Full Fed</v>
          </cell>
          <cell r="G150" t="str">
            <v>Weight</v>
          </cell>
          <cell r="H150" t="str">
            <v>Rebecca Sjostrand</v>
          </cell>
          <cell r="I150">
            <v>886</v>
          </cell>
        </row>
        <row r="151">
          <cell r="E151">
            <v>4485</v>
          </cell>
          <cell r="F151" t="str">
            <v>Full Fed</v>
          </cell>
          <cell r="G151" t="str">
            <v>Weight</v>
          </cell>
          <cell r="H151" t="str">
            <v>Rebecca Sjostrand</v>
          </cell>
          <cell r="I151">
            <v>854</v>
          </cell>
        </row>
        <row r="152">
          <cell r="E152">
            <v>4486</v>
          </cell>
          <cell r="F152" t="str">
            <v>Full Fed</v>
          </cell>
          <cell r="G152" t="str">
            <v>Weight</v>
          </cell>
          <cell r="H152" t="str">
            <v>Rebecca Sjostrand</v>
          </cell>
          <cell r="I152">
            <v>850</v>
          </cell>
        </row>
        <row r="153">
          <cell r="E153">
            <v>4487</v>
          </cell>
          <cell r="F153" t="str">
            <v>Full Fed</v>
          </cell>
          <cell r="G153" t="str">
            <v>Weight</v>
          </cell>
          <cell r="H153" t="str">
            <v>Rebecca Sjostrand</v>
          </cell>
          <cell r="I153">
            <v>816</v>
          </cell>
        </row>
        <row r="154">
          <cell r="E154">
            <v>4488</v>
          </cell>
          <cell r="F154" t="str">
            <v>Full Fed</v>
          </cell>
          <cell r="G154" t="str">
            <v>Weight</v>
          </cell>
          <cell r="H154" t="str">
            <v>Rebecca Sjostrand</v>
          </cell>
          <cell r="I154">
            <v>796</v>
          </cell>
        </row>
        <row r="155">
          <cell r="E155">
            <v>4489</v>
          </cell>
          <cell r="F155" t="str">
            <v>Full Fed</v>
          </cell>
          <cell r="G155" t="str">
            <v>Weight</v>
          </cell>
          <cell r="H155" t="str">
            <v>Rebecca Sjostrand</v>
          </cell>
          <cell r="I155">
            <v>850</v>
          </cell>
        </row>
        <row r="156">
          <cell r="E156">
            <v>4490</v>
          </cell>
          <cell r="F156" t="str">
            <v>Full Fed</v>
          </cell>
          <cell r="G156" t="str">
            <v>Weight</v>
          </cell>
          <cell r="H156" t="str">
            <v>Rebecca Sjostrand</v>
          </cell>
          <cell r="I156">
            <v>832</v>
          </cell>
        </row>
        <row r="157">
          <cell r="E157">
            <v>4491</v>
          </cell>
          <cell r="F157" t="str">
            <v>Full Fed</v>
          </cell>
          <cell r="G157" t="str">
            <v>Weight</v>
          </cell>
          <cell r="H157" t="str">
            <v>Rebecca Sjostrand</v>
          </cell>
          <cell r="I157">
            <v>884</v>
          </cell>
        </row>
        <row r="158">
          <cell r="E158">
            <v>4493</v>
          </cell>
          <cell r="F158" t="str">
            <v>Full Fed</v>
          </cell>
          <cell r="G158" t="str">
            <v>Weight</v>
          </cell>
          <cell r="H158" t="str">
            <v>Rebecca Sjostrand</v>
          </cell>
          <cell r="I158">
            <v>908</v>
          </cell>
        </row>
        <row r="159">
          <cell r="E159">
            <v>4494</v>
          </cell>
          <cell r="F159" t="str">
            <v>Full Fed</v>
          </cell>
          <cell r="G159" t="str">
            <v>Weight</v>
          </cell>
          <cell r="H159" t="str">
            <v>Rebecca Sjostrand</v>
          </cell>
          <cell r="I159">
            <v>856</v>
          </cell>
        </row>
        <row r="160">
          <cell r="E160">
            <v>4495</v>
          </cell>
          <cell r="F160" t="str">
            <v>Full Fed</v>
          </cell>
          <cell r="G160" t="str">
            <v>Weight</v>
          </cell>
          <cell r="H160" t="str">
            <v>Rebecca Sjostrand</v>
          </cell>
          <cell r="I160">
            <v>896</v>
          </cell>
        </row>
        <row r="161">
          <cell r="E161">
            <v>4496</v>
          </cell>
          <cell r="F161" t="str">
            <v>Full Fed</v>
          </cell>
          <cell r="G161" t="str">
            <v>Weight</v>
          </cell>
          <cell r="H161" t="str">
            <v>Rebecca Sjostrand</v>
          </cell>
          <cell r="I161">
            <v>810</v>
          </cell>
        </row>
        <row r="162">
          <cell r="E162">
            <v>4497</v>
          </cell>
          <cell r="F162" t="str">
            <v>Full Fed</v>
          </cell>
          <cell r="G162" t="str">
            <v>Weight</v>
          </cell>
          <cell r="H162" t="str">
            <v>Rebecca Sjostrand</v>
          </cell>
          <cell r="I162">
            <v>792</v>
          </cell>
        </row>
        <row r="163">
          <cell r="E163">
            <v>4498</v>
          </cell>
          <cell r="F163" t="str">
            <v>Full Fed</v>
          </cell>
          <cell r="G163" t="str">
            <v>Weight</v>
          </cell>
          <cell r="H163" t="str">
            <v>Rebecca Sjostrand</v>
          </cell>
          <cell r="I163">
            <v>768</v>
          </cell>
        </row>
        <row r="164">
          <cell r="E164">
            <v>4499</v>
          </cell>
          <cell r="F164" t="str">
            <v>Full Fed</v>
          </cell>
          <cell r="G164" t="str">
            <v>Weight</v>
          </cell>
          <cell r="H164" t="str">
            <v>Rebecca Sjostrand</v>
          </cell>
          <cell r="I164">
            <v>944</v>
          </cell>
        </row>
        <row r="165">
          <cell r="E165">
            <v>4500</v>
          </cell>
          <cell r="F165" t="str">
            <v>Full Fed</v>
          </cell>
          <cell r="G165" t="str">
            <v>Weight</v>
          </cell>
          <cell r="H165" t="str">
            <v>Rebecca Sjostrand</v>
          </cell>
          <cell r="I165">
            <v>752</v>
          </cell>
        </row>
        <row r="166">
          <cell r="E166">
            <v>4501</v>
          </cell>
          <cell r="F166" t="str">
            <v>Full Fed</v>
          </cell>
          <cell r="G166" t="str">
            <v>Weight</v>
          </cell>
          <cell r="H166" t="str">
            <v>Rebecca Sjostrand</v>
          </cell>
          <cell r="I166">
            <v>750</v>
          </cell>
        </row>
        <row r="167">
          <cell r="E167">
            <v>4502</v>
          </cell>
          <cell r="F167" t="str">
            <v>Full Fed</v>
          </cell>
          <cell r="G167" t="str">
            <v>Weight</v>
          </cell>
          <cell r="H167" t="str">
            <v>Rebecca Sjostrand</v>
          </cell>
          <cell r="I167">
            <v>812</v>
          </cell>
        </row>
        <row r="168">
          <cell r="E168">
            <v>4503</v>
          </cell>
          <cell r="F168" t="str">
            <v>Full Fed</v>
          </cell>
          <cell r="G168" t="str">
            <v>Weight</v>
          </cell>
          <cell r="H168" t="str">
            <v>Rebecca Sjostrand</v>
          </cell>
          <cell r="I168">
            <v>820</v>
          </cell>
        </row>
        <row r="169">
          <cell r="E169">
            <v>4504</v>
          </cell>
          <cell r="F169" t="str">
            <v>Full Fed</v>
          </cell>
          <cell r="G169" t="str">
            <v>Weight</v>
          </cell>
          <cell r="H169" t="str">
            <v>Rebecca Sjostrand</v>
          </cell>
          <cell r="I169">
            <v>852</v>
          </cell>
        </row>
        <row r="170">
          <cell r="E170">
            <v>4505</v>
          </cell>
          <cell r="F170" t="str">
            <v>Full Fed</v>
          </cell>
          <cell r="G170" t="str">
            <v>Weight</v>
          </cell>
          <cell r="H170" t="str">
            <v>Rebecca Sjostrand</v>
          </cell>
          <cell r="I170">
            <v>980</v>
          </cell>
        </row>
        <row r="171">
          <cell r="E171">
            <v>4506</v>
          </cell>
          <cell r="F171" t="str">
            <v>Full Fed</v>
          </cell>
          <cell r="G171" t="str">
            <v>Weight</v>
          </cell>
          <cell r="H171" t="str">
            <v>Rebecca Sjostrand</v>
          </cell>
          <cell r="I171">
            <v>876</v>
          </cell>
        </row>
        <row r="172">
          <cell r="E172">
            <v>4507</v>
          </cell>
          <cell r="F172" t="str">
            <v>Full Fed</v>
          </cell>
          <cell r="G172" t="str">
            <v>Weight</v>
          </cell>
          <cell r="H172" t="str">
            <v>Rebecca Sjostrand</v>
          </cell>
          <cell r="I172">
            <v>842</v>
          </cell>
        </row>
        <row r="173">
          <cell r="E173">
            <v>4509</v>
          </cell>
          <cell r="F173" t="str">
            <v>Full Fed</v>
          </cell>
          <cell r="G173" t="str">
            <v>Weight</v>
          </cell>
          <cell r="H173" t="str">
            <v>Rebecca Sjostrand</v>
          </cell>
          <cell r="I173">
            <v>890</v>
          </cell>
        </row>
        <row r="174">
          <cell r="E174">
            <v>4510</v>
          </cell>
          <cell r="F174" t="str">
            <v>Full Fed</v>
          </cell>
          <cell r="G174" t="str">
            <v>Weight</v>
          </cell>
          <cell r="H174" t="str">
            <v>Rebecca Sjostrand</v>
          </cell>
          <cell r="I174">
            <v>930</v>
          </cell>
        </row>
        <row r="175">
          <cell r="E175">
            <v>4511</v>
          </cell>
          <cell r="F175" t="str">
            <v>Full Fed</v>
          </cell>
          <cell r="G175" t="str">
            <v>Weight</v>
          </cell>
          <cell r="H175" t="str">
            <v>Rebecca Sjostrand</v>
          </cell>
          <cell r="I175">
            <v>804</v>
          </cell>
        </row>
        <row r="176">
          <cell r="E176">
            <v>4512</v>
          </cell>
          <cell r="F176" t="str">
            <v>Full Fed</v>
          </cell>
          <cell r="G176" t="str">
            <v>Weight</v>
          </cell>
          <cell r="H176" t="str">
            <v>Rebecca Sjostrand</v>
          </cell>
          <cell r="I176">
            <v>818</v>
          </cell>
        </row>
        <row r="177">
          <cell r="E177">
            <v>4513</v>
          </cell>
          <cell r="F177" t="str">
            <v>Full Fed</v>
          </cell>
          <cell r="G177" t="str">
            <v>Weight</v>
          </cell>
          <cell r="H177" t="str">
            <v>Rebecca Sjostrand</v>
          </cell>
          <cell r="I177">
            <v>824</v>
          </cell>
        </row>
        <row r="178">
          <cell r="E178">
            <v>4515</v>
          </cell>
          <cell r="F178" t="str">
            <v>Full Fed</v>
          </cell>
          <cell r="G178" t="str">
            <v>Weight</v>
          </cell>
          <cell r="H178" t="str">
            <v>Rebecca Sjostrand</v>
          </cell>
          <cell r="I178">
            <v>840</v>
          </cell>
        </row>
        <row r="179">
          <cell r="E179">
            <v>4517</v>
          </cell>
          <cell r="F179" t="str">
            <v>Full Fed</v>
          </cell>
          <cell r="G179" t="str">
            <v>Weight</v>
          </cell>
          <cell r="H179" t="str">
            <v>Rebecca Sjostrand</v>
          </cell>
          <cell r="I179">
            <v>814</v>
          </cell>
        </row>
        <row r="180">
          <cell r="E180">
            <v>4518</v>
          </cell>
          <cell r="F180" t="str">
            <v>Full Fed</v>
          </cell>
          <cell r="G180" t="str">
            <v>Weight</v>
          </cell>
          <cell r="H180" t="str">
            <v>Rebecca Sjostrand</v>
          </cell>
          <cell r="I180">
            <v>790</v>
          </cell>
        </row>
        <row r="181">
          <cell r="E181">
            <v>4520</v>
          </cell>
          <cell r="F181" t="str">
            <v>Full Fed</v>
          </cell>
          <cell r="G181" t="str">
            <v>Weight</v>
          </cell>
          <cell r="H181" t="str">
            <v>Rebecca Sjostrand</v>
          </cell>
          <cell r="I181">
            <v>940</v>
          </cell>
        </row>
        <row r="182">
          <cell r="E182">
            <v>4521</v>
          </cell>
          <cell r="F182" t="str">
            <v>Full Fed</v>
          </cell>
          <cell r="G182" t="str">
            <v>Weight</v>
          </cell>
          <cell r="H182" t="str">
            <v>Rebecca Sjostrand</v>
          </cell>
          <cell r="I182">
            <v>938</v>
          </cell>
        </row>
        <row r="183">
          <cell r="E183">
            <v>4522</v>
          </cell>
          <cell r="F183" t="str">
            <v>Full Fed</v>
          </cell>
          <cell r="G183" t="str">
            <v>Weight</v>
          </cell>
          <cell r="H183" t="str">
            <v>Rebecca Sjostrand</v>
          </cell>
          <cell r="I183">
            <v>772</v>
          </cell>
        </row>
        <row r="184">
          <cell r="E184">
            <v>4523</v>
          </cell>
          <cell r="F184" t="str">
            <v>Full Fed</v>
          </cell>
          <cell r="G184" t="str">
            <v>Weight</v>
          </cell>
          <cell r="H184" t="str">
            <v>Rebecca Sjostrand</v>
          </cell>
          <cell r="I184">
            <v>870</v>
          </cell>
        </row>
        <row r="185">
          <cell r="E185">
            <v>4524</v>
          </cell>
          <cell r="F185" t="str">
            <v>Full Fed</v>
          </cell>
          <cell r="G185" t="str">
            <v>Weight</v>
          </cell>
          <cell r="H185" t="str">
            <v>Rebecca Sjostrand</v>
          </cell>
          <cell r="I185">
            <v>852</v>
          </cell>
        </row>
        <row r="186">
          <cell r="E186">
            <v>4525</v>
          </cell>
          <cell r="F186" t="str">
            <v>Full Fed</v>
          </cell>
          <cell r="G186" t="str">
            <v>Weight</v>
          </cell>
          <cell r="H186" t="str">
            <v>Rebecca Sjostrand</v>
          </cell>
          <cell r="I186">
            <v>858</v>
          </cell>
        </row>
        <row r="187">
          <cell r="E187">
            <v>4526</v>
          </cell>
          <cell r="F187" t="str">
            <v>Full Fed</v>
          </cell>
          <cell r="G187" t="str">
            <v>Weight</v>
          </cell>
          <cell r="H187" t="str">
            <v>Rebecca Sjostrand</v>
          </cell>
          <cell r="I187">
            <v>1014</v>
          </cell>
        </row>
        <row r="188">
          <cell r="E188">
            <v>4527</v>
          </cell>
          <cell r="F188" t="str">
            <v>Full Fed</v>
          </cell>
          <cell r="G188" t="str">
            <v>Weight</v>
          </cell>
          <cell r="H188" t="str">
            <v>Rebecca Sjostrand</v>
          </cell>
          <cell r="I188">
            <v>814</v>
          </cell>
        </row>
        <row r="189">
          <cell r="E189">
            <v>4528</v>
          </cell>
          <cell r="F189" t="str">
            <v>Full Fed</v>
          </cell>
          <cell r="G189" t="str">
            <v>Weight</v>
          </cell>
          <cell r="H189" t="str">
            <v>Rebecca Sjostrand</v>
          </cell>
          <cell r="I189">
            <v>858</v>
          </cell>
        </row>
        <row r="190">
          <cell r="E190">
            <v>4529</v>
          </cell>
          <cell r="F190" t="str">
            <v>Full Fed</v>
          </cell>
          <cell r="G190" t="str">
            <v>Weight</v>
          </cell>
          <cell r="H190" t="str">
            <v>Rebecca Sjostrand</v>
          </cell>
          <cell r="I190">
            <v>956</v>
          </cell>
        </row>
        <row r="191">
          <cell r="E191">
            <v>4531</v>
          </cell>
          <cell r="F191" t="str">
            <v>Full Fed</v>
          </cell>
          <cell r="G191" t="str">
            <v>Weight</v>
          </cell>
          <cell r="H191" t="str">
            <v>Rebecca Sjostrand</v>
          </cell>
          <cell r="I191">
            <v>672</v>
          </cell>
        </row>
        <row r="192">
          <cell r="E192">
            <v>4534</v>
          </cell>
          <cell r="F192" t="str">
            <v>Full Fed</v>
          </cell>
          <cell r="G192" t="str">
            <v>Weight</v>
          </cell>
          <cell r="H192" t="str">
            <v>Rebecca Sjostrand</v>
          </cell>
          <cell r="I192">
            <v>958</v>
          </cell>
        </row>
        <row r="193">
          <cell r="E193">
            <v>4535</v>
          </cell>
          <cell r="F193" t="str">
            <v>Full Fed</v>
          </cell>
          <cell r="G193" t="str">
            <v>Weight</v>
          </cell>
          <cell r="H193" t="str">
            <v>Rebecca Sjostrand</v>
          </cell>
          <cell r="I193">
            <v>782</v>
          </cell>
        </row>
        <row r="194">
          <cell r="E194">
            <v>4536</v>
          </cell>
          <cell r="F194" t="str">
            <v>Full Fed</v>
          </cell>
          <cell r="G194" t="str">
            <v>Weight</v>
          </cell>
          <cell r="H194" t="str">
            <v>Rebecca Sjostrand</v>
          </cell>
          <cell r="I194">
            <v>902</v>
          </cell>
        </row>
        <row r="195">
          <cell r="E195">
            <v>4537</v>
          </cell>
          <cell r="F195" t="str">
            <v>Full Fed</v>
          </cell>
          <cell r="G195" t="str">
            <v>Weight</v>
          </cell>
          <cell r="H195" t="str">
            <v>Rebecca Sjostrand</v>
          </cell>
          <cell r="I195">
            <v>824</v>
          </cell>
        </row>
        <row r="196">
          <cell r="E196">
            <v>4538</v>
          </cell>
          <cell r="F196" t="str">
            <v>Full Fed</v>
          </cell>
          <cell r="G196" t="str">
            <v>Weight</v>
          </cell>
          <cell r="H196" t="str">
            <v>Rebecca Sjostrand</v>
          </cell>
          <cell r="I196">
            <v>786</v>
          </cell>
        </row>
        <row r="197">
          <cell r="E197">
            <v>4539</v>
          </cell>
          <cell r="F197" t="str">
            <v>Full Fed</v>
          </cell>
          <cell r="G197" t="str">
            <v>Weight</v>
          </cell>
          <cell r="H197" t="str">
            <v>Rebecca Sjostrand</v>
          </cell>
          <cell r="I197">
            <v>972</v>
          </cell>
        </row>
        <row r="198">
          <cell r="E198">
            <v>4540</v>
          </cell>
          <cell r="F198" t="str">
            <v>Full Fed</v>
          </cell>
          <cell r="G198" t="str">
            <v>Weight</v>
          </cell>
          <cell r="H198" t="str">
            <v>Rebecca Sjostrand</v>
          </cell>
          <cell r="I198">
            <v>764</v>
          </cell>
        </row>
        <row r="199">
          <cell r="E199">
            <v>4541</v>
          </cell>
          <cell r="F199" t="str">
            <v>Full Fed</v>
          </cell>
          <cell r="G199" t="str">
            <v>Weight</v>
          </cell>
          <cell r="H199" t="str">
            <v>Rebecca Sjostrand</v>
          </cell>
          <cell r="I199">
            <v>846</v>
          </cell>
        </row>
        <row r="200">
          <cell r="E200">
            <v>4542</v>
          </cell>
          <cell r="F200" t="str">
            <v>Full Fed</v>
          </cell>
          <cell r="G200" t="str">
            <v>Weight</v>
          </cell>
          <cell r="H200" t="str">
            <v>Rebecca Sjostrand</v>
          </cell>
          <cell r="I200">
            <v>848</v>
          </cell>
        </row>
        <row r="201">
          <cell r="E201">
            <v>4543</v>
          </cell>
          <cell r="F201" t="str">
            <v>Full Fed</v>
          </cell>
          <cell r="G201" t="str">
            <v>Weight</v>
          </cell>
          <cell r="H201" t="str">
            <v>Rebecca Sjostrand</v>
          </cell>
          <cell r="I201">
            <v>828</v>
          </cell>
        </row>
        <row r="202">
          <cell r="E202">
            <v>4545</v>
          </cell>
          <cell r="F202" t="str">
            <v>Full Fed</v>
          </cell>
          <cell r="G202" t="str">
            <v>Weight</v>
          </cell>
          <cell r="H202" t="str">
            <v>Rebecca Sjostrand</v>
          </cell>
          <cell r="I202">
            <v>752</v>
          </cell>
        </row>
        <row r="203">
          <cell r="E203">
            <v>4546</v>
          </cell>
          <cell r="F203" t="str">
            <v>Full Fed</v>
          </cell>
          <cell r="G203" t="str">
            <v>Weight</v>
          </cell>
          <cell r="H203" t="str">
            <v>Rebecca Sjostrand</v>
          </cell>
          <cell r="I203">
            <v>768</v>
          </cell>
        </row>
        <row r="204">
          <cell r="E204">
            <v>4547</v>
          </cell>
          <cell r="F204" t="str">
            <v>Full Fed</v>
          </cell>
          <cell r="G204" t="str">
            <v>Weight</v>
          </cell>
          <cell r="H204" t="str">
            <v>Rebecca Sjostrand</v>
          </cell>
          <cell r="I204">
            <v>770</v>
          </cell>
        </row>
        <row r="205">
          <cell r="E205">
            <v>4548</v>
          </cell>
          <cell r="F205" t="str">
            <v>Full Fed</v>
          </cell>
          <cell r="G205" t="str">
            <v>Weight</v>
          </cell>
          <cell r="H205" t="str">
            <v>Rebecca Sjostrand</v>
          </cell>
          <cell r="I205">
            <v>832</v>
          </cell>
        </row>
        <row r="206">
          <cell r="E206">
            <v>4549</v>
          </cell>
          <cell r="F206" t="str">
            <v>Full Fed</v>
          </cell>
          <cell r="G206" t="str">
            <v>Weight</v>
          </cell>
          <cell r="H206" t="str">
            <v>Rebecca Sjostrand</v>
          </cell>
          <cell r="I206">
            <v>784</v>
          </cell>
        </row>
        <row r="207">
          <cell r="E207">
            <v>4550</v>
          </cell>
          <cell r="F207" t="str">
            <v>Full Fed</v>
          </cell>
          <cell r="G207" t="str">
            <v>Weight</v>
          </cell>
          <cell r="H207" t="str">
            <v>Rebecca Sjostrand</v>
          </cell>
          <cell r="I207">
            <v>806</v>
          </cell>
        </row>
        <row r="208">
          <cell r="E208">
            <v>4552</v>
          </cell>
          <cell r="F208" t="str">
            <v>Full Fed</v>
          </cell>
          <cell r="G208" t="str">
            <v>Weight</v>
          </cell>
          <cell r="H208" t="str">
            <v>Rebecca Sjostrand</v>
          </cell>
          <cell r="I208">
            <v>926</v>
          </cell>
        </row>
        <row r="209">
          <cell r="E209">
            <v>4554</v>
          </cell>
          <cell r="F209" t="str">
            <v>Full Fed</v>
          </cell>
          <cell r="G209" t="str">
            <v>Weight</v>
          </cell>
          <cell r="H209" t="str">
            <v>Rebecca Sjostrand</v>
          </cell>
          <cell r="I209">
            <v>790</v>
          </cell>
        </row>
        <row r="210">
          <cell r="E210">
            <v>4555</v>
          </cell>
          <cell r="F210" t="str">
            <v>Full Fed</v>
          </cell>
          <cell r="G210" t="str">
            <v>Weight</v>
          </cell>
          <cell r="H210" t="str">
            <v>Rebecca Sjostrand</v>
          </cell>
          <cell r="I210">
            <v>880</v>
          </cell>
        </row>
        <row r="211">
          <cell r="E211">
            <v>4556</v>
          </cell>
          <cell r="F211" t="str">
            <v>Full Fed</v>
          </cell>
          <cell r="G211" t="str">
            <v>Weight</v>
          </cell>
          <cell r="H211" t="str">
            <v>Rebecca Sjostrand</v>
          </cell>
          <cell r="I211">
            <v>808</v>
          </cell>
        </row>
        <row r="212">
          <cell r="E212">
            <v>4559</v>
          </cell>
          <cell r="F212" t="str">
            <v>Full Fed</v>
          </cell>
          <cell r="G212" t="str">
            <v>Weight</v>
          </cell>
          <cell r="H212" t="str">
            <v>Rebecca Sjostrand</v>
          </cell>
          <cell r="I212">
            <v>838</v>
          </cell>
        </row>
        <row r="213">
          <cell r="E213">
            <v>4560</v>
          </cell>
          <cell r="F213" t="str">
            <v>Full Fed</v>
          </cell>
          <cell r="G213" t="str">
            <v>Weight</v>
          </cell>
          <cell r="H213" t="str">
            <v>Rebecca Sjostrand</v>
          </cell>
          <cell r="I213">
            <v>890</v>
          </cell>
        </row>
        <row r="214">
          <cell r="E214">
            <v>4562</v>
          </cell>
          <cell r="F214" t="str">
            <v>Full Fed</v>
          </cell>
          <cell r="G214" t="str">
            <v>Weight</v>
          </cell>
          <cell r="H214" t="str">
            <v>Rebecca Sjostrand</v>
          </cell>
          <cell r="I214">
            <v>892</v>
          </cell>
        </row>
        <row r="215">
          <cell r="E215">
            <v>4563</v>
          </cell>
          <cell r="F215" t="str">
            <v>Full Fed</v>
          </cell>
          <cell r="G215" t="str">
            <v>Weight</v>
          </cell>
          <cell r="H215" t="str">
            <v>Rebecca Sjostrand</v>
          </cell>
          <cell r="I215">
            <v>834</v>
          </cell>
        </row>
        <row r="216">
          <cell r="E216">
            <v>4564</v>
          </cell>
          <cell r="F216" t="str">
            <v>Full Fed</v>
          </cell>
          <cell r="G216" t="str">
            <v>Weight</v>
          </cell>
          <cell r="H216" t="str">
            <v>Rebecca Sjostrand</v>
          </cell>
          <cell r="I216">
            <v>960</v>
          </cell>
        </row>
        <row r="217">
          <cell r="E217">
            <v>4565</v>
          </cell>
          <cell r="F217" t="str">
            <v>Full Fed</v>
          </cell>
          <cell r="G217" t="str">
            <v>Weight</v>
          </cell>
          <cell r="H217" t="str">
            <v>Rebecca Sjostrand</v>
          </cell>
          <cell r="I217">
            <v>826</v>
          </cell>
        </row>
        <row r="218">
          <cell r="E218">
            <v>4566</v>
          </cell>
          <cell r="F218" t="str">
            <v>Full Fed</v>
          </cell>
          <cell r="G218" t="str">
            <v>Weight</v>
          </cell>
          <cell r="H218" t="str">
            <v>Rebecca Sjostrand</v>
          </cell>
          <cell r="I218">
            <v>960</v>
          </cell>
        </row>
        <row r="219">
          <cell r="E219">
            <v>4567</v>
          </cell>
          <cell r="F219" t="str">
            <v>Full Fed</v>
          </cell>
          <cell r="G219" t="str">
            <v>Weight</v>
          </cell>
          <cell r="H219" t="str">
            <v>Rebecca Sjostrand</v>
          </cell>
          <cell r="I219">
            <v>922</v>
          </cell>
        </row>
        <row r="220">
          <cell r="E220">
            <v>4568</v>
          </cell>
          <cell r="F220" t="str">
            <v>Full Fed</v>
          </cell>
          <cell r="G220" t="str">
            <v>Weight</v>
          </cell>
          <cell r="H220" t="str">
            <v>Rebecca Sjostrand</v>
          </cell>
          <cell r="I220">
            <v>928</v>
          </cell>
        </row>
        <row r="221">
          <cell r="E221">
            <v>4569</v>
          </cell>
          <cell r="F221" t="str">
            <v>Full Fed</v>
          </cell>
          <cell r="G221" t="str">
            <v>Weight</v>
          </cell>
          <cell r="H221" t="str">
            <v>Rebecca Sjostrand</v>
          </cell>
          <cell r="I221">
            <v>948</v>
          </cell>
        </row>
        <row r="222">
          <cell r="E222">
            <v>4570</v>
          </cell>
          <cell r="F222" t="str">
            <v>Full Fed</v>
          </cell>
          <cell r="G222" t="str">
            <v>Weight</v>
          </cell>
          <cell r="H222" t="str">
            <v>Rebecca Sjostrand</v>
          </cell>
          <cell r="I222">
            <v>840</v>
          </cell>
        </row>
        <row r="223">
          <cell r="E223">
            <v>4571</v>
          </cell>
          <cell r="F223" t="str">
            <v>Full Fed</v>
          </cell>
          <cell r="G223" t="str">
            <v>Weight</v>
          </cell>
          <cell r="H223" t="str">
            <v>Rebecca Sjostrand</v>
          </cell>
          <cell r="I223">
            <v>988</v>
          </cell>
        </row>
        <row r="224">
          <cell r="E224">
            <v>4572</v>
          </cell>
          <cell r="F224" t="str">
            <v>Full Fed</v>
          </cell>
          <cell r="G224" t="str">
            <v>Weight</v>
          </cell>
          <cell r="H224" t="str">
            <v>Rebecca Sjostrand</v>
          </cell>
          <cell r="I224">
            <v>644</v>
          </cell>
        </row>
        <row r="225">
          <cell r="E225">
            <v>4573</v>
          </cell>
          <cell r="F225" t="str">
            <v>Full Fed</v>
          </cell>
          <cell r="G225" t="str">
            <v>Weight</v>
          </cell>
          <cell r="H225" t="str">
            <v>Rebecca Sjostrand</v>
          </cell>
          <cell r="I225">
            <v>806</v>
          </cell>
        </row>
        <row r="226">
          <cell r="E226">
            <v>4574</v>
          </cell>
          <cell r="F226" t="str">
            <v>Full Fed</v>
          </cell>
          <cell r="G226" t="str">
            <v>Weight</v>
          </cell>
          <cell r="H226" t="str">
            <v>Rebecca Sjostrand</v>
          </cell>
          <cell r="I226">
            <v>880</v>
          </cell>
        </row>
        <row r="227">
          <cell r="E227">
            <v>4575</v>
          </cell>
          <cell r="F227" t="str">
            <v>Full Fed</v>
          </cell>
          <cell r="G227" t="str">
            <v>Weight</v>
          </cell>
          <cell r="H227" t="str">
            <v>Rebecca Sjostrand</v>
          </cell>
          <cell r="I227">
            <v>830</v>
          </cell>
        </row>
        <row r="228">
          <cell r="E228">
            <v>4576</v>
          </cell>
          <cell r="F228" t="str">
            <v>Full Fed</v>
          </cell>
          <cell r="G228" t="str">
            <v>Weight</v>
          </cell>
          <cell r="H228" t="str">
            <v>Rebecca Sjostrand</v>
          </cell>
          <cell r="I228">
            <v>818</v>
          </cell>
        </row>
        <row r="229">
          <cell r="E229">
            <v>4578</v>
          </cell>
          <cell r="F229" t="str">
            <v>Full Fed</v>
          </cell>
          <cell r="G229" t="str">
            <v>Weight</v>
          </cell>
          <cell r="H229" t="str">
            <v>Rebecca Sjostrand</v>
          </cell>
          <cell r="I229">
            <v>778</v>
          </cell>
        </row>
        <row r="230">
          <cell r="E230">
            <v>4579</v>
          </cell>
          <cell r="F230" t="str">
            <v>Full Fed</v>
          </cell>
          <cell r="G230" t="str">
            <v>Weight</v>
          </cell>
          <cell r="H230" t="str">
            <v>Rebecca Sjostrand</v>
          </cell>
          <cell r="I230">
            <v>804</v>
          </cell>
        </row>
        <row r="231">
          <cell r="E231">
            <v>4580</v>
          </cell>
          <cell r="F231" t="str">
            <v>Full Fed</v>
          </cell>
          <cell r="G231" t="str">
            <v>Weight</v>
          </cell>
          <cell r="H231" t="str">
            <v>Rebecca Sjostrand</v>
          </cell>
          <cell r="I231">
            <v>884</v>
          </cell>
        </row>
        <row r="232">
          <cell r="E232">
            <v>4582</v>
          </cell>
          <cell r="F232" t="str">
            <v>Full Fed</v>
          </cell>
          <cell r="G232" t="str">
            <v>Weight</v>
          </cell>
          <cell r="H232" t="str">
            <v>Rebecca Sjostrand</v>
          </cell>
          <cell r="I232">
            <v>916</v>
          </cell>
        </row>
        <row r="233">
          <cell r="E233">
            <v>4583</v>
          </cell>
          <cell r="F233" t="str">
            <v>Full Fed</v>
          </cell>
          <cell r="G233" t="str">
            <v>Weight</v>
          </cell>
          <cell r="H233" t="str">
            <v>Rebecca Sjostrand</v>
          </cell>
          <cell r="I233">
            <v>794</v>
          </cell>
        </row>
        <row r="234">
          <cell r="E234">
            <v>4584</v>
          </cell>
          <cell r="F234" t="str">
            <v>Full Fed</v>
          </cell>
          <cell r="G234" t="str">
            <v>Weight</v>
          </cell>
          <cell r="H234" t="str">
            <v>Rebecca Sjostrand</v>
          </cell>
          <cell r="I234">
            <v>914</v>
          </cell>
        </row>
        <row r="235">
          <cell r="E235">
            <v>4585</v>
          </cell>
          <cell r="F235" t="str">
            <v>Full Fed</v>
          </cell>
          <cell r="G235" t="str">
            <v>Weight</v>
          </cell>
          <cell r="H235" t="str">
            <v>Rebecca Sjostrand</v>
          </cell>
          <cell r="I235">
            <v>882</v>
          </cell>
        </row>
        <row r="236">
          <cell r="E236">
            <v>4586</v>
          </cell>
          <cell r="F236" t="str">
            <v>Full Fed</v>
          </cell>
          <cell r="G236" t="str">
            <v>Weight</v>
          </cell>
          <cell r="H236" t="str">
            <v>Rebecca Sjostrand</v>
          </cell>
          <cell r="I236">
            <v>838</v>
          </cell>
        </row>
        <row r="237">
          <cell r="E237">
            <v>4587</v>
          </cell>
          <cell r="F237" t="str">
            <v>Full Fed</v>
          </cell>
          <cell r="G237" t="str">
            <v>Weight</v>
          </cell>
          <cell r="H237" t="str">
            <v>Rebecca Sjostrand</v>
          </cell>
          <cell r="I237">
            <v>934</v>
          </cell>
        </row>
        <row r="238">
          <cell r="E238">
            <v>4588</v>
          </cell>
          <cell r="F238" t="str">
            <v>Full Fed</v>
          </cell>
          <cell r="G238" t="str">
            <v>Weight</v>
          </cell>
          <cell r="H238" t="str">
            <v>Rebecca Sjostrand</v>
          </cell>
          <cell r="I238">
            <v>858</v>
          </cell>
        </row>
        <row r="239">
          <cell r="E239">
            <v>4589</v>
          </cell>
          <cell r="F239" t="str">
            <v>Full Fed</v>
          </cell>
          <cell r="G239" t="str">
            <v>Weight</v>
          </cell>
          <cell r="H239" t="str">
            <v>Rebecca Sjostrand</v>
          </cell>
          <cell r="I239">
            <v>832</v>
          </cell>
        </row>
        <row r="240">
          <cell r="E240">
            <v>4590</v>
          </cell>
          <cell r="F240" t="str">
            <v>Full Fed</v>
          </cell>
          <cell r="G240" t="str">
            <v>Weight</v>
          </cell>
          <cell r="H240" t="str">
            <v>Rebecca Sjostrand</v>
          </cell>
          <cell r="I240">
            <v>884</v>
          </cell>
        </row>
        <row r="241">
          <cell r="E241">
            <v>4592</v>
          </cell>
          <cell r="F241" t="str">
            <v>Full Fed</v>
          </cell>
          <cell r="G241" t="str">
            <v>Weight</v>
          </cell>
          <cell r="H241" t="str">
            <v>Rebecca Sjostrand</v>
          </cell>
          <cell r="I241">
            <v>816</v>
          </cell>
        </row>
        <row r="242">
          <cell r="E242">
            <v>4593</v>
          </cell>
          <cell r="F242" t="str">
            <v>Full Fed</v>
          </cell>
          <cell r="G242" t="str">
            <v>Weight</v>
          </cell>
          <cell r="H242" t="str">
            <v>Rebecca Sjostrand</v>
          </cell>
          <cell r="I242">
            <v>852</v>
          </cell>
        </row>
        <row r="243">
          <cell r="E243">
            <v>4595</v>
          </cell>
          <cell r="F243" t="str">
            <v>Full Fed</v>
          </cell>
          <cell r="G243" t="str">
            <v>Weight</v>
          </cell>
          <cell r="H243" t="str">
            <v>Rebecca Sjostrand</v>
          </cell>
          <cell r="I243">
            <v>878</v>
          </cell>
        </row>
        <row r="244">
          <cell r="E244">
            <v>4596</v>
          </cell>
          <cell r="F244" t="str">
            <v>Full Fed</v>
          </cell>
          <cell r="G244" t="str">
            <v>Weight</v>
          </cell>
          <cell r="H244" t="str">
            <v>Rebecca Sjostrand</v>
          </cell>
          <cell r="I244">
            <v>828</v>
          </cell>
        </row>
        <row r="245">
          <cell r="E245">
            <v>4597</v>
          </cell>
          <cell r="F245" t="str">
            <v>Full Fed</v>
          </cell>
          <cell r="G245" t="str">
            <v>Weight</v>
          </cell>
          <cell r="H245" t="str">
            <v>Rebecca Sjostrand</v>
          </cell>
          <cell r="I245">
            <v>794</v>
          </cell>
        </row>
        <row r="246">
          <cell r="E246">
            <v>4598</v>
          </cell>
          <cell r="F246" t="str">
            <v>Full Fed</v>
          </cell>
          <cell r="G246" t="str">
            <v>Weight</v>
          </cell>
          <cell r="H246" t="str">
            <v>Rebecca Sjostrand</v>
          </cell>
          <cell r="I246">
            <v>844</v>
          </cell>
        </row>
        <row r="247">
          <cell r="E247">
            <v>4599</v>
          </cell>
          <cell r="F247" t="str">
            <v>Full Fed</v>
          </cell>
          <cell r="G247" t="str">
            <v>Weight</v>
          </cell>
          <cell r="H247" t="str">
            <v>Rebecca Sjostrand</v>
          </cell>
          <cell r="I247">
            <v>740</v>
          </cell>
        </row>
        <row r="248">
          <cell r="E248">
            <v>4600</v>
          </cell>
          <cell r="F248" t="str">
            <v>Full Fed</v>
          </cell>
          <cell r="G248" t="str">
            <v>Weight</v>
          </cell>
          <cell r="H248" t="str">
            <v>Rebecca Sjostrand</v>
          </cell>
          <cell r="I248">
            <v>734</v>
          </cell>
        </row>
        <row r="249">
          <cell r="E249">
            <v>4601</v>
          </cell>
          <cell r="F249" t="str">
            <v>Full Fed</v>
          </cell>
          <cell r="G249" t="str">
            <v>Weight</v>
          </cell>
          <cell r="H249" t="str">
            <v>Rebecca Sjostrand</v>
          </cell>
          <cell r="I249">
            <v>900</v>
          </cell>
        </row>
        <row r="250">
          <cell r="E250">
            <v>4602</v>
          </cell>
          <cell r="F250" t="str">
            <v>Full Fed</v>
          </cell>
          <cell r="G250" t="str">
            <v>Weight</v>
          </cell>
          <cell r="H250" t="str">
            <v>Rebecca Sjostrand</v>
          </cell>
          <cell r="I250">
            <v>806</v>
          </cell>
        </row>
        <row r="251">
          <cell r="E251">
            <v>4603</v>
          </cell>
          <cell r="F251" t="str">
            <v>Full Fed</v>
          </cell>
          <cell r="G251" t="str">
            <v>Weight</v>
          </cell>
          <cell r="H251" t="str">
            <v>Rebecca Sjostrand</v>
          </cell>
          <cell r="I251">
            <v>780</v>
          </cell>
        </row>
        <row r="252">
          <cell r="E252">
            <v>4604</v>
          </cell>
          <cell r="F252" t="str">
            <v>Full Fed</v>
          </cell>
          <cell r="G252" t="str">
            <v>Weight</v>
          </cell>
          <cell r="H252" t="str">
            <v>Rebecca Sjostrand</v>
          </cell>
          <cell r="I252">
            <v>858</v>
          </cell>
        </row>
        <row r="253">
          <cell r="E253">
            <v>4605</v>
          </cell>
          <cell r="F253" t="str">
            <v>Full Fed</v>
          </cell>
          <cell r="G253" t="str">
            <v>Weight</v>
          </cell>
          <cell r="H253" t="str">
            <v>Rebecca Sjostrand</v>
          </cell>
          <cell r="I253">
            <v>778</v>
          </cell>
        </row>
        <row r="254">
          <cell r="E254">
            <v>4606</v>
          </cell>
          <cell r="F254" t="str">
            <v>Full Fed</v>
          </cell>
          <cell r="G254" t="str">
            <v>Weight</v>
          </cell>
          <cell r="H254" t="str">
            <v>Rebecca Sjostrand</v>
          </cell>
          <cell r="I254">
            <v>1014</v>
          </cell>
        </row>
        <row r="255">
          <cell r="E255">
            <v>4607</v>
          </cell>
          <cell r="F255" t="str">
            <v>Full Fed</v>
          </cell>
          <cell r="G255" t="str">
            <v>Weight</v>
          </cell>
          <cell r="H255" t="str">
            <v>Rebecca Sjostrand</v>
          </cell>
          <cell r="I255">
            <v>868</v>
          </cell>
        </row>
        <row r="256">
          <cell r="E256">
            <v>4608</v>
          </cell>
          <cell r="F256" t="str">
            <v>Full Fed</v>
          </cell>
          <cell r="G256" t="str">
            <v>Weight</v>
          </cell>
          <cell r="H256" t="str">
            <v>Rebecca Sjostrand</v>
          </cell>
          <cell r="I256">
            <v>848</v>
          </cell>
        </row>
        <row r="257">
          <cell r="E257">
            <v>4609</v>
          </cell>
          <cell r="F257" t="str">
            <v>Full Fed</v>
          </cell>
          <cell r="G257" t="str">
            <v>Weight</v>
          </cell>
          <cell r="H257" t="str">
            <v>Rebecca Sjostrand</v>
          </cell>
          <cell r="I257">
            <v>938</v>
          </cell>
        </row>
        <row r="258">
          <cell r="E258">
            <v>4610</v>
          </cell>
          <cell r="F258" t="str">
            <v>Full Fed</v>
          </cell>
          <cell r="G258" t="str">
            <v>Weight</v>
          </cell>
          <cell r="H258" t="str">
            <v>Rebecca Sjostrand</v>
          </cell>
          <cell r="I258">
            <v>836</v>
          </cell>
        </row>
        <row r="259">
          <cell r="E259">
            <v>4611</v>
          </cell>
          <cell r="F259" t="str">
            <v>Full Fed</v>
          </cell>
          <cell r="G259" t="str">
            <v>Weight</v>
          </cell>
          <cell r="H259" t="str">
            <v>Rebecca Sjostrand</v>
          </cell>
          <cell r="I259">
            <v>800</v>
          </cell>
        </row>
        <row r="260">
          <cell r="E260">
            <v>4612</v>
          </cell>
          <cell r="F260" t="str">
            <v>Full Fed</v>
          </cell>
          <cell r="G260" t="str">
            <v>Weight</v>
          </cell>
          <cell r="H260" t="str">
            <v>Rebecca Sjostrand</v>
          </cell>
          <cell r="I260">
            <v>792</v>
          </cell>
        </row>
        <row r="261">
          <cell r="E261">
            <v>4613</v>
          </cell>
          <cell r="F261" t="str">
            <v>Full Fed</v>
          </cell>
          <cell r="G261" t="str">
            <v>Weight</v>
          </cell>
          <cell r="H261" t="str">
            <v>Rebecca Sjostrand</v>
          </cell>
          <cell r="I261">
            <v>786</v>
          </cell>
        </row>
        <row r="262">
          <cell r="E262">
            <v>4614</v>
          </cell>
          <cell r="F262" t="str">
            <v>Full Fed</v>
          </cell>
          <cell r="G262" t="str">
            <v>Weight</v>
          </cell>
          <cell r="H262" t="str">
            <v>Rebecca Sjostrand</v>
          </cell>
          <cell r="I262">
            <v>762</v>
          </cell>
        </row>
        <row r="263">
          <cell r="E263">
            <v>4615</v>
          </cell>
          <cell r="F263" t="str">
            <v>Full Fed</v>
          </cell>
          <cell r="G263" t="str">
            <v>Weight</v>
          </cell>
          <cell r="H263" t="str">
            <v>Rebecca Sjostrand</v>
          </cell>
          <cell r="I263">
            <v>902</v>
          </cell>
        </row>
        <row r="264">
          <cell r="E264">
            <v>4616</v>
          </cell>
          <cell r="F264" t="str">
            <v>Full Fed</v>
          </cell>
          <cell r="G264" t="str">
            <v>Weight</v>
          </cell>
          <cell r="H264" t="str">
            <v>Rebecca Sjostrand</v>
          </cell>
          <cell r="I264">
            <v>878</v>
          </cell>
        </row>
        <row r="265">
          <cell r="E265">
            <v>4617</v>
          </cell>
          <cell r="F265" t="str">
            <v>Full Fed</v>
          </cell>
          <cell r="G265" t="str">
            <v>Weight</v>
          </cell>
          <cell r="H265" t="str">
            <v>Rebecca Sjostrand</v>
          </cell>
          <cell r="I265">
            <v>798</v>
          </cell>
        </row>
        <row r="266">
          <cell r="E266">
            <v>4618</v>
          </cell>
          <cell r="F266" t="str">
            <v>Full Fed</v>
          </cell>
          <cell r="G266" t="str">
            <v>Weight</v>
          </cell>
          <cell r="H266" t="str">
            <v>Rebecca Sjostrand</v>
          </cell>
          <cell r="I266">
            <v>858</v>
          </cell>
        </row>
        <row r="267">
          <cell r="E267">
            <v>4619</v>
          </cell>
          <cell r="F267" t="str">
            <v>Full Fed</v>
          </cell>
          <cell r="G267" t="str">
            <v>Weight</v>
          </cell>
          <cell r="H267" t="str">
            <v>Rebecca Sjostrand</v>
          </cell>
          <cell r="I267">
            <v>876</v>
          </cell>
        </row>
        <row r="268">
          <cell r="E268">
            <v>4620</v>
          </cell>
          <cell r="F268" t="str">
            <v>Full Fed</v>
          </cell>
          <cell r="G268" t="str">
            <v>Weight</v>
          </cell>
          <cell r="H268" t="str">
            <v>Rebecca Sjostrand</v>
          </cell>
          <cell r="I268">
            <v>910</v>
          </cell>
        </row>
        <row r="269">
          <cell r="E269">
            <v>4621</v>
          </cell>
          <cell r="F269" t="str">
            <v>Full Fed</v>
          </cell>
          <cell r="G269" t="str">
            <v>Weight</v>
          </cell>
          <cell r="H269" t="str">
            <v>Rebecca Sjostrand</v>
          </cell>
          <cell r="I269">
            <v>816</v>
          </cell>
        </row>
        <row r="270">
          <cell r="E270">
            <v>4622</v>
          </cell>
          <cell r="F270" t="str">
            <v>Full Fed</v>
          </cell>
          <cell r="G270" t="str">
            <v>Weight</v>
          </cell>
          <cell r="H270" t="str">
            <v>Rebecca Sjostrand</v>
          </cell>
          <cell r="I270">
            <v>856</v>
          </cell>
        </row>
        <row r="271">
          <cell r="E271">
            <v>4624</v>
          </cell>
          <cell r="F271" t="str">
            <v>Full Fed</v>
          </cell>
          <cell r="G271" t="str">
            <v>Weight</v>
          </cell>
          <cell r="H271" t="str">
            <v>Rebecca Sjostrand</v>
          </cell>
          <cell r="I271">
            <v>930</v>
          </cell>
        </row>
        <row r="272">
          <cell r="E272">
            <v>4625</v>
          </cell>
          <cell r="F272" t="str">
            <v>Full Fed</v>
          </cell>
          <cell r="G272" t="str">
            <v>Weight</v>
          </cell>
          <cell r="H272" t="str">
            <v>Rebecca Sjostrand</v>
          </cell>
          <cell r="I272">
            <v>942</v>
          </cell>
        </row>
        <row r="273">
          <cell r="E273">
            <v>4626</v>
          </cell>
          <cell r="F273" t="str">
            <v>Full Fed</v>
          </cell>
          <cell r="G273" t="str">
            <v>Weight</v>
          </cell>
          <cell r="H273" t="str">
            <v>Rebecca Sjostrand</v>
          </cell>
          <cell r="I273">
            <v>880</v>
          </cell>
        </row>
        <row r="274">
          <cell r="E274">
            <v>4627</v>
          </cell>
          <cell r="F274" t="str">
            <v>Full Fed</v>
          </cell>
          <cell r="G274" t="str">
            <v>Weight</v>
          </cell>
          <cell r="H274" t="str">
            <v>Rebecca Sjostrand</v>
          </cell>
          <cell r="I274">
            <v>944</v>
          </cell>
        </row>
        <row r="275">
          <cell r="E275">
            <v>4628</v>
          </cell>
          <cell r="F275" t="str">
            <v>Full Fed</v>
          </cell>
          <cell r="G275" t="str">
            <v>Weight</v>
          </cell>
          <cell r="H275" t="str">
            <v>Rebecca Sjostrand</v>
          </cell>
          <cell r="I275">
            <v>780</v>
          </cell>
        </row>
        <row r="276">
          <cell r="E276">
            <v>4629</v>
          </cell>
          <cell r="F276" t="str">
            <v>Full Fed</v>
          </cell>
          <cell r="G276" t="str">
            <v>Weight</v>
          </cell>
          <cell r="H276" t="str">
            <v>Rebecca Sjostrand</v>
          </cell>
          <cell r="I276">
            <v>916</v>
          </cell>
        </row>
        <row r="277">
          <cell r="E277">
            <v>4630</v>
          </cell>
          <cell r="F277" t="str">
            <v>Full Fed</v>
          </cell>
          <cell r="G277" t="str">
            <v>Weight</v>
          </cell>
          <cell r="H277" t="str">
            <v>Rebecca Sjostrand</v>
          </cell>
          <cell r="I277">
            <v>892</v>
          </cell>
        </row>
        <row r="278">
          <cell r="E278">
            <v>4631</v>
          </cell>
          <cell r="F278" t="str">
            <v>Full Fed</v>
          </cell>
          <cell r="G278" t="str">
            <v>Weight</v>
          </cell>
          <cell r="H278" t="str">
            <v>Rebecca Sjostrand</v>
          </cell>
          <cell r="I278">
            <v>830</v>
          </cell>
        </row>
        <row r="279">
          <cell r="E279">
            <v>4632</v>
          </cell>
          <cell r="F279" t="str">
            <v>Full Fed</v>
          </cell>
          <cell r="G279" t="str">
            <v>Weight</v>
          </cell>
          <cell r="H279" t="str">
            <v>Rebecca Sjostrand</v>
          </cell>
          <cell r="I279">
            <v>948</v>
          </cell>
        </row>
        <row r="280">
          <cell r="E280">
            <v>4634</v>
          </cell>
          <cell r="F280" t="str">
            <v>Full Fed</v>
          </cell>
          <cell r="G280" t="str">
            <v>Weight</v>
          </cell>
          <cell r="H280" t="str">
            <v>Rebecca Sjostrand</v>
          </cell>
          <cell r="I280">
            <v>832</v>
          </cell>
        </row>
        <row r="281">
          <cell r="E281">
            <v>4635</v>
          </cell>
          <cell r="F281" t="str">
            <v>Full Fed</v>
          </cell>
          <cell r="G281" t="str">
            <v>Weight</v>
          </cell>
          <cell r="H281" t="str">
            <v>Rebecca Sjostrand</v>
          </cell>
          <cell r="I281">
            <v>964</v>
          </cell>
        </row>
        <row r="282">
          <cell r="E282">
            <v>4636</v>
          </cell>
          <cell r="F282" t="str">
            <v>Full Fed</v>
          </cell>
          <cell r="G282" t="str">
            <v>Weight</v>
          </cell>
          <cell r="H282" t="str">
            <v>Rebecca Sjostrand</v>
          </cell>
          <cell r="I282">
            <v>794</v>
          </cell>
        </row>
        <row r="283">
          <cell r="E283">
            <v>4638</v>
          </cell>
          <cell r="F283" t="str">
            <v>Full Fed</v>
          </cell>
          <cell r="G283" t="str">
            <v>Weight</v>
          </cell>
          <cell r="H283" t="str">
            <v>Rebecca Sjostrand</v>
          </cell>
          <cell r="I283">
            <v>746</v>
          </cell>
        </row>
        <row r="284">
          <cell r="E284">
            <v>4639</v>
          </cell>
          <cell r="F284" t="str">
            <v>Full Fed</v>
          </cell>
          <cell r="G284" t="str">
            <v>Weight</v>
          </cell>
          <cell r="H284" t="str">
            <v>Rebecca Sjostrand</v>
          </cell>
          <cell r="I284">
            <v>800</v>
          </cell>
        </row>
        <row r="285">
          <cell r="E285">
            <v>4640</v>
          </cell>
          <cell r="F285" t="str">
            <v>Full Fed</v>
          </cell>
          <cell r="G285" t="str">
            <v>Weight</v>
          </cell>
          <cell r="H285" t="str">
            <v>Rebecca Sjostrand</v>
          </cell>
          <cell r="I285">
            <v>876</v>
          </cell>
        </row>
        <row r="286">
          <cell r="E286">
            <v>4641</v>
          </cell>
          <cell r="F286" t="str">
            <v>Full Fed</v>
          </cell>
          <cell r="G286" t="str">
            <v>Weight</v>
          </cell>
          <cell r="H286" t="str">
            <v>Rebecca Sjostrand</v>
          </cell>
          <cell r="I286">
            <v>938</v>
          </cell>
        </row>
        <row r="287">
          <cell r="E287">
            <v>4642</v>
          </cell>
          <cell r="F287" t="str">
            <v>Full Fed</v>
          </cell>
          <cell r="G287" t="str">
            <v>Weight</v>
          </cell>
          <cell r="H287" t="str">
            <v>Rebecca Sjostrand</v>
          </cell>
          <cell r="I287">
            <v>816</v>
          </cell>
        </row>
        <row r="288">
          <cell r="E288">
            <v>4643</v>
          </cell>
          <cell r="F288" t="str">
            <v>Full Fed</v>
          </cell>
          <cell r="G288" t="str">
            <v>Weight</v>
          </cell>
          <cell r="H288" t="str">
            <v>Rebecca Sjostrand</v>
          </cell>
          <cell r="I288">
            <v>866</v>
          </cell>
        </row>
        <row r="289">
          <cell r="E289">
            <v>4644</v>
          </cell>
          <cell r="F289" t="str">
            <v>Full Fed</v>
          </cell>
          <cell r="G289" t="str">
            <v>Weight</v>
          </cell>
          <cell r="H289" t="str">
            <v>Rebecca Sjostrand</v>
          </cell>
          <cell r="I289">
            <v>754</v>
          </cell>
        </row>
        <row r="290">
          <cell r="E290">
            <v>4646</v>
          </cell>
          <cell r="F290" t="str">
            <v>Full Fed</v>
          </cell>
          <cell r="G290" t="str">
            <v>Weight</v>
          </cell>
          <cell r="H290" t="str">
            <v>Rebecca Sjostrand</v>
          </cell>
          <cell r="I290">
            <v>872</v>
          </cell>
        </row>
        <row r="291">
          <cell r="E291">
            <v>4647</v>
          </cell>
          <cell r="F291" t="str">
            <v>Full Fed</v>
          </cell>
          <cell r="G291" t="str">
            <v>Weight</v>
          </cell>
          <cell r="H291" t="str">
            <v>Rebecca Sjostrand</v>
          </cell>
          <cell r="I291">
            <v>844</v>
          </cell>
        </row>
        <row r="292">
          <cell r="E292">
            <v>4649</v>
          </cell>
          <cell r="F292" t="str">
            <v>Full Fed</v>
          </cell>
          <cell r="G292" t="str">
            <v>Weight</v>
          </cell>
          <cell r="H292" t="str">
            <v>Rebecca Sjostrand</v>
          </cell>
          <cell r="I292">
            <v>776</v>
          </cell>
        </row>
        <row r="293">
          <cell r="E293">
            <v>4651</v>
          </cell>
          <cell r="F293" t="str">
            <v>Full Fed</v>
          </cell>
          <cell r="G293" t="str">
            <v>Weight</v>
          </cell>
          <cell r="H293" t="str">
            <v>Rebecca Sjostrand</v>
          </cell>
          <cell r="I293">
            <v>758</v>
          </cell>
        </row>
        <row r="294">
          <cell r="E294">
            <v>4652</v>
          </cell>
          <cell r="F294" t="str">
            <v>Full Fed</v>
          </cell>
          <cell r="G294" t="str">
            <v>Weight</v>
          </cell>
          <cell r="H294" t="str">
            <v>Rebecca Sjostrand</v>
          </cell>
          <cell r="I294">
            <v>894</v>
          </cell>
        </row>
        <row r="295">
          <cell r="E295">
            <v>4653</v>
          </cell>
          <cell r="F295" t="str">
            <v>Full Fed</v>
          </cell>
          <cell r="G295" t="str">
            <v>Weight</v>
          </cell>
          <cell r="H295" t="str">
            <v>Rebecca Sjostrand</v>
          </cell>
          <cell r="I295">
            <v>766</v>
          </cell>
        </row>
        <row r="296">
          <cell r="E296">
            <v>4654</v>
          </cell>
          <cell r="F296" t="str">
            <v>Full Fed</v>
          </cell>
          <cell r="G296" t="str">
            <v>Weight</v>
          </cell>
          <cell r="H296" t="str">
            <v>Rebecca Sjostrand</v>
          </cell>
          <cell r="I296">
            <v>998</v>
          </cell>
        </row>
        <row r="297">
          <cell r="E297">
            <v>4655</v>
          </cell>
          <cell r="F297" t="str">
            <v>Full Fed</v>
          </cell>
          <cell r="G297" t="str">
            <v>Weight</v>
          </cell>
          <cell r="H297" t="str">
            <v>Rebecca Sjostrand</v>
          </cell>
          <cell r="I297">
            <v>850</v>
          </cell>
        </row>
        <row r="298">
          <cell r="E298">
            <v>4656</v>
          </cell>
          <cell r="F298" t="str">
            <v>Full Fed</v>
          </cell>
          <cell r="G298" t="str">
            <v>Weight</v>
          </cell>
          <cell r="H298" t="str">
            <v>Rebecca Sjostrand</v>
          </cell>
          <cell r="I298">
            <v>992</v>
          </cell>
        </row>
        <row r="299">
          <cell r="E299">
            <v>4658</v>
          </cell>
          <cell r="F299" t="str">
            <v>Full Fed</v>
          </cell>
          <cell r="G299" t="str">
            <v>Weight</v>
          </cell>
          <cell r="H299" t="str">
            <v>Rebecca Sjostrand</v>
          </cell>
          <cell r="I299">
            <v>902</v>
          </cell>
        </row>
        <row r="300">
          <cell r="E300">
            <v>4659</v>
          </cell>
          <cell r="F300" t="str">
            <v>Full Fed</v>
          </cell>
          <cell r="G300" t="str">
            <v>Weight</v>
          </cell>
          <cell r="H300" t="str">
            <v>Rebecca Sjostrand</v>
          </cell>
          <cell r="I300">
            <v>838</v>
          </cell>
        </row>
        <row r="301">
          <cell r="E301">
            <v>4660</v>
          </cell>
          <cell r="F301" t="str">
            <v>Full Fed</v>
          </cell>
          <cell r="G301" t="str">
            <v>Weight</v>
          </cell>
          <cell r="H301" t="str">
            <v>Rebecca Sjostrand</v>
          </cell>
          <cell r="I301">
            <v>738</v>
          </cell>
        </row>
        <row r="302">
          <cell r="E302">
            <v>4661</v>
          </cell>
          <cell r="F302" t="str">
            <v>Full Fed</v>
          </cell>
          <cell r="G302" t="str">
            <v>Weight</v>
          </cell>
          <cell r="H302" t="str">
            <v>Rebecca Sjostrand</v>
          </cell>
          <cell r="I302">
            <v>816</v>
          </cell>
        </row>
        <row r="303">
          <cell r="E303">
            <v>4662</v>
          </cell>
          <cell r="F303" t="str">
            <v>Full Fed</v>
          </cell>
          <cell r="G303" t="str">
            <v>Weight</v>
          </cell>
          <cell r="H303" t="str">
            <v>Rebecca Sjostrand</v>
          </cell>
          <cell r="I303">
            <v>842</v>
          </cell>
        </row>
        <row r="304">
          <cell r="E304">
            <v>4665</v>
          </cell>
          <cell r="F304" t="str">
            <v>Full Fed</v>
          </cell>
          <cell r="G304" t="str">
            <v>Weight</v>
          </cell>
          <cell r="H304" t="str">
            <v>Rebecca Sjostrand</v>
          </cell>
          <cell r="I304">
            <v>798</v>
          </cell>
        </row>
        <row r="305">
          <cell r="E305">
            <v>4666</v>
          </cell>
          <cell r="F305" t="str">
            <v>Full Fed</v>
          </cell>
          <cell r="G305" t="str">
            <v>Weight</v>
          </cell>
          <cell r="H305" t="str">
            <v>Rebecca Sjostrand</v>
          </cell>
          <cell r="I305">
            <v>862</v>
          </cell>
        </row>
        <row r="306">
          <cell r="E306">
            <v>4668</v>
          </cell>
          <cell r="F306" t="str">
            <v>Full Fed</v>
          </cell>
          <cell r="G306" t="str">
            <v>Weight</v>
          </cell>
          <cell r="H306" t="str">
            <v>Rebecca Sjostrand</v>
          </cell>
          <cell r="I306">
            <v>838</v>
          </cell>
        </row>
        <row r="307">
          <cell r="E307">
            <v>4669</v>
          </cell>
          <cell r="F307" t="str">
            <v>Full Fed</v>
          </cell>
          <cell r="G307" t="str">
            <v>Weight</v>
          </cell>
          <cell r="H307" t="str">
            <v>Rebecca Sjostrand</v>
          </cell>
          <cell r="I307">
            <v>978</v>
          </cell>
        </row>
        <row r="308">
          <cell r="E308">
            <v>4671</v>
          </cell>
          <cell r="F308" t="str">
            <v>Full Fed</v>
          </cell>
          <cell r="G308" t="str">
            <v>Weight</v>
          </cell>
          <cell r="H308" t="str">
            <v>Rebecca Sjostrand</v>
          </cell>
          <cell r="I308">
            <v>864</v>
          </cell>
        </row>
        <row r="309">
          <cell r="E309">
            <v>4672</v>
          </cell>
          <cell r="F309" t="str">
            <v>Full Fed</v>
          </cell>
          <cell r="G309" t="str">
            <v>Weight</v>
          </cell>
          <cell r="H309" t="str">
            <v>Rebecca Sjostrand</v>
          </cell>
          <cell r="I309">
            <v>800</v>
          </cell>
        </row>
        <row r="310">
          <cell r="E310">
            <v>4673</v>
          </cell>
          <cell r="F310" t="str">
            <v>Full Fed</v>
          </cell>
          <cell r="G310" t="str">
            <v>Weight</v>
          </cell>
          <cell r="H310" t="str">
            <v>Rebecca Sjostrand</v>
          </cell>
          <cell r="I310">
            <v>862</v>
          </cell>
        </row>
        <row r="311">
          <cell r="E311">
            <v>4674</v>
          </cell>
          <cell r="F311" t="str">
            <v>Full Fed</v>
          </cell>
          <cell r="G311" t="str">
            <v>Weight</v>
          </cell>
          <cell r="H311" t="str">
            <v>Rebecca Sjostrand</v>
          </cell>
          <cell r="I311">
            <v>786</v>
          </cell>
        </row>
        <row r="312">
          <cell r="E312">
            <v>4675</v>
          </cell>
          <cell r="F312" t="str">
            <v>Full Fed</v>
          </cell>
          <cell r="G312" t="str">
            <v>Weight</v>
          </cell>
          <cell r="H312" t="str">
            <v>Rebecca Sjostrand</v>
          </cell>
          <cell r="I312">
            <v>832</v>
          </cell>
        </row>
        <row r="313">
          <cell r="E313">
            <v>4676</v>
          </cell>
          <cell r="F313" t="str">
            <v>Full Fed</v>
          </cell>
          <cell r="G313" t="str">
            <v>Weight</v>
          </cell>
          <cell r="H313" t="str">
            <v>Rebecca Sjostrand</v>
          </cell>
          <cell r="I313">
            <v>868</v>
          </cell>
        </row>
        <row r="314">
          <cell r="E314">
            <v>4677</v>
          </cell>
          <cell r="F314" t="str">
            <v>Full Fed</v>
          </cell>
          <cell r="G314" t="str">
            <v>Weight</v>
          </cell>
          <cell r="H314" t="str">
            <v>Rebecca Sjostrand</v>
          </cell>
          <cell r="I314">
            <v>872</v>
          </cell>
        </row>
        <row r="315">
          <cell r="E315">
            <v>4678</v>
          </cell>
          <cell r="F315" t="str">
            <v>Full Fed</v>
          </cell>
          <cell r="G315" t="str">
            <v>Weight</v>
          </cell>
          <cell r="H315" t="str">
            <v>Rebecca Sjostrand</v>
          </cell>
          <cell r="I315">
            <v>808</v>
          </cell>
        </row>
        <row r="316">
          <cell r="E316">
            <v>4680</v>
          </cell>
          <cell r="F316" t="str">
            <v>Full Fed</v>
          </cell>
          <cell r="G316" t="str">
            <v>Weight</v>
          </cell>
          <cell r="H316" t="str">
            <v>Rebecca Sjostrand</v>
          </cell>
          <cell r="I316">
            <v>918</v>
          </cell>
        </row>
        <row r="317">
          <cell r="E317">
            <v>4681</v>
          </cell>
          <cell r="F317" t="str">
            <v>Full Fed</v>
          </cell>
          <cell r="G317" t="str">
            <v>Weight</v>
          </cell>
          <cell r="H317" t="str">
            <v>Rebecca Sjostrand</v>
          </cell>
          <cell r="I317">
            <v>790</v>
          </cell>
        </row>
        <row r="318">
          <cell r="E318">
            <v>4682</v>
          </cell>
          <cell r="F318" t="str">
            <v>Full Fed</v>
          </cell>
          <cell r="G318" t="str">
            <v>Weight</v>
          </cell>
          <cell r="H318" t="str">
            <v>Rebecca Sjostrand</v>
          </cell>
          <cell r="I318">
            <v>808</v>
          </cell>
        </row>
        <row r="319">
          <cell r="E319">
            <v>4683</v>
          </cell>
          <cell r="F319" t="str">
            <v>Full Fed</v>
          </cell>
          <cell r="G319" t="str">
            <v>Weight</v>
          </cell>
          <cell r="H319" t="str">
            <v>Rebecca Sjostrand</v>
          </cell>
          <cell r="I319">
            <v>730</v>
          </cell>
        </row>
        <row r="320">
          <cell r="E320">
            <v>4684</v>
          </cell>
          <cell r="F320" t="str">
            <v>Full Fed</v>
          </cell>
          <cell r="G320" t="str">
            <v>Weight</v>
          </cell>
          <cell r="H320" t="str">
            <v>Rebecca Sjostrand</v>
          </cell>
          <cell r="I320">
            <v>796</v>
          </cell>
        </row>
        <row r="321">
          <cell r="E321">
            <v>4685</v>
          </cell>
          <cell r="F321" t="str">
            <v>Full Fed</v>
          </cell>
          <cell r="G321" t="str">
            <v>Weight</v>
          </cell>
          <cell r="H321" t="str">
            <v>Rebecca Sjostrand</v>
          </cell>
          <cell r="I321">
            <v>948</v>
          </cell>
        </row>
        <row r="322">
          <cell r="E322">
            <v>4686</v>
          </cell>
          <cell r="F322" t="str">
            <v>Full Fed</v>
          </cell>
          <cell r="G322" t="str">
            <v>Weight</v>
          </cell>
          <cell r="H322" t="str">
            <v>Rebecca Sjostrand</v>
          </cell>
          <cell r="I322">
            <v>976</v>
          </cell>
        </row>
        <row r="323">
          <cell r="E323">
            <v>4687</v>
          </cell>
          <cell r="F323" t="str">
            <v>Full Fed</v>
          </cell>
          <cell r="G323" t="str">
            <v>Weight</v>
          </cell>
          <cell r="H323" t="str">
            <v>Rebecca Sjostrand</v>
          </cell>
          <cell r="I323">
            <v>1010</v>
          </cell>
        </row>
        <row r="324">
          <cell r="E324">
            <v>4688</v>
          </cell>
          <cell r="F324" t="str">
            <v>Full Fed</v>
          </cell>
          <cell r="G324" t="str">
            <v>Weight</v>
          </cell>
          <cell r="H324" t="str">
            <v>Rebecca Sjostrand</v>
          </cell>
          <cell r="I324">
            <v>892</v>
          </cell>
        </row>
        <row r="325">
          <cell r="E325">
            <v>4689</v>
          </cell>
          <cell r="F325" t="str">
            <v>Full Fed</v>
          </cell>
          <cell r="G325" t="str">
            <v>Weight</v>
          </cell>
          <cell r="H325" t="str">
            <v>Rebecca Sjostrand</v>
          </cell>
          <cell r="I325">
            <v>976</v>
          </cell>
        </row>
        <row r="326">
          <cell r="E326">
            <v>4690</v>
          </cell>
          <cell r="F326" t="str">
            <v>Full Fed</v>
          </cell>
          <cell r="G326" t="str">
            <v>Weight</v>
          </cell>
          <cell r="H326" t="str">
            <v>Rebecca Sjostrand</v>
          </cell>
          <cell r="I326">
            <v>852</v>
          </cell>
        </row>
        <row r="327">
          <cell r="E327">
            <v>4691</v>
          </cell>
          <cell r="F327" t="str">
            <v>Full Fed</v>
          </cell>
          <cell r="G327" t="str">
            <v>Weight</v>
          </cell>
          <cell r="H327" t="str">
            <v>Rebecca Sjostrand</v>
          </cell>
          <cell r="I327">
            <v>744</v>
          </cell>
        </row>
        <row r="328">
          <cell r="E328">
            <v>4692</v>
          </cell>
          <cell r="F328" t="str">
            <v>Full Fed</v>
          </cell>
          <cell r="G328" t="str">
            <v>Weight</v>
          </cell>
          <cell r="H328" t="str">
            <v>Rebecca Sjostrand</v>
          </cell>
          <cell r="I328">
            <v>890</v>
          </cell>
        </row>
        <row r="329">
          <cell r="E329">
            <v>4693</v>
          </cell>
          <cell r="F329" t="str">
            <v>Full Fed</v>
          </cell>
          <cell r="G329" t="str">
            <v>Weight</v>
          </cell>
          <cell r="H329" t="str">
            <v>Rebecca Sjostrand</v>
          </cell>
          <cell r="I329">
            <v>908</v>
          </cell>
        </row>
        <row r="330">
          <cell r="E330">
            <v>4694</v>
          </cell>
          <cell r="F330" t="str">
            <v>Full Fed</v>
          </cell>
          <cell r="G330" t="str">
            <v>Weight</v>
          </cell>
          <cell r="H330" t="str">
            <v>Rebecca Sjostrand</v>
          </cell>
          <cell r="I330">
            <v>886</v>
          </cell>
        </row>
        <row r="331">
          <cell r="E331">
            <v>4695</v>
          </cell>
          <cell r="F331" t="str">
            <v>Full Fed</v>
          </cell>
          <cell r="G331" t="str">
            <v>Weight</v>
          </cell>
          <cell r="H331" t="str">
            <v>Rebecca Sjostrand</v>
          </cell>
          <cell r="I331">
            <v>806</v>
          </cell>
        </row>
        <row r="332">
          <cell r="E332">
            <v>4696</v>
          </cell>
          <cell r="F332" t="str">
            <v>Full Fed</v>
          </cell>
          <cell r="G332" t="str">
            <v>Weight</v>
          </cell>
          <cell r="H332" t="str">
            <v>Rebecca Sjostrand</v>
          </cell>
          <cell r="I332">
            <v>804</v>
          </cell>
        </row>
        <row r="333">
          <cell r="E333">
            <v>4698</v>
          </cell>
          <cell r="F333" t="str">
            <v>Full Fed</v>
          </cell>
          <cell r="G333" t="str">
            <v>Weight</v>
          </cell>
          <cell r="H333" t="str">
            <v>Rebecca Sjostrand</v>
          </cell>
          <cell r="I333">
            <v>878</v>
          </cell>
        </row>
        <row r="334">
          <cell r="E334">
            <v>4699</v>
          </cell>
          <cell r="F334" t="str">
            <v>Full Fed</v>
          </cell>
          <cell r="G334" t="str">
            <v>Weight</v>
          </cell>
          <cell r="H334" t="str">
            <v>Rebecca Sjostrand</v>
          </cell>
          <cell r="I334">
            <v>912</v>
          </cell>
        </row>
        <row r="335">
          <cell r="E335">
            <v>4700</v>
          </cell>
          <cell r="F335" t="str">
            <v>Full Fed</v>
          </cell>
          <cell r="G335" t="str">
            <v>Weight</v>
          </cell>
          <cell r="H335" t="str">
            <v>Rebecca Sjostrand</v>
          </cell>
          <cell r="I335">
            <v>800</v>
          </cell>
        </row>
        <row r="336">
          <cell r="E336">
            <v>4701</v>
          </cell>
          <cell r="F336" t="str">
            <v>Full Fed</v>
          </cell>
          <cell r="G336" t="str">
            <v>Weight</v>
          </cell>
          <cell r="H336" t="str">
            <v>Rebecca Sjostrand</v>
          </cell>
          <cell r="I336">
            <v>998</v>
          </cell>
        </row>
        <row r="337">
          <cell r="E337">
            <v>4702</v>
          </cell>
          <cell r="F337" t="str">
            <v>Full Fed</v>
          </cell>
          <cell r="G337" t="str">
            <v>Weight</v>
          </cell>
          <cell r="H337" t="str">
            <v>Rebecca Sjostrand</v>
          </cell>
          <cell r="I337">
            <v>794</v>
          </cell>
        </row>
        <row r="338">
          <cell r="E338">
            <v>4703</v>
          </cell>
          <cell r="F338" t="str">
            <v>Full Fed</v>
          </cell>
          <cell r="G338" t="str">
            <v>Weight</v>
          </cell>
          <cell r="H338" t="str">
            <v>Rebecca Sjostrand</v>
          </cell>
          <cell r="I338">
            <v>866</v>
          </cell>
        </row>
        <row r="339">
          <cell r="E339">
            <v>4704</v>
          </cell>
          <cell r="F339" t="str">
            <v>Full Fed</v>
          </cell>
          <cell r="G339" t="str">
            <v>Weight</v>
          </cell>
          <cell r="H339" t="str">
            <v>Rebecca Sjostrand</v>
          </cell>
          <cell r="I339">
            <v>878</v>
          </cell>
        </row>
        <row r="340">
          <cell r="E340">
            <v>4706</v>
          </cell>
          <cell r="F340" t="str">
            <v>Full Fed</v>
          </cell>
          <cell r="G340" t="str">
            <v>Weight</v>
          </cell>
          <cell r="H340" t="str">
            <v>Rebecca Sjostrand</v>
          </cell>
          <cell r="I340">
            <v>866</v>
          </cell>
        </row>
        <row r="341">
          <cell r="E341">
            <v>4707</v>
          </cell>
          <cell r="F341" t="str">
            <v>Full Fed</v>
          </cell>
          <cell r="G341" t="str">
            <v>Weight</v>
          </cell>
          <cell r="H341" t="str">
            <v>Rebecca Sjostrand</v>
          </cell>
          <cell r="I341">
            <v>966</v>
          </cell>
        </row>
        <row r="342">
          <cell r="E342">
            <v>4708</v>
          </cell>
          <cell r="F342" t="str">
            <v>Full Fed</v>
          </cell>
          <cell r="G342" t="str">
            <v>Weight</v>
          </cell>
          <cell r="H342" t="str">
            <v>Rebecca Sjostrand</v>
          </cell>
          <cell r="I342">
            <v>844</v>
          </cell>
        </row>
        <row r="343">
          <cell r="E343">
            <v>4709</v>
          </cell>
          <cell r="F343" t="str">
            <v>Full Fed</v>
          </cell>
          <cell r="G343" t="str">
            <v>Weight</v>
          </cell>
          <cell r="H343" t="str">
            <v>Rebecca Sjostrand</v>
          </cell>
          <cell r="I343">
            <v>848</v>
          </cell>
        </row>
        <row r="344">
          <cell r="E344">
            <v>4710</v>
          </cell>
          <cell r="F344" t="str">
            <v>Full Fed</v>
          </cell>
          <cell r="G344" t="str">
            <v>Weight</v>
          </cell>
          <cell r="H344" t="str">
            <v>Rebecca Sjostrand</v>
          </cell>
          <cell r="I344">
            <v>794</v>
          </cell>
        </row>
        <row r="345">
          <cell r="E345">
            <v>4711</v>
          </cell>
          <cell r="F345" t="str">
            <v>Full Fed</v>
          </cell>
          <cell r="G345" t="str">
            <v>Weight</v>
          </cell>
          <cell r="H345" t="str">
            <v>Rebecca Sjostrand</v>
          </cell>
          <cell r="I345">
            <v>920</v>
          </cell>
        </row>
        <row r="346">
          <cell r="E346">
            <v>4713</v>
          </cell>
          <cell r="F346" t="str">
            <v>Full Fed</v>
          </cell>
          <cell r="G346" t="str">
            <v>Weight</v>
          </cell>
          <cell r="H346" t="str">
            <v>Rebecca Sjostrand</v>
          </cell>
          <cell r="I346">
            <v>890</v>
          </cell>
        </row>
        <row r="347">
          <cell r="E347">
            <v>4714</v>
          </cell>
          <cell r="F347" t="str">
            <v>Full Fed</v>
          </cell>
          <cell r="G347" t="str">
            <v>Weight</v>
          </cell>
          <cell r="H347" t="str">
            <v>Rebecca Sjostrand</v>
          </cell>
          <cell r="I347">
            <v>838</v>
          </cell>
        </row>
        <row r="348">
          <cell r="E348">
            <v>4715</v>
          </cell>
          <cell r="F348" t="str">
            <v>Full Fed</v>
          </cell>
          <cell r="G348" t="str">
            <v>Weight</v>
          </cell>
          <cell r="H348" t="str">
            <v>Rebecca Sjostrand</v>
          </cell>
          <cell r="I348">
            <v>898</v>
          </cell>
        </row>
        <row r="349">
          <cell r="E349">
            <v>4716</v>
          </cell>
          <cell r="F349" t="str">
            <v>Full Fed</v>
          </cell>
          <cell r="G349" t="str">
            <v>Weight</v>
          </cell>
          <cell r="H349" t="str">
            <v>Rebecca Sjostrand</v>
          </cell>
          <cell r="I349">
            <v>710</v>
          </cell>
        </row>
        <row r="350">
          <cell r="E350">
            <v>4718</v>
          </cell>
          <cell r="F350" t="str">
            <v>Full Fed</v>
          </cell>
          <cell r="G350" t="str">
            <v>Weight</v>
          </cell>
          <cell r="H350" t="str">
            <v>Rebecca Sjostrand</v>
          </cell>
          <cell r="I350">
            <v>762</v>
          </cell>
        </row>
        <row r="351">
          <cell r="E351">
            <v>4720</v>
          </cell>
          <cell r="F351" t="str">
            <v>Full Fed</v>
          </cell>
          <cell r="G351" t="str">
            <v>Weight</v>
          </cell>
          <cell r="H351" t="str">
            <v>Rebecca Sjostrand</v>
          </cell>
          <cell r="I351">
            <v>916</v>
          </cell>
        </row>
        <row r="352">
          <cell r="E352">
            <v>4721</v>
          </cell>
          <cell r="F352" t="str">
            <v>Full Fed</v>
          </cell>
          <cell r="G352" t="str">
            <v>Weight</v>
          </cell>
          <cell r="H352" t="str">
            <v>Rebecca Sjostrand</v>
          </cell>
          <cell r="I352">
            <v>852</v>
          </cell>
        </row>
        <row r="353">
          <cell r="E353">
            <v>4723</v>
          </cell>
          <cell r="F353" t="str">
            <v>Full Fed</v>
          </cell>
          <cell r="G353" t="str">
            <v>Weight</v>
          </cell>
          <cell r="H353" t="str">
            <v>Rebecca Sjostrand</v>
          </cell>
          <cell r="I353">
            <v>928</v>
          </cell>
        </row>
        <row r="354">
          <cell r="E354">
            <v>4724</v>
          </cell>
          <cell r="F354" t="str">
            <v>Full Fed</v>
          </cell>
          <cell r="G354" t="str">
            <v>Weight</v>
          </cell>
          <cell r="H354" t="str">
            <v>Rebecca Sjostrand</v>
          </cell>
          <cell r="I354">
            <v>942</v>
          </cell>
        </row>
        <row r="355">
          <cell r="E355">
            <v>4725</v>
          </cell>
          <cell r="F355" t="str">
            <v>Full Fed</v>
          </cell>
          <cell r="G355" t="str">
            <v>Weight</v>
          </cell>
          <cell r="H355" t="str">
            <v>Rebecca Sjostrand</v>
          </cell>
          <cell r="I355">
            <v>898</v>
          </cell>
        </row>
        <row r="356">
          <cell r="E356">
            <v>4726</v>
          </cell>
          <cell r="F356" t="str">
            <v>Full Fed</v>
          </cell>
          <cell r="G356" t="str">
            <v>Weight</v>
          </cell>
          <cell r="H356" t="str">
            <v>Rebecca Sjostrand</v>
          </cell>
          <cell r="I356">
            <v>828</v>
          </cell>
        </row>
        <row r="357">
          <cell r="E357">
            <v>4727</v>
          </cell>
          <cell r="F357" t="str">
            <v>Full Fed</v>
          </cell>
          <cell r="G357" t="str">
            <v>Weight</v>
          </cell>
          <cell r="H357" t="str">
            <v>Rebecca Sjostrand</v>
          </cell>
          <cell r="I357">
            <v>842</v>
          </cell>
        </row>
        <row r="358">
          <cell r="E358">
            <v>4728</v>
          </cell>
          <cell r="F358" t="str">
            <v>Full Fed</v>
          </cell>
          <cell r="G358" t="str">
            <v>Weight</v>
          </cell>
          <cell r="H358" t="str">
            <v>Rebecca Sjostrand</v>
          </cell>
          <cell r="I358">
            <v>886</v>
          </cell>
        </row>
        <row r="359">
          <cell r="E359">
            <v>4729</v>
          </cell>
          <cell r="F359" t="str">
            <v>Full Fed</v>
          </cell>
          <cell r="G359" t="str">
            <v>Weight</v>
          </cell>
          <cell r="H359" t="str">
            <v>Rebecca Sjostrand</v>
          </cell>
          <cell r="I359">
            <v>890</v>
          </cell>
        </row>
        <row r="360">
          <cell r="E360">
            <v>4730</v>
          </cell>
          <cell r="F360" t="str">
            <v>Full Fed</v>
          </cell>
          <cell r="G360" t="str">
            <v>Weight</v>
          </cell>
          <cell r="H360" t="str">
            <v>Rebecca Sjostrand</v>
          </cell>
          <cell r="I360">
            <v>1016</v>
          </cell>
        </row>
        <row r="361">
          <cell r="E361">
            <v>4731</v>
          </cell>
          <cell r="F361" t="str">
            <v>Full Fed</v>
          </cell>
          <cell r="G361" t="str">
            <v>Weight</v>
          </cell>
          <cell r="H361" t="str">
            <v>Rebecca Sjostrand</v>
          </cell>
          <cell r="I361">
            <v>876</v>
          </cell>
        </row>
        <row r="362">
          <cell r="E362">
            <v>4732</v>
          </cell>
          <cell r="F362" t="str">
            <v>Full Fed</v>
          </cell>
          <cell r="G362" t="str">
            <v>Weight</v>
          </cell>
          <cell r="H362" t="str">
            <v>Rebecca Sjostrand</v>
          </cell>
          <cell r="I362">
            <v>956</v>
          </cell>
        </row>
        <row r="363">
          <cell r="E363">
            <v>4733</v>
          </cell>
          <cell r="F363" t="str">
            <v>Full Fed</v>
          </cell>
          <cell r="G363" t="str">
            <v>Weight</v>
          </cell>
          <cell r="H363" t="str">
            <v>Rebecca Sjostrand</v>
          </cell>
          <cell r="I363">
            <v>896</v>
          </cell>
        </row>
        <row r="364">
          <cell r="E364">
            <v>4734</v>
          </cell>
          <cell r="F364" t="str">
            <v>Full Fed</v>
          </cell>
          <cell r="G364" t="str">
            <v>Weight</v>
          </cell>
          <cell r="H364" t="str">
            <v>Rebecca Sjostrand</v>
          </cell>
          <cell r="I364">
            <v>840</v>
          </cell>
        </row>
        <row r="365">
          <cell r="E365">
            <v>4736</v>
          </cell>
          <cell r="F365" t="str">
            <v>Full Fed</v>
          </cell>
          <cell r="G365" t="str">
            <v>Weight</v>
          </cell>
          <cell r="H365" t="str">
            <v>Rebecca Sjostrand</v>
          </cell>
          <cell r="I365">
            <v>762</v>
          </cell>
        </row>
        <row r="366">
          <cell r="E366">
            <v>4737</v>
          </cell>
          <cell r="F366" t="str">
            <v>Full Fed</v>
          </cell>
          <cell r="G366" t="str">
            <v>Weight</v>
          </cell>
          <cell r="H366" t="str">
            <v>Rebecca Sjostrand</v>
          </cell>
          <cell r="I366">
            <v>862</v>
          </cell>
        </row>
        <row r="367">
          <cell r="E367">
            <v>4738</v>
          </cell>
          <cell r="F367" t="str">
            <v>Full Fed</v>
          </cell>
          <cell r="G367" t="str">
            <v>Weight</v>
          </cell>
          <cell r="H367" t="str">
            <v>Rebecca Sjostrand</v>
          </cell>
          <cell r="I367">
            <v>914</v>
          </cell>
        </row>
        <row r="368">
          <cell r="E368">
            <v>4739</v>
          </cell>
          <cell r="F368" t="str">
            <v>Full Fed</v>
          </cell>
          <cell r="G368" t="str">
            <v>Weight</v>
          </cell>
          <cell r="H368" t="str">
            <v>Rebecca Sjostrand</v>
          </cell>
          <cell r="I368">
            <v>800</v>
          </cell>
        </row>
        <row r="369">
          <cell r="E369">
            <v>4740</v>
          </cell>
          <cell r="F369" t="str">
            <v>Full Fed</v>
          </cell>
          <cell r="G369" t="str">
            <v>Weight</v>
          </cell>
          <cell r="H369" t="str">
            <v>Rebecca Sjostrand</v>
          </cell>
          <cell r="I369">
            <v>914</v>
          </cell>
        </row>
        <row r="370">
          <cell r="E370">
            <v>4741</v>
          </cell>
          <cell r="F370" t="str">
            <v>Full Fed</v>
          </cell>
          <cell r="G370" t="str">
            <v>Weight</v>
          </cell>
          <cell r="H370" t="str">
            <v>Rebecca Sjostrand</v>
          </cell>
          <cell r="I370">
            <v>840</v>
          </cell>
        </row>
        <row r="371">
          <cell r="E371">
            <v>4742</v>
          </cell>
          <cell r="F371" t="str">
            <v>Full Fed</v>
          </cell>
          <cell r="G371" t="str">
            <v>Weight</v>
          </cell>
          <cell r="H371" t="str">
            <v>Rebecca Sjostrand</v>
          </cell>
          <cell r="I371">
            <v>806</v>
          </cell>
        </row>
        <row r="372">
          <cell r="E372">
            <v>4743</v>
          </cell>
          <cell r="F372" t="str">
            <v>Full Fed</v>
          </cell>
          <cell r="G372" t="str">
            <v>Weight</v>
          </cell>
          <cell r="H372" t="str">
            <v>Rebecca Sjostrand</v>
          </cell>
          <cell r="I372">
            <v>732</v>
          </cell>
        </row>
        <row r="373">
          <cell r="E373">
            <v>4744</v>
          </cell>
          <cell r="F373" t="str">
            <v>Full Fed</v>
          </cell>
          <cell r="G373" t="str">
            <v>Weight</v>
          </cell>
          <cell r="H373" t="str">
            <v>Rebecca Sjostrand</v>
          </cell>
          <cell r="I373">
            <v>788</v>
          </cell>
        </row>
        <row r="374">
          <cell r="E374">
            <v>4745</v>
          </cell>
          <cell r="F374" t="str">
            <v>Full Fed</v>
          </cell>
          <cell r="G374" t="str">
            <v>Weight</v>
          </cell>
          <cell r="H374" t="str">
            <v>Rebecca Sjostrand</v>
          </cell>
          <cell r="I374">
            <v>914</v>
          </cell>
        </row>
        <row r="375">
          <cell r="E375">
            <v>4746</v>
          </cell>
          <cell r="F375" t="str">
            <v>Full Fed</v>
          </cell>
          <cell r="G375" t="str">
            <v>Weight</v>
          </cell>
          <cell r="H375" t="str">
            <v>Rebecca Sjostrand</v>
          </cell>
          <cell r="I375">
            <v>956</v>
          </cell>
        </row>
        <row r="376">
          <cell r="E376">
            <v>4747</v>
          </cell>
          <cell r="F376" t="str">
            <v>Full Fed</v>
          </cell>
          <cell r="G376" t="str">
            <v>Weight</v>
          </cell>
          <cell r="H376" t="str">
            <v>Rebecca Sjostrand</v>
          </cell>
          <cell r="I376">
            <v>832</v>
          </cell>
        </row>
        <row r="377">
          <cell r="E377">
            <v>4748</v>
          </cell>
          <cell r="F377" t="str">
            <v>Full Fed</v>
          </cell>
          <cell r="G377" t="str">
            <v>Weight</v>
          </cell>
          <cell r="H377" t="str">
            <v>Rebecca Sjostrand</v>
          </cell>
          <cell r="I377">
            <v>1008</v>
          </cell>
        </row>
        <row r="378">
          <cell r="E378">
            <v>4750</v>
          </cell>
          <cell r="F378" t="str">
            <v>Full Fed</v>
          </cell>
          <cell r="G378" t="str">
            <v>Weight</v>
          </cell>
          <cell r="H378" t="str">
            <v>Rebecca Sjostrand</v>
          </cell>
          <cell r="I378">
            <v>812</v>
          </cell>
        </row>
        <row r="379">
          <cell r="E379">
            <v>4751</v>
          </cell>
          <cell r="F379" t="str">
            <v>Full Fed</v>
          </cell>
          <cell r="G379" t="str">
            <v>Weight</v>
          </cell>
          <cell r="H379" t="str">
            <v>Rebecca Sjostrand</v>
          </cell>
          <cell r="I379">
            <v>896</v>
          </cell>
        </row>
        <row r="380">
          <cell r="E380">
            <v>4752</v>
          </cell>
          <cell r="F380" t="str">
            <v>Full Fed</v>
          </cell>
          <cell r="G380" t="str">
            <v>Weight</v>
          </cell>
          <cell r="H380" t="str">
            <v>Rebecca Sjostrand</v>
          </cell>
          <cell r="I380">
            <v>822</v>
          </cell>
        </row>
        <row r="381">
          <cell r="E381">
            <v>4753</v>
          </cell>
          <cell r="F381" t="str">
            <v>Full Fed</v>
          </cell>
          <cell r="G381" t="str">
            <v>Weight</v>
          </cell>
          <cell r="H381" t="str">
            <v>Rebecca Sjostrand</v>
          </cell>
          <cell r="I381">
            <v>990</v>
          </cell>
        </row>
        <row r="382">
          <cell r="E382">
            <v>4754</v>
          </cell>
          <cell r="F382" t="str">
            <v>Full Fed</v>
          </cell>
          <cell r="G382" t="str">
            <v>Weight</v>
          </cell>
          <cell r="H382" t="str">
            <v>Rebecca Sjostrand</v>
          </cell>
          <cell r="I382">
            <v>714</v>
          </cell>
        </row>
        <row r="383">
          <cell r="E383">
            <v>4755</v>
          </cell>
          <cell r="F383" t="str">
            <v>Full Fed</v>
          </cell>
          <cell r="G383" t="str">
            <v>Weight</v>
          </cell>
          <cell r="H383" t="str">
            <v>Rebecca Sjostrand</v>
          </cell>
          <cell r="I383">
            <v>794</v>
          </cell>
        </row>
        <row r="384">
          <cell r="E384">
            <v>4758</v>
          </cell>
          <cell r="F384" t="str">
            <v>Full Fed</v>
          </cell>
          <cell r="G384" t="str">
            <v>Weight</v>
          </cell>
          <cell r="H384" t="str">
            <v>Rebecca Sjostrand</v>
          </cell>
          <cell r="I384">
            <v>892</v>
          </cell>
        </row>
        <row r="385">
          <cell r="E385">
            <v>4759</v>
          </cell>
          <cell r="F385" t="str">
            <v>Full Fed</v>
          </cell>
          <cell r="G385" t="str">
            <v>Weight</v>
          </cell>
          <cell r="H385" t="str">
            <v>Rebecca Sjostrand</v>
          </cell>
          <cell r="I385">
            <v>1032</v>
          </cell>
        </row>
        <row r="386">
          <cell r="E386">
            <v>4760</v>
          </cell>
          <cell r="F386" t="str">
            <v>Full Fed</v>
          </cell>
          <cell r="G386" t="str">
            <v>Weight</v>
          </cell>
          <cell r="H386" t="str">
            <v>Rebecca Sjostrand</v>
          </cell>
          <cell r="I386">
            <v>794</v>
          </cell>
        </row>
        <row r="387">
          <cell r="E387">
            <v>4761</v>
          </cell>
          <cell r="F387" t="str">
            <v>Full Fed</v>
          </cell>
          <cell r="G387" t="str">
            <v>Weight</v>
          </cell>
          <cell r="H387" t="str">
            <v>Rebecca Sjostrand</v>
          </cell>
          <cell r="I387">
            <v>800</v>
          </cell>
        </row>
        <row r="388">
          <cell r="E388">
            <v>4762</v>
          </cell>
          <cell r="F388" t="str">
            <v>Full Fed</v>
          </cell>
          <cell r="G388" t="str">
            <v>Weight</v>
          </cell>
          <cell r="H388" t="str">
            <v>Rebecca Sjostrand</v>
          </cell>
          <cell r="I388">
            <v>902</v>
          </cell>
        </row>
        <row r="389">
          <cell r="E389">
            <v>4763</v>
          </cell>
          <cell r="F389" t="str">
            <v>Full Fed</v>
          </cell>
          <cell r="G389" t="str">
            <v>Weight</v>
          </cell>
          <cell r="H389" t="str">
            <v>Rebecca Sjostrand</v>
          </cell>
          <cell r="I389">
            <v>868</v>
          </cell>
        </row>
        <row r="390">
          <cell r="E390">
            <v>4765</v>
          </cell>
          <cell r="F390" t="str">
            <v>Full Fed</v>
          </cell>
          <cell r="G390" t="str">
            <v>Weight</v>
          </cell>
          <cell r="H390" t="str">
            <v>Rebecca Sjostrand</v>
          </cell>
          <cell r="I390">
            <v>816</v>
          </cell>
        </row>
        <row r="391">
          <cell r="E391">
            <v>4767</v>
          </cell>
          <cell r="F391" t="str">
            <v>Full Fed</v>
          </cell>
          <cell r="G391" t="str">
            <v>Weight</v>
          </cell>
          <cell r="H391" t="str">
            <v>Rebecca Sjostrand</v>
          </cell>
          <cell r="I391">
            <v>792</v>
          </cell>
        </row>
        <row r="392">
          <cell r="E392">
            <v>4768</v>
          </cell>
          <cell r="F392" t="str">
            <v>Full Fed</v>
          </cell>
          <cell r="G392" t="str">
            <v>Weight</v>
          </cell>
          <cell r="H392" t="str">
            <v>Rebecca Sjostrand</v>
          </cell>
          <cell r="I392">
            <v>872</v>
          </cell>
        </row>
        <row r="393">
          <cell r="E393">
            <v>4769</v>
          </cell>
          <cell r="F393" t="str">
            <v>Full Fed</v>
          </cell>
          <cell r="G393" t="str">
            <v>Weight</v>
          </cell>
          <cell r="H393" t="str">
            <v>Rebecca Sjostrand</v>
          </cell>
          <cell r="I393">
            <v>820</v>
          </cell>
        </row>
        <row r="394">
          <cell r="E394">
            <v>4770</v>
          </cell>
          <cell r="F394" t="str">
            <v>Full Fed</v>
          </cell>
          <cell r="G394" t="str">
            <v>Weight</v>
          </cell>
          <cell r="H394" t="str">
            <v>Rebecca Sjostrand</v>
          </cell>
          <cell r="I394">
            <v>818</v>
          </cell>
        </row>
        <row r="395">
          <cell r="E395">
            <v>4771</v>
          </cell>
          <cell r="F395" t="str">
            <v>Full Fed</v>
          </cell>
          <cell r="G395" t="str">
            <v>Weight</v>
          </cell>
          <cell r="H395" t="str">
            <v>Rebecca Sjostrand</v>
          </cell>
          <cell r="I395">
            <v>910</v>
          </cell>
        </row>
        <row r="396">
          <cell r="E396">
            <v>4772</v>
          </cell>
          <cell r="F396" t="str">
            <v>Full Fed</v>
          </cell>
          <cell r="G396" t="str">
            <v>Weight</v>
          </cell>
          <cell r="H396" t="str">
            <v>Rebecca Sjostrand</v>
          </cell>
          <cell r="I396">
            <v>786</v>
          </cell>
        </row>
        <row r="397">
          <cell r="E397">
            <v>4773</v>
          </cell>
          <cell r="F397" t="str">
            <v>Full Fed</v>
          </cell>
          <cell r="G397" t="str">
            <v>Weight</v>
          </cell>
          <cell r="H397" t="str">
            <v>Rebecca Sjostrand</v>
          </cell>
          <cell r="I397">
            <v>788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5399-E87B-B24A-9749-DFA0637A6125}">
  <dimension ref="A1:O41"/>
  <sheetViews>
    <sheetView tabSelected="1" workbookViewId="0">
      <selection activeCell="AZ8" sqref="AZ8"/>
    </sheetView>
  </sheetViews>
  <sheetFormatPr baseColWidth="10" defaultRowHeight="16" x14ac:dyDescent="0.2"/>
  <cols>
    <col min="1" max="3" width="10.83203125" style="126"/>
    <col min="4" max="4" width="18.5" style="126" bestFit="1" customWidth="1"/>
    <col min="5" max="15" width="10.83203125" style="126"/>
  </cols>
  <sheetData>
    <row r="1" spans="1:15" x14ac:dyDescent="0.2">
      <c r="A1" s="126" t="s">
        <v>5</v>
      </c>
      <c r="B1" s="126" t="s">
        <v>2</v>
      </c>
      <c r="C1" s="126" t="s">
        <v>10</v>
      </c>
      <c r="D1" s="126" t="s">
        <v>6</v>
      </c>
      <c r="E1" s="126" t="s">
        <v>8</v>
      </c>
      <c r="F1" s="126" t="s">
        <v>52</v>
      </c>
      <c r="G1" s="126" t="s">
        <v>53</v>
      </c>
      <c r="H1" s="126" t="s">
        <v>16</v>
      </c>
      <c r="I1" s="126" t="s">
        <v>14</v>
      </c>
      <c r="J1" s="126" t="s">
        <v>34</v>
      </c>
      <c r="K1" s="126" t="s">
        <v>62</v>
      </c>
      <c r="L1" s="126" t="s">
        <v>58</v>
      </c>
      <c r="M1" s="126" t="s">
        <v>59</v>
      </c>
      <c r="N1" s="126" t="s">
        <v>60</v>
      </c>
      <c r="O1" s="126" t="s">
        <v>61</v>
      </c>
    </row>
    <row r="2" spans="1:15" x14ac:dyDescent="0.2">
      <c r="A2" s="126">
        <v>205</v>
      </c>
      <c r="B2" s="126">
        <v>1</v>
      </c>
      <c r="C2" s="126">
        <v>1</v>
      </c>
      <c r="D2" s="126" t="s">
        <v>22</v>
      </c>
      <c r="E2" s="127">
        <v>572.4</v>
      </c>
      <c r="F2" s="127">
        <v>776.9</v>
      </c>
      <c r="G2" s="127">
        <v>1233.1746031746031</v>
      </c>
      <c r="H2" s="128">
        <v>3.3712989957887922</v>
      </c>
      <c r="I2" s="128">
        <v>21.582642370891651</v>
      </c>
      <c r="J2" s="128">
        <v>0.15620418194649038</v>
      </c>
      <c r="K2" s="128">
        <v>6.401877257950507</v>
      </c>
      <c r="L2" s="128">
        <v>13.422000000000002</v>
      </c>
      <c r="M2" s="128">
        <v>3.0970000000000004</v>
      </c>
      <c r="N2" s="128">
        <v>0.52280000000000004</v>
      </c>
      <c r="O2" s="127">
        <v>533.66666666666663</v>
      </c>
    </row>
    <row r="3" spans="1:15" x14ac:dyDescent="0.2">
      <c r="A3" s="126">
        <v>206</v>
      </c>
      <c r="B3" s="126">
        <v>1</v>
      </c>
      <c r="C3" s="126">
        <v>1</v>
      </c>
      <c r="D3" s="126" t="s">
        <v>24</v>
      </c>
      <c r="E3" s="127">
        <v>575.4</v>
      </c>
      <c r="F3" s="127">
        <v>772.1</v>
      </c>
      <c r="G3" s="127">
        <v>1232.1428571428573</v>
      </c>
      <c r="H3" s="128">
        <v>3.3597849854227397</v>
      </c>
      <c r="I3" s="128">
        <v>20.595227026767663</v>
      </c>
      <c r="J3" s="128">
        <v>0.16313415632932909</v>
      </c>
      <c r="K3" s="128">
        <v>6.1299241219676741</v>
      </c>
      <c r="L3" s="128">
        <v>14.01888888888889</v>
      </c>
      <c r="M3" s="128">
        <v>3.3288888888888888</v>
      </c>
      <c r="N3" s="128">
        <v>0.57314285714285707</v>
      </c>
      <c r="O3" s="127">
        <v>485</v>
      </c>
    </row>
    <row r="4" spans="1:15" x14ac:dyDescent="0.2">
      <c r="A4" s="126">
        <v>207</v>
      </c>
      <c r="B4" s="126">
        <v>1</v>
      </c>
      <c r="C4" s="126">
        <v>1</v>
      </c>
      <c r="D4" s="126" t="s">
        <v>21</v>
      </c>
      <c r="E4" s="127">
        <v>579</v>
      </c>
      <c r="F4" s="127">
        <v>802.2</v>
      </c>
      <c r="G4" s="127">
        <v>1273.3333333333333</v>
      </c>
      <c r="H4" s="128">
        <v>3.5425170068027221</v>
      </c>
      <c r="I4" s="128">
        <v>21.495747185717072</v>
      </c>
      <c r="J4" s="128">
        <v>0.16480083135498358</v>
      </c>
      <c r="K4" s="128">
        <v>6.0679305545855184</v>
      </c>
      <c r="L4" s="128">
        <v>13.706999999999999</v>
      </c>
      <c r="M4" s="128">
        <v>3.3199999999999994</v>
      </c>
      <c r="N4" s="128">
        <v>0.60466666666666669</v>
      </c>
      <c r="O4" s="127">
        <v>556.77777777777783</v>
      </c>
    </row>
    <row r="5" spans="1:15" x14ac:dyDescent="0.2">
      <c r="A5" s="126">
        <v>208</v>
      </c>
      <c r="B5" s="126">
        <v>1</v>
      </c>
      <c r="C5" s="126">
        <v>1</v>
      </c>
      <c r="D5" s="126" t="s">
        <v>26</v>
      </c>
      <c r="E5" s="127">
        <v>580.5</v>
      </c>
      <c r="F5" s="127">
        <v>816.5</v>
      </c>
      <c r="G5" s="127">
        <v>1296.031746031746</v>
      </c>
      <c r="H5" s="128">
        <v>3.650672173631357</v>
      </c>
      <c r="I5" s="128">
        <v>22.92374071584624</v>
      </c>
      <c r="J5" s="128">
        <v>0.15925289937989037</v>
      </c>
      <c r="K5" s="128">
        <v>6.2793205266206593</v>
      </c>
      <c r="L5" s="128">
        <v>14.25</v>
      </c>
      <c r="M5" s="128">
        <v>3.3537499999999998</v>
      </c>
      <c r="N5" s="128">
        <v>0.63625000000000009</v>
      </c>
      <c r="O5" s="127">
        <v>547.875</v>
      </c>
    </row>
    <row r="6" spans="1:15" x14ac:dyDescent="0.2">
      <c r="A6" s="126">
        <v>209</v>
      </c>
      <c r="B6" s="126">
        <v>1</v>
      </c>
      <c r="C6" s="126">
        <v>1</v>
      </c>
      <c r="D6" s="126" t="s">
        <v>25</v>
      </c>
      <c r="E6" s="127">
        <v>573.55555555555554</v>
      </c>
      <c r="F6" s="127">
        <v>770.33333333333337</v>
      </c>
      <c r="G6" s="127">
        <v>1222.7513227513227</v>
      </c>
      <c r="H6" s="128">
        <v>3.3122233020192198</v>
      </c>
      <c r="I6" s="128">
        <v>21.32140895794052</v>
      </c>
      <c r="J6" s="128">
        <v>0.15534729944691023</v>
      </c>
      <c r="K6" s="128">
        <v>6.4371894687602795</v>
      </c>
      <c r="L6" s="128">
        <v>13.434444444444445</v>
      </c>
      <c r="M6" s="128">
        <v>3.4633333333333334</v>
      </c>
      <c r="N6" s="128">
        <v>0.67200000000000004</v>
      </c>
      <c r="O6" s="127">
        <v>486.55555555555554</v>
      </c>
    </row>
    <row r="7" spans="1:15" x14ac:dyDescent="0.2">
      <c r="A7" s="126">
        <v>210</v>
      </c>
      <c r="B7" s="126">
        <v>1</v>
      </c>
      <c r="C7" s="126">
        <v>2</v>
      </c>
      <c r="D7" s="126" t="s">
        <v>22</v>
      </c>
      <c r="E7" s="127">
        <v>574.83333333333337</v>
      </c>
      <c r="F7" s="127">
        <v>773.22222222222217</v>
      </c>
      <c r="G7" s="127">
        <v>1227.336860670194</v>
      </c>
      <c r="H7" s="128">
        <v>3.329099629269697</v>
      </c>
      <c r="I7" s="128">
        <v>19.910351814073994</v>
      </c>
      <c r="J7" s="128">
        <v>0.16720446029067465</v>
      </c>
      <c r="K7" s="128">
        <v>5.9807017005501031</v>
      </c>
      <c r="L7" s="128">
        <v>14.002222222222223</v>
      </c>
      <c r="M7" s="128">
        <v>3.3622222222222224</v>
      </c>
      <c r="N7" s="128">
        <v>0.64133333333333331</v>
      </c>
      <c r="O7" s="127">
        <v>521</v>
      </c>
    </row>
    <row r="8" spans="1:15" x14ac:dyDescent="0.2">
      <c r="A8" s="126">
        <v>211</v>
      </c>
      <c r="B8" s="126">
        <v>1</v>
      </c>
      <c r="C8" s="126">
        <v>2</v>
      </c>
      <c r="D8" s="126" t="s">
        <v>21</v>
      </c>
      <c r="E8" s="127">
        <v>575.4</v>
      </c>
      <c r="F8" s="127">
        <v>752.5</v>
      </c>
      <c r="G8" s="127">
        <v>1194.4444444444446</v>
      </c>
      <c r="H8" s="128">
        <v>3.1583900226757367</v>
      </c>
      <c r="I8" s="128">
        <v>19.728557757304522</v>
      </c>
      <c r="J8" s="128">
        <v>0.16009229166822087</v>
      </c>
      <c r="K8" s="128">
        <v>6.2463969350405968</v>
      </c>
      <c r="L8" s="128">
        <v>13.775</v>
      </c>
      <c r="M8" s="128">
        <v>3.07</v>
      </c>
      <c r="N8" s="128">
        <v>0.48820000000000008</v>
      </c>
      <c r="O8" s="127">
        <v>515.6</v>
      </c>
    </row>
    <row r="9" spans="1:15" x14ac:dyDescent="0.2">
      <c r="A9" s="126">
        <v>212</v>
      </c>
      <c r="B9" s="126">
        <v>1</v>
      </c>
      <c r="C9" s="126">
        <v>2</v>
      </c>
      <c r="D9" s="126" t="s">
        <v>26</v>
      </c>
      <c r="E9" s="127">
        <v>575.6</v>
      </c>
      <c r="F9" s="127">
        <v>798.5</v>
      </c>
      <c r="G9" s="127">
        <v>1267.4603174603174</v>
      </c>
      <c r="H9" s="128">
        <v>3.5298995788791707</v>
      </c>
      <c r="I9" s="128">
        <v>21.738935573736335</v>
      </c>
      <c r="J9" s="128">
        <v>0.16237683611076992</v>
      </c>
      <c r="K9" s="128">
        <v>6.158513886289926</v>
      </c>
      <c r="L9" s="128">
        <v>13.280000000000001</v>
      </c>
      <c r="M9" s="128">
        <v>3.3280000000000003</v>
      </c>
      <c r="N9" s="128">
        <v>0.57699999999999996</v>
      </c>
      <c r="O9" s="127">
        <v>526</v>
      </c>
    </row>
    <row r="10" spans="1:15" x14ac:dyDescent="0.2">
      <c r="A10" s="126">
        <v>213</v>
      </c>
      <c r="B10" s="126">
        <v>1</v>
      </c>
      <c r="C10" s="126">
        <v>2</v>
      </c>
      <c r="D10" s="126" t="s">
        <v>24</v>
      </c>
      <c r="E10" s="127">
        <v>571.9</v>
      </c>
      <c r="F10" s="127">
        <v>851.9</v>
      </c>
      <c r="G10" s="127">
        <v>1360.8465608465608</v>
      </c>
      <c r="H10" s="128">
        <v>4.0371990065867625</v>
      </c>
      <c r="I10" s="128">
        <v>22.955779082777788</v>
      </c>
      <c r="J10" s="128">
        <v>0.17586852495960842</v>
      </c>
      <c r="K10" s="128">
        <v>5.6860657711757643</v>
      </c>
      <c r="L10" s="128">
        <v>14.095555555555555</v>
      </c>
      <c r="M10" s="128">
        <v>3.5933333333333337</v>
      </c>
      <c r="N10" s="128">
        <v>0.72599999999999998</v>
      </c>
      <c r="O10" s="127">
        <v>643.11111111111109</v>
      </c>
    </row>
    <row r="11" spans="1:15" x14ac:dyDescent="0.2">
      <c r="A11" s="126">
        <v>214</v>
      </c>
      <c r="B11" s="126">
        <v>1</v>
      </c>
      <c r="C11" s="126">
        <v>2</v>
      </c>
      <c r="D11" s="126" t="s">
        <v>25</v>
      </c>
      <c r="E11" s="127">
        <v>574</v>
      </c>
      <c r="F11" s="127">
        <v>826.1</v>
      </c>
      <c r="G11" s="127">
        <v>1311.2698412698412</v>
      </c>
      <c r="H11" s="128">
        <v>3.7615808228053127</v>
      </c>
      <c r="I11" s="128">
        <v>22.398784651854065</v>
      </c>
      <c r="J11" s="128">
        <v>0.16793682698734938</v>
      </c>
      <c r="K11" s="128">
        <v>5.9546200671954441</v>
      </c>
      <c r="L11" s="128">
        <v>13.51</v>
      </c>
      <c r="M11" s="128">
        <v>3.4670000000000001</v>
      </c>
      <c r="N11" s="128">
        <v>0.67274999999999996</v>
      </c>
      <c r="O11" s="127">
        <v>539.875</v>
      </c>
    </row>
    <row r="12" spans="1:15" x14ac:dyDescent="0.2">
      <c r="A12" s="126">
        <v>215</v>
      </c>
      <c r="B12" s="126">
        <v>2</v>
      </c>
      <c r="C12" s="126">
        <v>3</v>
      </c>
      <c r="D12" s="126" t="s">
        <v>24</v>
      </c>
      <c r="E12" s="127">
        <v>629.55555555555554</v>
      </c>
      <c r="F12" s="127">
        <v>834.11111111111109</v>
      </c>
      <c r="G12" s="127">
        <v>1323.9858906525574</v>
      </c>
      <c r="H12" s="128">
        <v>3.5430119137602127</v>
      </c>
      <c r="I12" s="128">
        <v>21.5797851350505</v>
      </c>
      <c r="J12" s="128">
        <v>0.16418198288756602</v>
      </c>
      <c r="K12" s="128">
        <v>6.0908023061508105</v>
      </c>
      <c r="L12" s="128">
        <v>14.248571428571429</v>
      </c>
      <c r="M12" s="128">
        <v>3.2585714285714289</v>
      </c>
      <c r="N12" s="128">
        <v>0.67400000000000004</v>
      </c>
      <c r="O12" s="127">
        <v>548.83333333333337</v>
      </c>
    </row>
    <row r="13" spans="1:15" x14ac:dyDescent="0.2">
      <c r="A13" s="126">
        <v>216</v>
      </c>
      <c r="B13" s="126">
        <v>2</v>
      </c>
      <c r="C13" s="126">
        <v>3</v>
      </c>
      <c r="D13" s="126" t="s">
        <v>22</v>
      </c>
      <c r="E13" s="127">
        <v>625.1</v>
      </c>
      <c r="F13" s="127">
        <v>803.8</v>
      </c>
      <c r="G13" s="127">
        <v>1275.8730158730161</v>
      </c>
      <c r="H13" s="128">
        <v>3.3202704891480401</v>
      </c>
      <c r="I13" s="128">
        <v>21.830062429040414</v>
      </c>
      <c r="J13" s="128">
        <v>0.15209624342306516</v>
      </c>
      <c r="K13" s="128">
        <v>6.5747843437423876</v>
      </c>
      <c r="L13" s="128">
        <v>13.669999999999998</v>
      </c>
      <c r="M13" s="128">
        <v>3.4249999999999998</v>
      </c>
      <c r="N13" s="128">
        <v>0.62539999999999996</v>
      </c>
      <c r="O13" s="127">
        <v>549.9</v>
      </c>
    </row>
    <row r="14" spans="1:15" x14ac:dyDescent="0.2">
      <c r="A14" s="126">
        <v>301</v>
      </c>
      <c r="B14" s="126">
        <v>2</v>
      </c>
      <c r="C14" s="126">
        <v>3</v>
      </c>
      <c r="D14" s="126" t="s">
        <v>25</v>
      </c>
      <c r="E14" s="127">
        <v>627.9</v>
      </c>
      <c r="F14" s="127">
        <v>860.5</v>
      </c>
      <c r="G14" s="127">
        <v>1365.8730158730159</v>
      </c>
      <c r="H14" s="128">
        <v>3.7651684483317132</v>
      </c>
      <c r="I14" s="128">
        <v>22.630176042777777</v>
      </c>
      <c r="J14" s="128">
        <v>0.16637822176965936</v>
      </c>
      <c r="K14" s="128">
        <v>6.0104020187476213</v>
      </c>
      <c r="L14" s="128">
        <v>13.860000000000003</v>
      </c>
      <c r="M14" s="128">
        <v>3.5110000000000001</v>
      </c>
      <c r="N14" s="128">
        <v>0.67159999999999997</v>
      </c>
      <c r="O14" s="127">
        <v>574.66666666666663</v>
      </c>
    </row>
    <row r="15" spans="1:15" x14ac:dyDescent="0.2">
      <c r="A15" s="126">
        <v>302</v>
      </c>
      <c r="B15" s="126">
        <v>2</v>
      </c>
      <c r="C15" s="126">
        <v>3</v>
      </c>
      <c r="D15" s="126" t="s">
        <v>26</v>
      </c>
      <c r="E15" s="127">
        <v>628.625</v>
      </c>
      <c r="F15" s="127">
        <v>831.25</v>
      </c>
      <c r="G15" s="127">
        <v>1319.4444444444443</v>
      </c>
      <c r="H15" s="128">
        <v>3.5245890022675734</v>
      </c>
      <c r="I15" s="128">
        <v>21.718133105510006</v>
      </c>
      <c r="J15" s="128">
        <v>0.16228784422420572</v>
      </c>
      <c r="K15" s="128">
        <v>6.1618909585025277</v>
      </c>
      <c r="L15" s="128">
        <v>14.286249999999999</v>
      </c>
      <c r="M15" s="128">
        <v>3.3374999999999999</v>
      </c>
      <c r="N15" s="128">
        <v>0.72657142857142853</v>
      </c>
      <c r="O15" s="127">
        <v>559.33333333333337</v>
      </c>
    </row>
    <row r="16" spans="1:15" x14ac:dyDescent="0.2">
      <c r="A16" s="126">
        <v>303</v>
      </c>
      <c r="B16" s="126">
        <v>2</v>
      </c>
      <c r="C16" s="126">
        <v>3</v>
      </c>
      <c r="D16" s="126" t="s">
        <v>21</v>
      </c>
      <c r="E16" s="127">
        <v>627.29999999999995</v>
      </c>
      <c r="F16" s="127">
        <v>831.9</v>
      </c>
      <c r="G16" s="127">
        <v>1320.4761904761906</v>
      </c>
      <c r="H16" s="128">
        <v>3.5366132167152573</v>
      </c>
      <c r="I16" s="128">
        <v>21.256780292032506</v>
      </c>
      <c r="J16" s="128">
        <v>0.16637577131287637</v>
      </c>
      <c r="K16" s="128">
        <v>6.0104905426371227</v>
      </c>
      <c r="L16" s="128">
        <v>13.956999999999999</v>
      </c>
      <c r="M16" s="128">
        <v>3.2090000000000005</v>
      </c>
      <c r="N16" s="128">
        <v>0.62260000000000004</v>
      </c>
      <c r="O16" s="127">
        <v>520.29999999999995</v>
      </c>
    </row>
    <row r="17" spans="1:15" x14ac:dyDescent="0.2">
      <c r="A17" s="126">
        <v>304</v>
      </c>
      <c r="B17" s="126">
        <v>2</v>
      </c>
      <c r="C17" s="126">
        <v>4</v>
      </c>
      <c r="D17" s="126" t="s">
        <v>24</v>
      </c>
      <c r="E17" s="127">
        <v>625.55555555555554</v>
      </c>
      <c r="F17" s="127">
        <v>810.77777777777783</v>
      </c>
      <c r="G17" s="127">
        <v>1283.7301587301586</v>
      </c>
      <c r="H17" s="128">
        <v>3.3417355037252996</v>
      </c>
      <c r="I17" s="128">
        <v>21.282594490991229</v>
      </c>
      <c r="J17" s="128">
        <v>0.15701729904875236</v>
      </c>
      <c r="K17" s="128">
        <v>6.3687250134745312</v>
      </c>
      <c r="L17" s="128">
        <v>13.575000000000001</v>
      </c>
      <c r="M17" s="128">
        <v>3.2312499999999997</v>
      </c>
      <c r="N17" s="128">
        <v>0.59874999999999989</v>
      </c>
      <c r="O17" s="127">
        <v>546.625</v>
      </c>
    </row>
    <row r="18" spans="1:15" x14ac:dyDescent="0.2">
      <c r="A18" s="126">
        <v>305</v>
      </c>
      <c r="B18" s="126">
        <v>2</v>
      </c>
      <c r="C18" s="126">
        <v>4</v>
      </c>
      <c r="D18" s="126" t="s">
        <v>22</v>
      </c>
      <c r="E18" s="127">
        <v>626.29999999999995</v>
      </c>
      <c r="F18" s="127">
        <v>812.9</v>
      </c>
      <c r="G18" s="127">
        <v>1296.6490299823631</v>
      </c>
      <c r="H18" s="128">
        <v>3.4114746427671596</v>
      </c>
      <c r="I18" s="128">
        <v>20.599573820131273</v>
      </c>
      <c r="J18" s="128">
        <v>0.16560899135851248</v>
      </c>
      <c r="K18" s="128">
        <v>6.0383194885547438</v>
      </c>
      <c r="L18" s="128">
        <v>14.190000000000003</v>
      </c>
      <c r="M18" s="128">
        <v>3.2850000000000001</v>
      </c>
      <c r="N18" s="128">
        <v>0.56711111111111112</v>
      </c>
      <c r="O18" s="127">
        <v>525.28571428571433</v>
      </c>
    </row>
    <row r="19" spans="1:15" x14ac:dyDescent="0.2">
      <c r="A19" s="126">
        <v>306</v>
      </c>
      <c r="B19" s="126">
        <v>2</v>
      </c>
      <c r="C19" s="126">
        <v>4</v>
      </c>
      <c r="D19" s="126" t="s">
        <v>21</v>
      </c>
      <c r="E19" s="127">
        <v>625.66666666666663</v>
      </c>
      <c r="F19" s="127">
        <v>828.77777777777783</v>
      </c>
      <c r="G19" s="127">
        <v>1315.5202821869489</v>
      </c>
      <c r="H19" s="128">
        <v>3.5196613036749089</v>
      </c>
      <c r="I19" s="128">
        <v>23.243543323568986</v>
      </c>
      <c r="J19" s="128">
        <v>0.15142533367991134</v>
      </c>
      <c r="K19" s="128">
        <v>6.6039147855789988</v>
      </c>
      <c r="L19" s="128">
        <v>13.484444444444446</v>
      </c>
      <c r="M19" s="128">
        <v>3.5833333333333335</v>
      </c>
      <c r="N19" s="128">
        <v>0.72755555555555551</v>
      </c>
      <c r="O19" s="127">
        <v>561.55555555555554</v>
      </c>
    </row>
    <row r="20" spans="1:15" x14ac:dyDescent="0.2">
      <c r="A20" s="126">
        <v>307</v>
      </c>
      <c r="B20" s="126">
        <v>2</v>
      </c>
      <c r="C20" s="126">
        <v>4</v>
      </c>
      <c r="D20" s="126" t="s">
        <v>26</v>
      </c>
      <c r="E20" s="127">
        <v>624.70000000000005</v>
      </c>
      <c r="F20" s="127">
        <v>833.3</v>
      </c>
      <c r="G20" s="127">
        <v>1322.6984126984125</v>
      </c>
      <c r="H20" s="128">
        <v>3.5612163913184327</v>
      </c>
      <c r="I20" s="128">
        <v>21.697158876111111</v>
      </c>
      <c r="J20" s="128">
        <v>0.16413284391991911</v>
      </c>
      <c r="K20" s="128">
        <v>6.0926258030836467</v>
      </c>
      <c r="L20" s="128">
        <v>14.209999999999999</v>
      </c>
      <c r="M20" s="128">
        <v>3.1819999999999999</v>
      </c>
      <c r="N20" s="128">
        <v>0.56299999999999994</v>
      </c>
      <c r="O20" s="127">
        <v>522.55555555555554</v>
      </c>
    </row>
    <row r="21" spans="1:15" x14ac:dyDescent="0.2">
      <c r="A21" s="126">
        <v>308</v>
      </c>
      <c r="B21" s="126">
        <v>2</v>
      </c>
      <c r="C21" s="126">
        <v>4</v>
      </c>
      <c r="D21" s="126" t="s">
        <v>25</v>
      </c>
      <c r="E21" s="127">
        <v>626.70000000000005</v>
      </c>
      <c r="F21" s="127">
        <v>864.2</v>
      </c>
      <c r="G21" s="127">
        <v>1371.746031746032</v>
      </c>
      <c r="H21" s="128">
        <v>3.8012552640103658</v>
      </c>
      <c r="I21" s="128">
        <v>23.183092460704504</v>
      </c>
      <c r="J21" s="128">
        <v>0.1639667042027943</v>
      </c>
      <c r="K21" s="128">
        <v>6.0987991730516118</v>
      </c>
      <c r="L21" s="128">
        <v>14.044444444444444</v>
      </c>
      <c r="M21" s="128">
        <v>3.6166666666666671</v>
      </c>
      <c r="N21" s="128">
        <v>0.74777777777777776</v>
      </c>
      <c r="O21" s="127">
        <v>594.11111111111109</v>
      </c>
    </row>
    <row r="22" spans="1:15" x14ac:dyDescent="0.2">
      <c r="A22" s="126">
        <v>309</v>
      </c>
      <c r="B22" s="126">
        <v>2</v>
      </c>
      <c r="C22" s="126">
        <v>5</v>
      </c>
      <c r="D22" s="126" t="s">
        <v>21</v>
      </c>
      <c r="E22" s="127">
        <v>626.70000000000005</v>
      </c>
      <c r="F22" s="127">
        <v>853.2</v>
      </c>
      <c r="G22" s="127">
        <v>1354.2857142857142</v>
      </c>
      <c r="H22" s="128">
        <v>3.7121720116618078</v>
      </c>
      <c r="I22" s="128">
        <v>22.382749735000004</v>
      </c>
      <c r="J22" s="128">
        <v>0.16584968583449192</v>
      </c>
      <c r="K22" s="128">
        <v>6.0295561910074422</v>
      </c>
      <c r="L22" s="128">
        <v>13.971</v>
      </c>
      <c r="M22" s="128">
        <v>3.4419999999999993</v>
      </c>
      <c r="N22" s="128">
        <v>0.64639999999999997</v>
      </c>
      <c r="O22" s="127">
        <v>552</v>
      </c>
    </row>
    <row r="23" spans="1:15" x14ac:dyDescent="0.2">
      <c r="A23" s="126">
        <v>310</v>
      </c>
      <c r="B23" s="126">
        <v>2</v>
      </c>
      <c r="C23" s="126">
        <v>5</v>
      </c>
      <c r="D23" s="126" t="s">
        <v>24</v>
      </c>
      <c r="E23" s="127">
        <v>632</v>
      </c>
      <c r="F23" s="127">
        <v>862.11111111111109</v>
      </c>
      <c r="G23" s="127">
        <v>1368.4303350970017</v>
      </c>
      <c r="H23" s="128">
        <v>3.7572976280459276</v>
      </c>
      <c r="I23" s="128">
        <v>23.18107161691918</v>
      </c>
      <c r="J23" s="128">
        <v>0.16208472542328833</v>
      </c>
      <c r="K23" s="128">
        <v>6.169612820631154</v>
      </c>
      <c r="L23" s="128">
        <v>13.702222222222222</v>
      </c>
      <c r="M23" s="128">
        <v>3.5411111111111113</v>
      </c>
      <c r="N23" s="128">
        <v>0.69</v>
      </c>
      <c r="O23" s="127">
        <v>582.875</v>
      </c>
    </row>
    <row r="24" spans="1:15" x14ac:dyDescent="0.2">
      <c r="A24" s="126">
        <v>311</v>
      </c>
      <c r="B24" s="126">
        <v>2</v>
      </c>
      <c r="C24" s="126">
        <v>5</v>
      </c>
      <c r="D24" s="126" t="s">
        <v>22</v>
      </c>
      <c r="E24" s="127">
        <v>631.29999999999995</v>
      </c>
      <c r="F24" s="127">
        <v>862.6</v>
      </c>
      <c r="G24" s="127">
        <v>1369.2063492063492</v>
      </c>
      <c r="H24" s="128">
        <v>3.7648283122772916</v>
      </c>
      <c r="I24" s="128">
        <v>23.779243605703989</v>
      </c>
      <c r="J24" s="128">
        <v>0.15832414078024806</v>
      </c>
      <c r="K24" s="128">
        <v>6.3161561785324176</v>
      </c>
      <c r="L24" s="128">
        <v>14.088999999999999</v>
      </c>
      <c r="M24" s="128">
        <v>3.44</v>
      </c>
      <c r="N24" s="128">
        <v>0.66639999999999999</v>
      </c>
      <c r="O24" s="127">
        <v>645.6</v>
      </c>
    </row>
    <row r="25" spans="1:15" x14ac:dyDescent="0.2">
      <c r="A25" s="126">
        <v>312</v>
      </c>
      <c r="B25" s="126">
        <v>2</v>
      </c>
      <c r="C25" s="126">
        <v>5</v>
      </c>
      <c r="D25" s="126" t="s">
        <v>25</v>
      </c>
      <c r="E25" s="127">
        <v>629.1</v>
      </c>
      <c r="F25" s="127">
        <v>850.1</v>
      </c>
      <c r="G25" s="127">
        <v>1349.3650793650791</v>
      </c>
      <c r="H25" s="128">
        <v>3.6748218334953031</v>
      </c>
      <c r="I25" s="128">
        <v>23.507213350404029</v>
      </c>
      <c r="J25" s="128">
        <v>0.15632741230181341</v>
      </c>
      <c r="K25" s="128">
        <v>6.3968307622808389</v>
      </c>
      <c r="L25" s="128">
        <v>13.943999999999999</v>
      </c>
      <c r="M25" s="128">
        <v>3.4649999999999999</v>
      </c>
      <c r="N25" s="128">
        <v>0.68119999999999992</v>
      </c>
      <c r="O25" s="127">
        <v>537.22222222222217</v>
      </c>
    </row>
    <row r="26" spans="1:15" x14ac:dyDescent="0.2">
      <c r="A26" s="126">
        <v>313</v>
      </c>
      <c r="B26" s="126">
        <v>2</v>
      </c>
      <c r="C26" s="126">
        <v>5</v>
      </c>
      <c r="D26" s="126" t="s">
        <v>26</v>
      </c>
      <c r="E26" s="127">
        <v>627.29999999999995</v>
      </c>
      <c r="F26" s="127">
        <v>870</v>
      </c>
      <c r="G26" s="127">
        <v>1380.952380952381</v>
      </c>
      <c r="H26" s="128">
        <v>3.8451652089407196</v>
      </c>
      <c r="I26" s="128">
        <v>23.480892071111096</v>
      </c>
      <c r="J26" s="128">
        <v>0.1637572029757543</v>
      </c>
      <c r="K26" s="128">
        <v>6.1066016140252399</v>
      </c>
      <c r="L26" s="128">
        <v>13.596</v>
      </c>
      <c r="M26" s="128">
        <v>3.9349999999999996</v>
      </c>
      <c r="N26" s="128">
        <v>0.8395999999999999</v>
      </c>
      <c r="O26" s="127">
        <v>535.6</v>
      </c>
    </row>
    <row r="27" spans="1:15" x14ac:dyDescent="0.2">
      <c r="A27" s="126">
        <v>314</v>
      </c>
      <c r="B27" s="126">
        <v>2</v>
      </c>
      <c r="C27" s="126">
        <v>6</v>
      </c>
      <c r="D27" s="126" t="s">
        <v>26</v>
      </c>
      <c r="E27" s="127">
        <v>631.1</v>
      </c>
      <c r="F27" s="127">
        <v>862.7</v>
      </c>
      <c r="G27" s="127">
        <v>1387.3015873015875</v>
      </c>
      <c r="H27" s="128">
        <v>3.8632167152575314</v>
      </c>
      <c r="I27" s="128">
        <v>23.926712488585853</v>
      </c>
      <c r="J27" s="128">
        <v>0.16146040610888204</v>
      </c>
      <c r="K27" s="128">
        <v>6.1934688763611963</v>
      </c>
      <c r="L27" s="128">
        <v>13.677000000000001</v>
      </c>
      <c r="M27" s="128">
        <v>3.4990000000000001</v>
      </c>
      <c r="N27" s="128">
        <v>0.67399999999999993</v>
      </c>
      <c r="O27" s="127">
        <v>548.88888888888891</v>
      </c>
    </row>
    <row r="28" spans="1:15" x14ac:dyDescent="0.2">
      <c r="A28" s="126">
        <v>315</v>
      </c>
      <c r="B28" s="126">
        <v>2</v>
      </c>
      <c r="C28" s="126">
        <v>6</v>
      </c>
      <c r="D28" s="126" t="s">
        <v>25</v>
      </c>
      <c r="E28" s="127">
        <v>622.9</v>
      </c>
      <c r="F28" s="127">
        <v>863.5</v>
      </c>
      <c r="G28" s="127">
        <v>1382.1869488536156</v>
      </c>
      <c r="H28" s="128">
        <v>3.8580966778245696</v>
      </c>
      <c r="I28" s="128">
        <v>23.392790065062279</v>
      </c>
      <c r="J28" s="128">
        <v>0.16492674311589425</v>
      </c>
      <c r="K28" s="128">
        <v>6.0632980504398768</v>
      </c>
      <c r="L28" s="128">
        <v>14.374999999999996</v>
      </c>
      <c r="M28" s="128">
        <v>3.53</v>
      </c>
      <c r="N28" s="128">
        <v>0.65533333333333332</v>
      </c>
      <c r="O28" s="127">
        <v>587.55555555555554</v>
      </c>
    </row>
    <row r="29" spans="1:15" x14ac:dyDescent="0.2">
      <c r="A29" s="126">
        <v>316</v>
      </c>
      <c r="B29" s="126">
        <v>2</v>
      </c>
      <c r="C29" s="126">
        <v>6</v>
      </c>
      <c r="D29" s="126" t="s">
        <v>22</v>
      </c>
      <c r="E29" s="127">
        <v>626.9</v>
      </c>
      <c r="F29" s="127">
        <v>857.4</v>
      </c>
      <c r="G29" s="127">
        <v>1360.9523809523807</v>
      </c>
      <c r="H29" s="128">
        <v>3.745165208940719</v>
      </c>
      <c r="I29" s="128">
        <v>23.276936370757571</v>
      </c>
      <c r="J29" s="128">
        <v>0.1608959679782305</v>
      </c>
      <c r="K29" s="128">
        <v>6.215196145470232</v>
      </c>
      <c r="L29" s="128">
        <v>13.481111111111112</v>
      </c>
      <c r="M29" s="128">
        <v>3.4611111111111108</v>
      </c>
      <c r="N29" s="128">
        <v>0.68342857142857139</v>
      </c>
      <c r="O29" s="127">
        <v>592</v>
      </c>
    </row>
    <row r="30" spans="1:15" x14ac:dyDescent="0.2">
      <c r="A30" s="126">
        <v>317</v>
      </c>
      <c r="B30" s="126">
        <v>2</v>
      </c>
      <c r="C30" s="126">
        <v>6</v>
      </c>
      <c r="D30" s="126" t="s">
        <v>21</v>
      </c>
      <c r="E30" s="127">
        <v>625.77777777777783</v>
      </c>
      <c r="F30" s="127">
        <v>826.88888888888891</v>
      </c>
      <c r="G30" s="127">
        <v>1312.5220458553792</v>
      </c>
      <c r="H30" s="128">
        <v>3.5037972861102116</v>
      </c>
      <c r="I30" s="128">
        <v>23.188136258216968</v>
      </c>
      <c r="J30" s="128">
        <v>0.15110301436445125</v>
      </c>
      <c r="K30" s="128">
        <v>6.6180016606952723</v>
      </c>
      <c r="L30" s="128">
        <v>13.404444444444444</v>
      </c>
      <c r="M30" s="128">
        <v>3.3187499999999996</v>
      </c>
      <c r="N30" s="128">
        <v>0.64200000000000002</v>
      </c>
      <c r="O30" s="127">
        <v>504.125</v>
      </c>
    </row>
    <row r="31" spans="1:15" x14ac:dyDescent="0.2">
      <c r="A31" s="126">
        <v>318</v>
      </c>
      <c r="B31" s="126">
        <v>2</v>
      </c>
      <c r="C31" s="126">
        <v>6</v>
      </c>
      <c r="D31" s="126" t="s">
        <v>24</v>
      </c>
      <c r="E31" s="127">
        <v>628.5</v>
      </c>
      <c r="F31" s="127">
        <v>834.8</v>
      </c>
      <c r="G31" s="127">
        <v>1306.8783068783068</v>
      </c>
      <c r="H31" s="128">
        <v>3.469333765252133</v>
      </c>
      <c r="I31" s="128">
        <v>23.479164833812241</v>
      </c>
      <c r="J31" s="128">
        <v>0.14776223046298312</v>
      </c>
      <c r="K31" s="128">
        <v>6.7676292978706529</v>
      </c>
      <c r="L31" s="128">
        <v>14.247</v>
      </c>
      <c r="M31" s="128">
        <v>3.3549999999999995</v>
      </c>
      <c r="N31" s="128">
        <v>0.64659999999999995</v>
      </c>
      <c r="O31" s="127">
        <v>571.9</v>
      </c>
    </row>
    <row r="32" spans="1:15" x14ac:dyDescent="0.2">
      <c r="A32" s="126">
        <v>405</v>
      </c>
      <c r="B32" s="126">
        <v>3</v>
      </c>
      <c r="C32" s="126">
        <v>7</v>
      </c>
      <c r="D32" s="126" t="s">
        <v>24</v>
      </c>
      <c r="E32" s="127">
        <v>695.6</v>
      </c>
      <c r="F32" s="127">
        <v>851.8</v>
      </c>
      <c r="G32" s="127">
        <v>1352.063492063492</v>
      </c>
      <c r="H32" s="128">
        <v>3.6069422640851214</v>
      </c>
      <c r="I32" s="128">
        <v>23.841123317486332</v>
      </c>
      <c r="J32" s="128">
        <v>0.15129078508811708</v>
      </c>
      <c r="K32" s="128">
        <v>6.6097878956577878</v>
      </c>
      <c r="L32" s="128">
        <v>13.568888888888889</v>
      </c>
      <c r="M32" s="128">
        <v>3.3250000000000002</v>
      </c>
      <c r="N32" s="128">
        <v>0.58200000000000007</v>
      </c>
      <c r="O32" s="127">
        <v>564.77777777777783</v>
      </c>
    </row>
    <row r="33" spans="1:15" x14ac:dyDescent="0.2">
      <c r="A33" s="126">
        <v>406</v>
      </c>
      <c r="B33" s="126">
        <v>3</v>
      </c>
      <c r="C33" s="126">
        <v>7</v>
      </c>
      <c r="D33" s="126" t="s">
        <v>22</v>
      </c>
      <c r="E33" s="127">
        <v>702.7</v>
      </c>
      <c r="F33" s="127">
        <v>878.6</v>
      </c>
      <c r="G33" s="127">
        <v>1394.6031746031745</v>
      </c>
      <c r="H33" s="128">
        <v>3.8016657945229375</v>
      </c>
      <c r="I33" s="128">
        <v>24.456725328579239</v>
      </c>
      <c r="J33" s="128">
        <v>0.1554445962591913</v>
      </c>
      <c r="K33" s="128">
        <v>6.4331602645908692</v>
      </c>
      <c r="L33" s="128">
        <v>13.737499999999999</v>
      </c>
      <c r="M33" s="128">
        <v>3.4987500000000002</v>
      </c>
      <c r="N33" s="128">
        <v>0.66049999999999998</v>
      </c>
      <c r="O33" s="127">
        <v>523.22222222222217</v>
      </c>
    </row>
    <row r="34" spans="1:15" x14ac:dyDescent="0.2">
      <c r="A34" s="126">
        <v>407</v>
      </c>
      <c r="B34" s="126">
        <v>3</v>
      </c>
      <c r="C34" s="126">
        <v>7</v>
      </c>
      <c r="D34" s="126" t="s">
        <v>26</v>
      </c>
      <c r="E34" s="127">
        <v>699.8</v>
      </c>
      <c r="F34" s="127">
        <v>848.6</v>
      </c>
      <c r="G34" s="127">
        <v>1346.9841269841272</v>
      </c>
      <c r="H34" s="128">
        <v>3.5559567416710274</v>
      </c>
      <c r="I34" s="128">
        <v>22.840113033442627</v>
      </c>
      <c r="J34" s="128">
        <v>0.15568910436057715</v>
      </c>
      <c r="K34" s="128">
        <v>6.4230570540375931</v>
      </c>
      <c r="L34" s="128">
        <v>13.297777777777776</v>
      </c>
      <c r="M34" s="128">
        <v>3.4255555555555559</v>
      </c>
      <c r="N34" s="128">
        <v>0.61422222222222222</v>
      </c>
      <c r="O34" s="127">
        <v>507.44444444444446</v>
      </c>
    </row>
    <row r="35" spans="1:15" x14ac:dyDescent="0.2">
      <c r="A35" s="126">
        <v>408</v>
      </c>
      <c r="B35" s="126">
        <v>3</v>
      </c>
      <c r="C35" s="126">
        <v>7</v>
      </c>
      <c r="D35" s="126" t="s">
        <v>21</v>
      </c>
      <c r="E35" s="127">
        <v>697.6</v>
      </c>
      <c r="F35" s="127">
        <v>840.6</v>
      </c>
      <c r="G35" s="127">
        <v>1334.2857142857142</v>
      </c>
      <c r="H35" s="128">
        <v>3.4982731554160127</v>
      </c>
      <c r="I35" s="128">
        <v>22.63029404224044</v>
      </c>
      <c r="J35" s="128">
        <v>0.1545836368226737</v>
      </c>
      <c r="K35" s="128">
        <v>6.4689899950220608</v>
      </c>
      <c r="L35" s="128">
        <v>13.608000000000001</v>
      </c>
      <c r="M35" s="128">
        <v>3.3579999999999997</v>
      </c>
      <c r="N35" s="128">
        <v>0.67559999999999998</v>
      </c>
      <c r="O35" s="127">
        <v>570.75</v>
      </c>
    </row>
    <row r="36" spans="1:15" x14ac:dyDescent="0.2">
      <c r="A36" s="126">
        <v>409</v>
      </c>
      <c r="B36" s="126">
        <v>3</v>
      </c>
      <c r="C36" s="126">
        <v>7</v>
      </c>
      <c r="D36" s="126" t="s">
        <v>25</v>
      </c>
      <c r="E36" s="127">
        <v>692.9</v>
      </c>
      <c r="F36" s="127">
        <v>910.7</v>
      </c>
      <c r="G36" s="127">
        <v>1445.5555555555554</v>
      </c>
      <c r="H36" s="128">
        <v>4.135470085470085</v>
      </c>
      <c r="I36" s="128">
        <v>25.087520326338787</v>
      </c>
      <c r="J36" s="128">
        <v>0.16484172336188818</v>
      </c>
      <c r="K36" s="128">
        <v>6.0664252933380975</v>
      </c>
      <c r="L36" s="128">
        <v>14.443000000000001</v>
      </c>
      <c r="M36" s="128">
        <v>3.8619999999999997</v>
      </c>
      <c r="N36" s="128">
        <v>0.80800000000000005</v>
      </c>
      <c r="O36" s="127">
        <v>594.1</v>
      </c>
    </row>
    <row r="37" spans="1:15" x14ac:dyDescent="0.2">
      <c r="A37" s="126">
        <v>410</v>
      </c>
      <c r="B37" s="126">
        <v>3</v>
      </c>
      <c r="C37" s="126">
        <v>8</v>
      </c>
      <c r="D37" s="126" t="s">
        <v>26</v>
      </c>
      <c r="E37" s="127">
        <v>699.8</v>
      </c>
      <c r="F37" s="127">
        <v>862.7</v>
      </c>
      <c r="G37" s="127">
        <v>1369.3650793650795</v>
      </c>
      <c r="H37" s="128">
        <v>3.6789290075004359</v>
      </c>
      <c r="I37" s="128">
        <v>23.110230187377059</v>
      </c>
      <c r="J37" s="128">
        <v>0.15919049605615301</v>
      </c>
      <c r="K37" s="128">
        <v>6.2817820458782858</v>
      </c>
      <c r="L37" s="128">
        <v>13.653333333333332</v>
      </c>
      <c r="M37" s="128">
        <v>3.48</v>
      </c>
      <c r="N37" s="128">
        <v>0.65755555555555545</v>
      </c>
      <c r="O37" s="127">
        <v>622.22222222222217</v>
      </c>
    </row>
    <row r="38" spans="1:15" x14ac:dyDescent="0.2">
      <c r="A38" s="126">
        <v>411</v>
      </c>
      <c r="B38" s="126">
        <v>3</v>
      </c>
      <c r="C38" s="126">
        <v>8</v>
      </c>
      <c r="D38" s="126" t="s">
        <v>22</v>
      </c>
      <c r="E38" s="127">
        <v>700.11111111111109</v>
      </c>
      <c r="F38" s="127">
        <v>876</v>
      </c>
      <c r="G38" s="127">
        <v>1390.4761904761904</v>
      </c>
      <c r="H38" s="128">
        <v>3.7932147217861507</v>
      </c>
      <c r="I38" s="128">
        <v>23.277453122155439</v>
      </c>
      <c r="J38" s="128">
        <v>0.16295660448246271</v>
      </c>
      <c r="K38" s="128">
        <v>6.1366030740264925</v>
      </c>
      <c r="L38" s="128">
        <v>13.64625</v>
      </c>
      <c r="M38" s="128">
        <v>3.51</v>
      </c>
      <c r="N38" s="128">
        <v>0.65649999999999997</v>
      </c>
      <c r="O38" s="127">
        <v>597</v>
      </c>
    </row>
    <row r="39" spans="1:15" x14ac:dyDescent="0.2">
      <c r="A39" s="126">
        <v>412</v>
      </c>
      <c r="B39" s="126">
        <v>3</v>
      </c>
      <c r="C39" s="126">
        <v>8</v>
      </c>
      <c r="D39" s="126" t="s">
        <v>21</v>
      </c>
      <c r="E39" s="127">
        <v>697</v>
      </c>
      <c r="F39" s="127">
        <v>834.125</v>
      </c>
      <c r="G39" s="127">
        <v>1324.0079365079364</v>
      </c>
      <c r="H39" s="128">
        <v>3.4450985522414097</v>
      </c>
      <c r="I39" s="128">
        <v>23.149248339458101</v>
      </c>
      <c r="J39" s="128">
        <v>0.14882118424420754</v>
      </c>
      <c r="K39" s="128">
        <v>6.7194734746839124</v>
      </c>
      <c r="L39" s="128">
        <v>13.308750000000003</v>
      </c>
      <c r="M39" s="128">
        <v>3.3350000000000004</v>
      </c>
      <c r="N39" s="128">
        <v>0.59299999999999997</v>
      </c>
      <c r="O39" s="127">
        <v>500.28571428571428</v>
      </c>
    </row>
    <row r="40" spans="1:15" x14ac:dyDescent="0.2">
      <c r="A40" s="126">
        <v>413</v>
      </c>
      <c r="B40" s="126">
        <v>3</v>
      </c>
      <c r="C40" s="126">
        <v>8</v>
      </c>
      <c r="D40" s="126" t="s">
        <v>25</v>
      </c>
      <c r="E40" s="127">
        <v>695.22222222222217</v>
      </c>
      <c r="F40" s="127">
        <v>870.77777777777783</v>
      </c>
      <c r="G40" s="127">
        <v>1382.1869488536156</v>
      </c>
      <c r="H40" s="128">
        <v>3.774531465007656</v>
      </c>
      <c r="I40" s="128">
        <v>24.396522174486932</v>
      </c>
      <c r="J40" s="128">
        <v>0.15471596475972033</v>
      </c>
      <c r="K40" s="128">
        <v>6.4634570941210709</v>
      </c>
      <c r="L40" s="128">
        <v>13.7575</v>
      </c>
      <c r="M40" s="128">
        <v>3.6437499999999998</v>
      </c>
      <c r="N40" s="128">
        <v>0.71</v>
      </c>
      <c r="O40" s="127">
        <v>516.85714285714289</v>
      </c>
    </row>
    <row r="41" spans="1:15" x14ac:dyDescent="0.2">
      <c r="A41" s="126">
        <v>414</v>
      </c>
      <c r="B41" s="126">
        <v>3</v>
      </c>
      <c r="C41" s="126">
        <v>8</v>
      </c>
      <c r="D41" s="126" t="s">
        <v>24</v>
      </c>
      <c r="E41" s="127">
        <v>695.2</v>
      </c>
      <c r="F41" s="127">
        <v>850.7</v>
      </c>
      <c r="G41" s="127">
        <v>1350.3174603174602</v>
      </c>
      <c r="H41" s="128">
        <v>3.5995464852607713</v>
      </c>
      <c r="I41" s="128">
        <v>24.652027832021869</v>
      </c>
      <c r="J41" s="128">
        <v>0.14601421472456408</v>
      </c>
      <c r="K41" s="128">
        <v>6.8486482763774994</v>
      </c>
      <c r="L41" s="128">
        <v>13.082222222222221</v>
      </c>
      <c r="M41" s="128">
        <v>3.79</v>
      </c>
      <c r="N41" s="128">
        <v>0.79549999999999987</v>
      </c>
      <c r="O41" s="127">
        <v>630.125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BE960-CE5B-0E47-BC1E-B6CA89D28940}">
  <dimension ref="A1:AM687"/>
  <sheetViews>
    <sheetView workbookViewId="0">
      <selection activeCell="L176" sqref="L176"/>
    </sheetView>
  </sheetViews>
  <sheetFormatPr baseColWidth="10" defaultColWidth="8.83203125" defaultRowHeight="15" x14ac:dyDescent="0.2"/>
  <cols>
    <col min="1" max="1" width="8.83203125" style="48"/>
    <col min="2" max="2" width="10.6640625" style="48" bestFit="1" customWidth="1"/>
    <col min="3" max="3" width="10.6640625" style="4" bestFit="1" customWidth="1"/>
    <col min="4" max="4" width="15.83203125" style="4" customWidth="1"/>
    <col min="5" max="5" width="8.33203125" style="4" bestFit="1" customWidth="1"/>
    <col min="6" max="9" width="8.83203125" style="4"/>
    <col min="10" max="10" width="18.1640625" style="4" bestFit="1" customWidth="1"/>
    <col min="11" max="11" width="8.83203125" style="4"/>
    <col min="12" max="12" width="16" style="4" customWidth="1"/>
    <col min="13" max="17" width="8.83203125" style="4"/>
    <col min="18" max="18" width="9.6640625" style="4" bestFit="1" customWidth="1"/>
    <col min="19" max="23" width="8.83203125" style="4"/>
    <col min="24" max="24" width="18.1640625" style="4" bestFit="1" customWidth="1"/>
    <col min="25" max="25" width="18.1640625" style="4" customWidth="1"/>
    <col min="26" max="26" width="8.83203125" style="18"/>
    <col min="27" max="27" width="10.5" style="4" bestFit="1" customWidth="1"/>
    <col min="28" max="29" width="10.5" style="4" customWidth="1"/>
    <col min="30" max="30" width="8.83203125" style="4"/>
    <col min="31" max="31" width="17.1640625" style="4" bestFit="1" customWidth="1"/>
    <col min="32" max="33" width="8.83203125" style="4"/>
    <col min="34" max="34" width="10.5" style="4" bestFit="1" customWidth="1"/>
    <col min="35" max="36" width="10.5" style="4" customWidth="1"/>
    <col min="37" max="16384" width="8.83203125" style="4"/>
  </cols>
  <sheetData>
    <row r="1" spans="1:39" x14ac:dyDescent="0.2">
      <c r="A1" s="1" t="s">
        <v>0</v>
      </c>
      <c r="B1" s="49">
        <v>45257</v>
      </c>
      <c r="C1" s="50">
        <v>45258</v>
      </c>
      <c r="D1" s="51" t="s">
        <v>30</v>
      </c>
      <c r="E1" s="3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31</v>
      </c>
      <c r="L1" s="4" t="s">
        <v>32</v>
      </c>
      <c r="M1" s="4" t="s">
        <v>33</v>
      </c>
      <c r="N1" s="4" t="s">
        <v>34</v>
      </c>
      <c r="T1" s="52" t="s">
        <v>5</v>
      </c>
      <c r="U1" s="53" t="s">
        <v>2</v>
      </c>
      <c r="V1" s="53" t="s">
        <v>10</v>
      </c>
      <c r="W1" s="53" t="s">
        <v>4</v>
      </c>
      <c r="X1" s="53" t="s">
        <v>6</v>
      </c>
      <c r="Y1" s="54" t="s">
        <v>8</v>
      </c>
      <c r="Z1" s="53" t="s">
        <v>35</v>
      </c>
      <c r="AA1" s="53" t="s">
        <v>32</v>
      </c>
      <c r="AB1" s="5" t="s">
        <v>33</v>
      </c>
      <c r="AC1" s="5" t="s">
        <v>34</v>
      </c>
      <c r="AE1" s="52" t="s">
        <v>7</v>
      </c>
      <c r="AF1" s="53" t="s">
        <v>36</v>
      </c>
      <c r="AG1" s="53" t="s">
        <v>35</v>
      </c>
      <c r="AH1" s="53" t="s">
        <v>32</v>
      </c>
      <c r="AI1" s="53" t="s">
        <v>33</v>
      </c>
      <c r="AJ1" s="55" t="s">
        <v>34</v>
      </c>
      <c r="AL1" s="4">
        <v>205</v>
      </c>
      <c r="AM1" s="31">
        <v>18.341718115932199</v>
      </c>
    </row>
    <row r="2" spans="1:39" x14ac:dyDescent="0.2">
      <c r="A2" s="16">
        <v>4437</v>
      </c>
      <c r="B2" s="17">
        <f>VLOOKUP(A2,'[1]Nebris 11.27'!E:I,5,FALSE)</f>
        <v>554</v>
      </c>
      <c r="C2" s="4">
        <f>VLOOKUP(A2,'[1]Nebris 11.28.23'!E:I,5,FALSE)</f>
        <v>568</v>
      </c>
      <c r="D2" s="56">
        <f>B2-C2</f>
        <v>-14</v>
      </c>
      <c r="E2" s="18">
        <f t="shared" ref="E2:E65" si="0">AVERAGE(B2:C2)</f>
        <v>561</v>
      </c>
      <c r="F2" s="4">
        <v>1</v>
      </c>
      <c r="G2" s="4">
        <v>1</v>
      </c>
      <c r="H2" s="4">
        <v>0.13223911051971071</v>
      </c>
      <c r="I2" s="4">
        <v>205</v>
      </c>
      <c r="J2" s="4" t="str">
        <f>VLOOKUP(I2,$T$2:$X$41,5,FALSE)</f>
        <v xml:space="preserve">10% MDGS Constant </v>
      </c>
      <c r="K2" s="18">
        <f>VLOOKUP(A2,'[1]Interim '!E:I,5,FALSE)*0.96</f>
        <v>744.95999999999992</v>
      </c>
      <c r="L2" s="31">
        <f>(K2-E2)/58</f>
        <v>3.171724137931033</v>
      </c>
      <c r="M2" s="19">
        <f>VLOOKUP(I2,$AL$1:$AM$40,2,FALSE)</f>
        <v>18.341718115932199</v>
      </c>
      <c r="N2" s="57">
        <f>L2/M2</f>
        <v>0.17292404767555405</v>
      </c>
      <c r="T2" s="28">
        <v>205</v>
      </c>
      <c r="U2" s="4">
        <v>1</v>
      </c>
      <c r="V2" s="4">
        <v>1</v>
      </c>
      <c r="W2" s="4">
        <v>0.44075805963026427</v>
      </c>
      <c r="X2" s="4" t="s">
        <v>22</v>
      </c>
      <c r="Y2" s="18">
        <f t="shared" ref="Y2:Y41" si="1">AVERAGEIF($I$2:$I$577,T2,$E$2:$E$577)</f>
        <v>572.4</v>
      </c>
      <c r="Z2" s="18">
        <f>AVERAGEIF($I$2:$I$577,T2,$K$2:$K$577)</f>
        <v>744.96</v>
      </c>
      <c r="AA2" s="31">
        <f>AVERAGEIF($I$2:$I$577,T2,$L$2:$L$577)</f>
        <v>2.9751724137931026</v>
      </c>
      <c r="AB2" s="31">
        <f>AVERAGEIF($I$2:$I$577,T2,$M$2:$M$577)</f>
        <v>18.341718115932199</v>
      </c>
      <c r="AC2" s="57">
        <f>AVERAGEIF($I$2:$I$577,T2,$N$2:$N$577)</f>
        <v>0.16220794556911075</v>
      </c>
      <c r="AE2" s="28" t="s">
        <v>21</v>
      </c>
      <c r="AF2" s="19">
        <f>AVERAGEIF($X$2:$X$41,AE2,$Y$2:$Y$41)</f>
        <v>631.99722222222226</v>
      </c>
      <c r="AG2" s="19">
        <f>AVERAGEIF($X$2:$X$41,AE2,$Z$2:$Z$41)</f>
        <v>816.77599999999995</v>
      </c>
      <c r="AH2" s="31">
        <f>AVERAGEIF($X$2:$X$41,AE2,$AA$2:$AA$41)</f>
        <v>3.1858409961685816</v>
      </c>
      <c r="AI2" s="31">
        <f>AVERAGEIF($X$2:$X$41,AE2,$AB$2:$AB$41)</f>
        <v>19.157637626322977</v>
      </c>
      <c r="AJ2" s="58">
        <f>AVERAGEIF($X$2:$X$41,AE2,$AC$2:$AC$41)</f>
        <v>0.16647683745712472</v>
      </c>
      <c r="AL2" s="4">
        <v>206</v>
      </c>
      <c r="AM2" s="31">
        <v>18.076575727457623</v>
      </c>
    </row>
    <row r="3" spans="1:39" x14ac:dyDescent="0.2">
      <c r="A3" s="16">
        <v>4315</v>
      </c>
      <c r="B3" s="17">
        <f>VLOOKUP(A3,'[1]Nebris 11.27'!E:I,5,FALSE)</f>
        <v>554</v>
      </c>
      <c r="C3" s="4">
        <f>VLOOKUP(A3,'[1]Nebris 11.28.23'!E:I,5,FALSE)</f>
        <v>554</v>
      </c>
      <c r="D3" s="56">
        <f t="shared" ref="D3:D66" si="2">B3-C3</f>
        <v>0</v>
      </c>
      <c r="E3" s="18">
        <f t="shared" si="0"/>
        <v>554</v>
      </c>
      <c r="F3" s="4">
        <v>1</v>
      </c>
      <c r="G3" s="4">
        <v>1</v>
      </c>
      <c r="H3" s="4">
        <v>0.16749633367577954</v>
      </c>
      <c r="I3" s="4">
        <v>206</v>
      </c>
      <c r="J3" s="4" t="str">
        <f t="shared" ref="J3:J66" si="3">VLOOKUP(I3,$T$2:$X$57,5,FALSE)</f>
        <v>10% MDGS Variable</v>
      </c>
      <c r="K3" s="18">
        <f>VLOOKUP(A3,'[1]Interim '!E:I,5,FALSE)*0.96</f>
        <v>714.24</v>
      </c>
      <c r="L3" s="31">
        <f t="shared" ref="L3:L66" si="4">(K3-E3)/58</f>
        <v>2.7627586206896555</v>
      </c>
      <c r="M3" s="19">
        <f t="shared" ref="M3:M66" si="5">VLOOKUP(I3,$AL$1:$AM$40,2,FALSE)</f>
        <v>18.076575727457623</v>
      </c>
      <c r="N3" s="57">
        <f t="shared" ref="N3:N66" si="6">L3/M3</f>
        <v>0.15283639237563845</v>
      </c>
      <c r="R3" s="20"/>
      <c r="T3" s="28">
        <v>206</v>
      </c>
      <c r="U3" s="4">
        <v>1</v>
      </c>
      <c r="V3" s="4">
        <v>1</v>
      </c>
      <c r="W3" s="4">
        <v>0.49100692422175718</v>
      </c>
      <c r="X3" s="4" t="s">
        <v>24</v>
      </c>
      <c r="Y3" s="18">
        <f t="shared" si="1"/>
        <v>575.4</v>
      </c>
      <c r="Z3" s="18">
        <f t="shared" ref="Z3:Z41" si="7">AVERAGEIF($I$2:$I$577,T3,$K$2:$K$577)</f>
        <v>750.33600000000001</v>
      </c>
      <c r="AA3" s="31">
        <f t="shared" ref="AA3:AA41" si="8">AVERAGEIF($I$2:$I$577,T3,$L$2:$L$577)</f>
        <v>3.0161379310344829</v>
      </c>
      <c r="AB3" s="31">
        <f t="shared" ref="AB3:AB41" si="9">AVERAGEIF($I$2:$I$577,T3,$M$2:$M$577)</f>
        <v>18.076575727457623</v>
      </c>
      <c r="AC3" s="57">
        <f t="shared" ref="AC3:AC41" si="10">AVERAGEIF($I$2:$I$577,T3,$N$2:$N$577)</f>
        <v>0.16685338951962486</v>
      </c>
      <c r="AE3" s="28" t="s">
        <v>22</v>
      </c>
      <c r="AF3" s="19">
        <f t="shared" ref="AF3:AF6" si="11">AVERAGEIF($X$2:$X$41,AE3,$Y$2:$Y$41)</f>
        <v>632.34513888888898</v>
      </c>
      <c r="AG3" s="19">
        <f t="shared" ref="AG3:AG6" si="12">AVERAGEIF($X$2:$X$41,AE3,$Z$2:$Z$41)</f>
        <v>820.17599999999993</v>
      </c>
      <c r="AH3" s="31">
        <f t="shared" ref="AH3:AH5" si="13">AVERAGEIF($X$2:$X$41,AE3,$AA$2:$AA$41)</f>
        <v>3.2384631226053635</v>
      </c>
      <c r="AI3" s="31">
        <f t="shared" ref="AI3:AI6" si="14">AVERAGEIF($X$2:$X$41,AE3,$AB$2:$AB$41)</f>
        <v>19.897121163086158</v>
      </c>
      <c r="AJ3" s="58">
        <f t="shared" ref="AJ3:AJ6" si="15">AVERAGEIF($X$2:$X$41,AE3,$AC$2:$AC$41)</f>
        <v>0.16291752786168773</v>
      </c>
      <c r="AL3" s="4">
        <v>207</v>
      </c>
      <c r="AM3" s="31">
        <v>18.548330779491526</v>
      </c>
    </row>
    <row r="4" spans="1:39" x14ac:dyDescent="0.2">
      <c r="A4" s="16">
        <v>4322</v>
      </c>
      <c r="B4" s="17">
        <f>VLOOKUP(A4,'[1]Nebris 11.27'!E:I,5,FALSE)</f>
        <v>554</v>
      </c>
      <c r="C4" s="4">
        <f>VLOOKUP(A4,'[1]Nebris 11.28.23'!E:I,5,FALSE)</f>
        <v>576</v>
      </c>
      <c r="D4" s="56">
        <f t="shared" si="2"/>
        <v>-22</v>
      </c>
      <c r="E4" s="18">
        <f t="shared" si="0"/>
        <v>565</v>
      </c>
      <c r="F4" s="4">
        <v>1</v>
      </c>
      <c r="G4" s="4">
        <v>1</v>
      </c>
      <c r="H4" s="4">
        <v>0.41796759822454332</v>
      </c>
      <c r="I4" s="4">
        <v>207</v>
      </c>
      <c r="J4" s="4" t="str">
        <f t="shared" si="3"/>
        <v>Control</v>
      </c>
      <c r="K4" s="18">
        <f>VLOOKUP(A4,'[1]Interim '!E:I,5,FALSE)*0.96</f>
        <v>756.48</v>
      </c>
      <c r="L4" s="31">
        <f t="shared" si="4"/>
        <v>3.3013793103448279</v>
      </c>
      <c r="M4" s="19">
        <f t="shared" si="5"/>
        <v>18.548330779491526</v>
      </c>
      <c r="N4" s="57">
        <f t="shared" si="6"/>
        <v>0.17798794671028237</v>
      </c>
      <c r="T4" s="28">
        <v>207</v>
      </c>
      <c r="U4" s="4">
        <v>1</v>
      </c>
      <c r="V4" s="4">
        <v>1</v>
      </c>
      <c r="W4" s="4">
        <v>0.64886894771280934</v>
      </c>
      <c r="X4" s="4" t="s">
        <v>21</v>
      </c>
      <c r="Y4" s="18">
        <f t="shared" si="1"/>
        <v>579</v>
      </c>
      <c r="Z4" s="18">
        <f t="shared" si="7"/>
        <v>760.70399999999995</v>
      </c>
      <c r="AA4" s="31">
        <f t="shared" si="8"/>
        <v>3.1328275862068962</v>
      </c>
      <c r="AB4" s="31">
        <f t="shared" si="9"/>
        <v>18.548330779491526</v>
      </c>
      <c r="AC4" s="57">
        <f t="shared" si="10"/>
        <v>0.16890078268772268</v>
      </c>
      <c r="AE4" s="28" t="s">
        <v>24</v>
      </c>
      <c r="AF4" s="19">
        <f t="shared" si="11"/>
        <v>631.66250000000002</v>
      </c>
      <c r="AG4" s="19">
        <f t="shared" si="12"/>
        <v>819.00000000000011</v>
      </c>
      <c r="AH4" s="31">
        <f t="shared" si="13"/>
        <v>3.2299568965517236</v>
      </c>
      <c r="AI4" s="31">
        <f t="shared" si="14"/>
        <v>20.133268026355925</v>
      </c>
      <c r="AJ4" s="58">
        <f t="shared" si="15"/>
        <v>0.16031035491909168</v>
      </c>
      <c r="AL4" s="4">
        <v>208</v>
      </c>
      <c r="AM4" s="31">
        <v>20.130156931525423</v>
      </c>
    </row>
    <row r="5" spans="1:39" x14ac:dyDescent="0.2">
      <c r="A5" s="16">
        <v>4743</v>
      </c>
      <c r="B5" s="17">
        <f>VLOOKUP(A5,'[1]Nebris 11.27'!E:I,5,FALSE)</f>
        <v>556</v>
      </c>
      <c r="C5" s="4">
        <f>VLOOKUP(A5,'[1]Nebris 11.28.23'!E:I,5,FALSE)</f>
        <v>554</v>
      </c>
      <c r="D5" s="56">
        <f t="shared" si="2"/>
        <v>2</v>
      </c>
      <c r="E5" s="18">
        <f t="shared" si="0"/>
        <v>555</v>
      </c>
      <c r="F5" s="4">
        <v>1</v>
      </c>
      <c r="G5" s="4">
        <v>1</v>
      </c>
      <c r="H5" s="4">
        <v>0.46486563274719161</v>
      </c>
      <c r="I5" s="4">
        <v>208</v>
      </c>
      <c r="J5" s="4" t="str">
        <f t="shared" si="3"/>
        <v>25% MDGS Variable</v>
      </c>
      <c r="K5" s="18">
        <f>VLOOKUP(A5,'[1]Interim '!E:I,5,FALSE)*0.96</f>
        <v>702.72</v>
      </c>
      <c r="L5" s="31">
        <f t="shared" si="4"/>
        <v>2.5468965517241382</v>
      </c>
      <c r="M5" s="19">
        <f t="shared" si="5"/>
        <v>20.130156931525423</v>
      </c>
      <c r="N5" s="57">
        <f t="shared" si="6"/>
        <v>0.12652144543073562</v>
      </c>
      <c r="T5" s="28">
        <v>208</v>
      </c>
      <c r="U5" s="4">
        <v>1</v>
      </c>
      <c r="V5" s="4">
        <v>1</v>
      </c>
      <c r="W5" s="4">
        <v>0.92391596654513108</v>
      </c>
      <c r="X5" s="4" t="s">
        <v>26</v>
      </c>
      <c r="Y5" s="18">
        <f t="shared" si="1"/>
        <v>576.6</v>
      </c>
      <c r="Z5" s="18">
        <f t="shared" si="7"/>
        <v>771.26400000000001</v>
      </c>
      <c r="AA5" s="31">
        <f t="shared" si="8"/>
        <v>3.3562758620689648</v>
      </c>
      <c r="AB5" s="31">
        <f t="shared" si="9"/>
        <v>20.130156931525423</v>
      </c>
      <c r="AC5" s="57">
        <f t="shared" si="10"/>
        <v>0.16672874799166473</v>
      </c>
      <c r="AE5" s="28" t="s">
        <v>25</v>
      </c>
      <c r="AF5" s="19">
        <f t="shared" si="11"/>
        <v>630.73749999999995</v>
      </c>
      <c r="AG5" s="19">
        <f t="shared" si="12"/>
        <v>829.82400000000007</v>
      </c>
      <c r="AH5" s="31">
        <f t="shared" si="13"/>
        <v>3.4325258620689647</v>
      </c>
      <c r="AI5" s="31">
        <f t="shared" si="14"/>
        <v>20.496961178834745</v>
      </c>
      <c r="AJ5" s="58">
        <f t="shared" si="15"/>
        <v>0.16731598042126009</v>
      </c>
      <c r="AL5" s="4">
        <v>209</v>
      </c>
      <c r="AM5" s="31">
        <v>19.349136979491519</v>
      </c>
    </row>
    <row r="6" spans="1:39" ht="16" thickBot="1" x14ac:dyDescent="0.25">
      <c r="A6" s="16">
        <v>4765</v>
      </c>
      <c r="B6" s="17">
        <f>VLOOKUP(A6,'[1]Nebris 11.27'!E:I,5,FALSE)</f>
        <v>552</v>
      </c>
      <c r="C6" s="4">
        <f>VLOOKUP(A6,'[1]Nebris 11.28.23'!E:I,5,FALSE)</f>
        <v>560</v>
      </c>
      <c r="D6" s="56">
        <f t="shared" si="2"/>
        <v>-8</v>
      </c>
      <c r="E6" s="18">
        <f t="shared" si="0"/>
        <v>556</v>
      </c>
      <c r="F6" s="4">
        <v>1</v>
      </c>
      <c r="G6" s="4">
        <v>1</v>
      </c>
      <c r="H6" s="4">
        <v>0.49088538189215081</v>
      </c>
      <c r="I6" s="4">
        <v>209</v>
      </c>
      <c r="J6" s="4" t="str">
        <f t="shared" si="3"/>
        <v xml:space="preserve">25% MDGS Constant </v>
      </c>
      <c r="K6" s="18">
        <f>VLOOKUP(A6,'[1]Interim '!E:I,5,FALSE)*0.96</f>
        <v>783.36</v>
      </c>
      <c r="L6" s="31">
        <f t="shared" si="4"/>
        <v>3.9200000000000004</v>
      </c>
      <c r="M6" s="19">
        <f t="shared" si="5"/>
        <v>19.349136979491519</v>
      </c>
      <c r="N6" s="57">
        <f t="shared" si="6"/>
        <v>0.20259301508666125</v>
      </c>
      <c r="T6" s="28">
        <v>209</v>
      </c>
      <c r="U6" s="4">
        <v>1</v>
      </c>
      <c r="V6" s="4">
        <v>1</v>
      </c>
      <c r="W6" s="4">
        <v>0.98398342133396577</v>
      </c>
      <c r="X6" s="4" t="s">
        <v>25</v>
      </c>
      <c r="Y6" s="18">
        <f t="shared" si="1"/>
        <v>572</v>
      </c>
      <c r="Z6" s="18">
        <f t="shared" si="7"/>
        <v>775.10400000000004</v>
      </c>
      <c r="AA6" s="31">
        <f t="shared" si="8"/>
        <v>3.5017931034482759</v>
      </c>
      <c r="AB6" s="31">
        <f t="shared" si="9"/>
        <v>19.349136979491515</v>
      </c>
      <c r="AC6" s="57">
        <f t="shared" si="10"/>
        <v>0.18097929159113846</v>
      </c>
      <c r="AE6" s="39" t="s">
        <v>26</v>
      </c>
      <c r="AF6" s="59">
        <f t="shared" si="11"/>
        <v>632.93194444444441</v>
      </c>
      <c r="AG6" s="59">
        <f t="shared" si="12"/>
        <v>817.78666666666663</v>
      </c>
      <c r="AH6" s="60">
        <f>AVERAGEIF($X$2:$X$41,AE6,$AA$2:$AA$41)</f>
        <v>3.1965996168582373</v>
      </c>
      <c r="AI6" s="60">
        <f t="shared" si="14"/>
        <v>20.163924521497176</v>
      </c>
      <c r="AJ6" s="61" t="e">
        <f t="shared" si="15"/>
        <v>#VALUE!</v>
      </c>
      <c r="AL6" s="4">
        <v>210</v>
      </c>
      <c r="AM6" s="31">
        <v>17.600603800338984</v>
      </c>
    </row>
    <row r="7" spans="1:39" x14ac:dyDescent="0.2">
      <c r="A7" s="16">
        <v>4744</v>
      </c>
      <c r="B7" s="17">
        <f>VLOOKUP(A7,'[1]Nebris 11.27'!E:I,5,FALSE)</f>
        <v>556</v>
      </c>
      <c r="C7" s="4">
        <f>VLOOKUP(A7,'[1]Nebris 11.28.23'!E:I,5,FALSE)</f>
        <v>552</v>
      </c>
      <c r="D7" s="56">
        <f t="shared" si="2"/>
        <v>4</v>
      </c>
      <c r="E7" s="18">
        <f t="shared" si="0"/>
        <v>554</v>
      </c>
      <c r="F7" s="4">
        <v>1</v>
      </c>
      <c r="G7" s="4">
        <v>1</v>
      </c>
      <c r="H7" s="4">
        <v>0.50464713665714178</v>
      </c>
      <c r="I7" s="4">
        <v>210</v>
      </c>
      <c r="J7" s="4" t="str">
        <f t="shared" si="3"/>
        <v xml:space="preserve">10% MDGS Constant </v>
      </c>
      <c r="K7" s="18">
        <f>VLOOKUP(A7,'[1]Interim '!E:I,5,FALSE)*0.96</f>
        <v>756.48</v>
      </c>
      <c r="L7" s="31">
        <f t="shared" si="4"/>
        <v>3.491034482758621</v>
      </c>
      <c r="M7" s="19">
        <f t="shared" si="5"/>
        <v>17.600603800338984</v>
      </c>
      <c r="N7" s="57">
        <f t="shared" si="6"/>
        <v>0.1983474273019761</v>
      </c>
      <c r="T7" s="28">
        <v>210</v>
      </c>
      <c r="U7" s="4">
        <v>1</v>
      </c>
      <c r="V7" s="4">
        <v>2</v>
      </c>
      <c r="W7" s="4">
        <v>0.29345279524279566</v>
      </c>
      <c r="X7" s="4" t="s">
        <v>22</v>
      </c>
      <c r="Y7" s="18">
        <f t="shared" si="1"/>
        <v>573.95000000000005</v>
      </c>
      <c r="Z7" s="18">
        <f t="shared" si="7"/>
        <v>726.72</v>
      </c>
      <c r="AA7" s="31">
        <f t="shared" si="8"/>
        <v>2.633965517241379</v>
      </c>
      <c r="AB7" s="31">
        <f t="shared" si="9"/>
        <v>17.60060380033898</v>
      </c>
      <c r="AC7" s="57">
        <f t="shared" si="10"/>
        <v>0.14965199757468831</v>
      </c>
      <c r="AG7" s="19">
        <f>AVERAGE(AG2:AG6)</f>
        <v>820.71253333333334</v>
      </c>
      <c r="AH7" s="31">
        <f>AVERAGE(AH2:AH6)</f>
        <v>3.2566772988505739</v>
      </c>
      <c r="AL7" s="4">
        <v>310</v>
      </c>
      <c r="AM7" s="31">
        <v>20.764816593728806</v>
      </c>
    </row>
    <row r="8" spans="1:39" ht="16" thickBot="1" x14ac:dyDescent="0.25">
      <c r="A8" s="16">
        <v>4773</v>
      </c>
      <c r="B8" s="17">
        <f>VLOOKUP(A8,'[1]Nebris 11.27'!E:I,5,FALSE)</f>
        <v>554</v>
      </c>
      <c r="C8" s="4">
        <f>VLOOKUP(A8,'[1]Nebris 11.28.23'!E:I,5,FALSE)</f>
        <v>578</v>
      </c>
      <c r="D8" s="56">
        <f t="shared" si="2"/>
        <v>-24</v>
      </c>
      <c r="E8" s="18">
        <f t="shared" si="0"/>
        <v>566</v>
      </c>
      <c r="F8" s="4">
        <v>1</v>
      </c>
      <c r="G8" s="4">
        <v>1</v>
      </c>
      <c r="H8" s="4">
        <v>0.50851688795843586</v>
      </c>
      <c r="I8" s="4">
        <v>211</v>
      </c>
      <c r="J8" s="4" t="str">
        <f t="shared" si="3"/>
        <v>Control</v>
      </c>
      <c r="K8" s="18">
        <f>VLOOKUP(A8,'[1]Interim '!E:I,5,FALSE)*0.96</f>
        <v>756.48</v>
      </c>
      <c r="L8" s="31">
        <f t="shared" si="4"/>
        <v>3.2841379310344831</v>
      </c>
      <c r="M8" s="19">
        <f t="shared" si="5"/>
        <v>16.604743725254238</v>
      </c>
      <c r="N8" s="57">
        <f t="shared" si="6"/>
        <v>0.19778311459511544</v>
      </c>
      <c r="T8" s="28">
        <v>211</v>
      </c>
      <c r="U8" s="4">
        <v>1</v>
      </c>
      <c r="V8" s="4">
        <v>2</v>
      </c>
      <c r="W8" s="4">
        <v>0.44821536648615223</v>
      </c>
      <c r="X8" s="4" t="s">
        <v>21</v>
      </c>
      <c r="Y8" s="18">
        <f t="shared" si="1"/>
        <v>575.4</v>
      </c>
      <c r="Z8" s="18">
        <f t="shared" si="7"/>
        <v>743.99999999999989</v>
      </c>
      <c r="AA8" s="31">
        <f t="shared" si="8"/>
        <v>2.9068965517241376</v>
      </c>
      <c r="AB8" s="31">
        <f t="shared" si="9"/>
        <v>16.604743725254242</v>
      </c>
      <c r="AC8" s="57">
        <f t="shared" si="10"/>
        <v>0.1750642225994144</v>
      </c>
      <c r="AL8" s="4">
        <v>211</v>
      </c>
      <c r="AM8" s="31">
        <v>16.604743725254238</v>
      </c>
    </row>
    <row r="9" spans="1:39" x14ac:dyDescent="0.2">
      <c r="A9" s="16">
        <v>4739</v>
      </c>
      <c r="B9" s="17">
        <f>VLOOKUP(A9,'[1]Nebris 11.27'!E:I,5,FALSE)</f>
        <v>556</v>
      </c>
      <c r="C9" s="4">
        <f>VLOOKUP(A9,'[1]Nebris 11.28.23'!E:I,5,FALSE)</f>
        <v>554</v>
      </c>
      <c r="D9" s="56">
        <f t="shared" si="2"/>
        <v>2</v>
      </c>
      <c r="E9" s="18">
        <f t="shared" si="0"/>
        <v>555</v>
      </c>
      <c r="F9" s="4">
        <v>1</v>
      </c>
      <c r="G9" s="4">
        <v>1</v>
      </c>
      <c r="H9" s="4">
        <v>0.61147469111736896</v>
      </c>
      <c r="I9" s="4">
        <v>212</v>
      </c>
      <c r="J9" s="4" t="str">
        <f t="shared" si="3"/>
        <v>25% MDGS Variable</v>
      </c>
      <c r="K9" s="18">
        <f>VLOOKUP(A9,'[1]Interim '!E:I,5,FALSE)*0.96</f>
        <v>768</v>
      </c>
      <c r="L9" s="31">
        <f t="shared" si="4"/>
        <v>3.6724137931034484</v>
      </c>
      <c r="M9" s="19">
        <f t="shared" si="5"/>
        <v>19.734967466610168</v>
      </c>
      <c r="N9" s="57">
        <f t="shared" si="6"/>
        <v>0.18608664034115333</v>
      </c>
      <c r="T9" s="28">
        <v>212</v>
      </c>
      <c r="U9" s="4">
        <v>1</v>
      </c>
      <c r="V9" s="4">
        <v>2</v>
      </c>
      <c r="W9" s="4">
        <v>0.88326654905599544</v>
      </c>
      <c r="X9" s="4" t="s">
        <v>26</v>
      </c>
      <c r="Y9" s="18">
        <f t="shared" si="1"/>
        <v>575.6</v>
      </c>
      <c r="Z9" s="18">
        <f t="shared" si="7"/>
        <v>777.60000000000014</v>
      </c>
      <c r="AA9" s="31">
        <f t="shared" si="8"/>
        <v>3.4827586206896557</v>
      </c>
      <c r="AB9" s="31">
        <f t="shared" si="9"/>
        <v>19.734967466610165</v>
      </c>
      <c r="AC9" s="57">
        <f t="shared" si="10"/>
        <v>0.176476532154521</v>
      </c>
      <c r="AD9" s="62"/>
      <c r="AE9" s="62" t="s">
        <v>37</v>
      </c>
      <c r="AF9" s="63">
        <v>45316</v>
      </c>
      <c r="AG9" s="64"/>
      <c r="AH9" s="64"/>
      <c r="AI9" s="65"/>
      <c r="AL9" s="4">
        <v>212</v>
      </c>
      <c r="AM9" s="31">
        <v>19.734967466610168</v>
      </c>
    </row>
    <row r="10" spans="1:39" x14ac:dyDescent="0.2">
      <c r="A10" s="16">
        <v>4485</v>
      </c>
      <c r="B10" s="17">
        <f>VLOOKUP(A10,'[1]Nebris 11.27'!E:I,5,FALSE)</f>
        <v>556</v>
      </c>
      <c r="C10" s="4">
        <f>VLOOKUP(A10,'[1]Nebris 11.28.23'!E:I,5,FALSE)</f>
        <v>558</v>
      </c>
      <c r="D10" s="56">
        <f t="shared" si="2"/>
        <v>-2</v>
      </c>
      <c r="E10" s="18">
        <f t="shared" si="0"/>
        <v>557</v>
      </c>
      <c r="F10" s="4">
        <v>1</v>
      </c>
      <c r="G10" s="4">
        <v>1</v>
      </c>
      <c r="H10" s="4">
        <v>0.72506520083949644</v>
      </c>
      <c r="I10" s="4">
        <v>213</v>
      </c>
      <c r="J10" s="4" t="str">
        <f t="shared" si="3"/>
        <v>10% MDGS Variable</v>
      </c>
      <c r="K10" s="18">
        <f>VLOOKUP(A10,'[1]Interim '!E:I,5,FALSE)*0.96</f>
        <v>819.83999999999992</v>
      </c>
      <c r="L10" s="31">
        <f t="shared" si="4"/>
        <v>4.5317241379310333</v>
      </c>
      <c r="M10" s="19">
        <f t="shared" si="5"/>
        <v>19.380345288983047</v>
      </c>
      <c r="N10" s="57">
        <f t="shared" si="6"/>
        <v>0.23383092872484257</v>
      </c>
      <c r="T10" s="28">
        <v>213</v>
      </c>
      <c r="U10" s="4">
        <v>1</v>
      </c>
      <c r="V10" s="4">
        <v>2</v>
      </c>
      <c r="W10" s="4">
        <v>0.899465294879914</v>
      </c>
      <c r="X10" s="4" t="s">
        <v>24</v>
      </c>
      <c r="Y10" s="18">
        <f t="shared" si="1"/>
        <v>571.9</v>
      </c>
      <c r="Z10" s="18">
        <f t="shared" si="7"/>
        <v>784.70399999999995</v>
      </c>
      <c r="AA10" s="31">
        <f t="shared" si="8"/>
        <v>3.6690344827586201</v>
      </c>
      <c r="AB10" s="31">
        <f t="shared" si="9"/>
        <v>19.380345288983047</v>
      </c>
      <c r="AC10" s="57">
        <f t="shared" si="10"/>
        <v>0.18931729172257422</v>
      </c>
      <c r="AD10" s="28"/>
      <c r="AE10" s="66">
        <f>1350-AG7</f>
        <v>529.28746666666666</v>
      </c>
      <c r="AF10" s="29">
        <f>AE10/AH7</f>
        <v>162.5237682755598</v>
      </c>
      <c r="AH10" s="20"/>
      <c r="AI10" s="29"/>
      <c r="AL10" s="4">
        <v>213</v>
      </c>
      <c r="AM10" s="31">
        <v>19.380345288983047</v>
      </c>
    </row>
    <row r="11" spans="1:39" x14ac:dyDescent="0.2">
      <c r="A11" s="16">
        <v>4603</v>
      </c>
      <c r="B11" s="17">
        <f>VLOOKUP(A11,'[1]Nebris 11.27'!E:I,5,FALSE)</f>
        <v>554</v>
      </c>
      <c r="C11" s="4">
        <f>VLOOKUP(A11,'[1]Nebris 11.28.23'!E:I,5,FALSE)</f>
        <v>570</v>
      </c>
      <c r="D11" s="56">
        <f t="shared" si="2"/>
        <v>-16</v>
      </c>
      <c r="E11" s="18">
        <f t="shared" si="0"/>
        <v>562</v>
      </c>
      <c r="F11" s="4">
        <v>1</v>
      </c>
      <c r="G11" s="4">
        <v>1</v>
      </c>
      <c r="H11" s="4">
        <v>0.74773755288838117</v>
      </c>
      <c r="I11" s="4">
        <v>214</v>
      </c>
      <c r="J11" s="4" t="str">
        <f t="shared" si="3"/>
        <v xml:space="preserve">25% MDGS Constant </v>
      </c>
      <c r="K11" s="18">
        <f>VLOOKUP(A11,'[1]Interim '!E:I,5,FALSE)*0.96</f>
        <v>748.8</v>
      </c>
      <c r="L11" s="31">
        <f t="shared" si="4"/>
        <v>3.2206896551724129</v>
      </c>
      <c r="M11" s="19">
        <f t="shared" si="5"/>
        <v>19.209834211186443</v>
      </c>
      <c r="N11" s="57">
        <f t="shared" si="6"/>
        <v>0.16765837850369952</v>
      </c>
      <c r="T11" s="28">
        <v>214</v>
      </c>
      <c r="U11" s="4">
        <v>1</v>
      </c>
      <c r="V11" s="4">
        <v>2</v>
      </c>
      <c r="W11" s="4">
        <v>0.98038549740203373</v>
      </c>
      <c r="X11" s="4" t="s">
        <v>25</v>
      </c>
      <c r="Y11" s="18">
        <f t="shared" si="1"/>
        <v>574</v>
      </c>
      <c r="Z11" s="18">
        <f t="shared" si="7"/>
        <v>767.80799999999999</v>
      </c>
      <c r="AA11" s="31">
        <f t="shared" si="8"/>
        <v>3.3415172413793095</v>
      </c>
      <c r="AB11" s="31">
        <f t="shared" si="9"/>
        <v>19.20983421118644</v>
      </c>
      <c r="AC11" s="57">
        <f t="shared" si="10"/>
        <v>0.17394826028396679</v>
      </c>
      <c r="AD11" s="28"/>
      <c r="AE11" s="66">
        <f>1400-AG7</f>
        <v>579.28746666666666</v>
      </c>
      <c r="AF11" s="29">
        <f>AE11/AH7</f>
        <v>177.87683995313964</v>
      </c>
      <c r="AH11" s="20"/>
      <c r="AI11" s="29"/>
      <c r="AL11" s="4">
        <v>214</v>
      </c>
      <c r="AM11" s="31">
        <v>19.209834211186443</v>
      </c>
    </row>
    <row r="12" spans="1:39" x14ac:dyDescent="0.2">
      <c r="A12" s="16">
        <v>4683</v>
      </c>
      <c r="B12" s="17">
        <f>VLOOKUP(A12,'[1]Nebris 11.27'!E:I,5,FALSE)</f>
        <v>558</v>
      </c>
      <c r="C12" s="4">
        <f>VLOOKUP(A12,'[1]Nebris 11.28.23'!E:I,5,FALSE)</f>
        <v>550</v>
      </c>
      <c r="D12" s="56">
        <f t="shared" si="2"/>
        <v>8</v>
      </c>
      <c r="E12" s="18">
        <f t="shared" si="0"/>
        <v>554</v>
      </c>
      <c r="F12" s="4">
        <v>1</v>
      </c>
      <c r="G12" s="4">
        <v>2</v>
      </c>
      <c r="H12" s="4">
        <v>7.3321960657670715E-2</v>
      </c>
      <c r="I12" s="4">
        <v>205</v>
      </c>
      <c r="J12" s="4" t="str">
        <f t="shared" si="3"/>
        <v xml:space="preserve">10% MDGS Constant </v>
      </c>
      <c r="K12" s="18">
        <f>VLOOKUP(A12,'[1]Interim '!E:I,5,FALSE)*0.96</f>
        <v>700.8</v>
      </c>
      <c r="L12" s="31">
        <f t="shared" si="4"/>
        <v>2.5310344827586198</v>
      </c>
      <c r="M12" s="19">
        <f t="shared" si="5"/>
        <v>18.341718115932199</v>
      </c>
      <c r="N12" s="57">
        <f t="shared" si="6"/>
        <v>0.1379933148443756</v>
      </c>
      <c r="T12" s="28">
        <v>215</v>
      </c>
      <c r="U12" s="4">
        <v>2</v>
      </c>
      <c r="V12" s="4">
        <v>3</v>
      </c>
      <c r="W12" s="4">
        <v>0.27775313902274246</v>
      </c>
      <c r="X12" s="4" t="s">
        <v>24</v>
      </c>
      <c r="Y12" s="18">
        <f t="shared" si="1"/>
        <v>629.6</v>
      </c>
      <c r="Z12" s="18">
        <f t="shared" si="7"/>
        <v>793.15199999999993</v>
      </c>
      <c r="AA12" s="31">
        <f t="shared" si="8"/>
        <v>2.8198620689655174</v>
      </c>
      <c r="AB12" s="31">
        <f t="shared" si="9"/>
        <v>19.107699350338983</v>
      </c>
      <c r="AC12" s="57">
        <f t="shared" si="10"/>
        <v>0.1475772680563707</v>
      </c>
      <c r="AD12" s="28"/>
      <c r="AE12" s="66">
        <f>1450-AG7</f>
        <v>629.28746666666666</v>
      </c>
      <c r="AF12" s="29">
        <f>AE12/AH7</f>
        <v>193.2299116307195</v>
      </c>
      <c r="AH12" s="20"/>
      <c r="AI12" s="29"/>
      <c r="AL12" s="4">
        <v>215</v>
      </c>
      <c r="AM12" s="31">
        <v>19.107699350338986</v>
      </c>
    </row>
    <row r="13" spans="1:39" ht="16" thickBot="1" x14ac:dyDescent="0.25">
      <c r="A13" s="16">
        <v>4313</v>
      </c>
      <c r="B13" s="17">
        <f>VLOOKUP(A13,'[1]Nebris 11.27'!E:I,5,FALSE)</f>
        <v>560</v>
      </c>
      <c r="C13" s="4">
        <f>VLOOKUP(A13,'[1]Nebris 11.28.23'!E:I,5,FALSE)</f>
        <v>560</v>
      </c>
      <c r="D13" s="56">
        <f t="shared" si="2"/>
        <v>0</v>
      </c>
      <c r="E13" s="18">
        <f t="shared" si="0"/>
        <v>560</v>
      </c>
      <c r="F13" s="4">
        <v>1</v>
      </c>
      <c r="G13" s="4">
        <v>2</v>
      </c>
      <c r="H13" s="4">
        <v>8.0928873033758064E-2</v>
      </c>
      <c r="I13" s="4">
        <v>206</v>
      </c>
      <c r="J13" s="4" t="str">
        <f t="shared" si="3"/>
        <v>10% MDGS Variable</v>
      </c>
      <c r="K13" s="18">
        <f>VLOOKUP(A13,'[1]Interim '!E:I,5,FALSE)*0.96</f>
        <v>721.92</v>
      </c>
      <c r="L13" s="31">
        <f t="shared" si="4"/>
        <v>2.7917241379310336</v>
      </c>
      <c r="M13" s="19">
        <f t="shared" si="5"/>
        <v>18.076575727457623</v>
      </c>
      <c r="N13" s="57">
        <f t="shared" si="6"/>
        <v>0.15443877092775443</v>
      </c>
      <c r="T13" s="28">
        <v>216</v>
      </c>
      <c r="U13" s="4">
        <v>2</v>
      </c>
      <c r="V13" s="4">
        <v>3</v>
      </c>
      <c r="W13" s="4">
        <v>0.51430710986017214</v>
      </c>
      <c r="X13" s="4" t="s">
        <v>22</v>
      </c>
      <c r="Y13" s="18">
        <f t="shared" si="1"/>
        <v>625.1</v>
      </c>
      <c r="Z13" s="18">
        <f t="shared" si="7"/>
        <v>813.50399999999991</v>
      </c>
      <c r="AA13" s="31">
        <f t="shared" si="8"/>
        <v>3.2483448275862061</v>
      </c>
      <c r="AB13" s="31">
        <f t="shared" si="9"/>
        <v>20.398789655593223</v>
      </c>
      <c r="AC13" s="57">
        <f t="shared" si="10"/>
        <v>0.15924203751449198</v>
      </c>
      <c r="AD13" s="28"/>
      <c r="AE13" s="67">
        <f>1500-AG7</f>
        <v>679.28746666666666</v>
      </c>
      <c r="AF13" s="41">
        <f>AE13/AH7</f>
        <v>208.58298330829936</v>
      </c>
      <c r="AH13" s="20"/>
      <c r="AI13" s="29"/>
      <c r="AL13" s="4">
        <v>216</v>
      </c>
      <c r="AM13" s="31">
        <v>20.398789655593223</v>
      </c>
    </row>
    <row r="14" spans="1:39" ht="16" thickBot="1" x14ac:dyDescent="0.25">
      <c r="A14" s="16">
        <v>4418</v>
      </c>
      <c r="B14" s="17">
        <f>VLOOKUP(A14,'[1]Nebris 11.27'!E:I,5,FALSE)</f>
        <v>558</v>
      </c>
      <c r="C14" s="4">
        <f>VLOOKUP(A14,'[1]Nebris 11.28.23'!E:I,5,FALSE)</f>
        <v>586</v>
      </c>
      <c r="D14" s="56">
        <f t="shared" si="2"/>
        <v>-28</v>
      </c>
      <c r="E14" s="18">
        <f t="shared" si="0"/>
        <v>572</v>
      </c>
      <c r="F14" s="4">
        <v>1</v>
      </c>
      <c r="G14" s="4">
        <v>2</v>
      </c>
      <c r="H14" s="4">
        <v>8.6370454462972202E-2</v>
      </c>
      <c r="I14" s="4">
        <v>207</v>
      </c>
      <c r="J14" s="4" t="str">
        <f t="shared" si="3"/>
        <v>Control</v>
      </c>
      <c r="K14" s="18">
        <f>VLOOKUP(A14,'[1]Interim '!E:I,5,FALSE)*0.96</f>
        <v>741.12</v>
      </c>
      <c r="L14" s="31">
        <f t="shared" si="4"/>
        <v>2.9158620689655175</v>
      </c>
      <c r="M14" s="19">
        <f t="shared" si="5"/>
        <v>18.548330779491526</v>
      </c>
      <c r="N14" s="57">
        <f t="shared" si="6"/>
        <v>0.15720347580761934</v>
      </c>
      <c r="T14" s="28">
        <v>301</v>
      </c>
      <c r="U14" s="4">
        <v>2</v>
      </c>
      <c r="V14" s="4">
        <v>3</v>
      </c>
      <c r="W14" s="4">
        <v>0.8299123530357152</v>
      </c>
      <c r="X14" s="4" t="s">
        <v>25</v>
      </c>
      <c r="Y14" s="18">
        <f t="shared" si="1"/>
        <v>627.9</v>
      </c>
      <c r="Z14" s="18">
        <f t="shared" si="7"/>
        <v>811.00799999999992</v>
      </c>
      <c r="AA14" s="31">
        <f t="shared" si="8"/>
        <v>3.1570344827586201</v>
      </c>
      <c r="AB14" s="31">
        <f t="shared" si="9"/>
        <v>19.764340823559326</v>
      </c>
      <c r="AC14" s="57">
        <f t="shared" si="10"/>
        <v>0.15973386165226408</v>
      </c>
      <c r="AD14" s="28"/>
      <c r="AI14" s="29"/>
      <c r="AL14" s="4">
        <v>301</v>
      </c>
      <c r="AM14" s="31">
        <v>19.764340823559323</v>
      </c>
    </row>
    <row r="15" spans="1:39" x14ac:dyDescent="0.2">
      <c r="A15" s="16">
        <v>4376</v>
      </c>
      <c r="B15" s="17">
        <f>VLOOKUP(A15,'[1]Nebris 11.27'!E:I,5,FALSE)</f>
        <v>560</v>
      </c>
      <c r="C15" s="4">
        <f>VLOOKUP(A15,'[1]Nebris 11.28.23'!E:I,5,FALSE)</f>
        <v>580</v>
      </c>
      <c r="D15" s="56">
        <f t="shared" si="2"/>
        <v>-20</v>
      </c>
      <c r="E15" s="18">
        <f t="shared" si="0"/>
        <v>570</v>
      </c>
      <c r="F15" s="4">
        <v>1</v>
      </c>
      <c r="G15" s="4">
        <v>2</v>
      </c>
      <c r="H15" s="4">
        <v>0.51308818843726045</v>
      </c>
      <c r="I15" s="4">
        <v>208</v>
      </c>
      <c r="J15" s="4" t="str">
        <f t="shared" si="3"/>
        <v>25% MDGS Variable</v>
      </c>
      <c r="K15" s="18">
        <f>VLOOKUP(A15,'[1]Interim '!E:I,5,FALSE)*0.96</f>
        <v>775.68</v>
      </c>
      <c r="L15" s="31">
        <f t="shared" si="4"/>
        <v>3.5462068965517233</v>
      </c>
      <c r="M15" s="19">
        <f t="shared" si="5"/>
        <v>20.130156931525423</v>
      </c>
      <c r="N15" s="57">
        <f t="shared" si="6"/>
        <v>0.17616389721225084</v>
      </c>
      <c r="T15" s="28">
        <v>302</v>
      </c>
      <c r="U15" s="4">
        <v>2</v>
      </c>
      <c r="V15" s="4">
        <v>3</v>
      </c>
      <c r="W15" s="4">
        <v>0.97311400246285151</v>
      </c>
      <c r="X15" s="4" t="s">
        <v>26</v>
      </c>
      <c r="Y15" s="18">
        <f t="shared" si="1"/>
        <v>628.55555555555554</v>
      </c>
      <c r="Z15" s="18">
        <f t="shared" si="7"/>
        <v>784.21333333333337</v>
      </c>
      <c r="AA15" s="31">
        <f t="shared" si="8"/>
        <v>2.6837547892720304</v>
      </c>
      <c r="AB15" s="31">
        <f t="shared" si="9"/>
        <v>18.146163789943504</v>
      </c>
      <c r="AC15" s="57">
        <f t="shared" si="10"/>
        <v>0.14789653727028251</v>
      </c>
      <c r="AD15" s="62"/>
      <c r="AE15" s="53">
        <v>3.3</v>
      </c>
      <c r="AF15" s="53">
        <v>1300</v>
      </c>
      <c r="AG15" s="53">
        <v>1350</v>
      </c>
      <c r="AH15" s="53">
        <v>1400</v>
      </c>
      <c r="AI15" s="55">
        <v>1450</v>
      </c>
      <c r="AL15" s="4">
        <v>302</v>
      </c>
      <c r="AM15" s="31">
        <v>18.146163789943504</v>
      </c>
    </row>
    <row r="16" spans="1:39" x14ac:dyDescent="0.2">
      <c r="A16" s="16">
        <v>4605</v>
      </c>
      <c r="B16" s="17">
        <f>VLOOKUP(A16,'[1]Nebris 11.27'!E:I,5,FALSE)</f>
        <v>558</v>
      </c>
      <c r="C16" s="4">
        <f>VLOOKUP(A16,'[1]Nebris 11.28.23'!E:I,5,FALSE)</f>
        <v>558</v>
      </c>
      <c r="D16" s="56">
        <f t="shared" si="2"/>
        <v>0</v>
      </c>
      <c r="E16" s="18">
        <f t="shared" si="0"/>
        <v>558</v>
      </c>
      <c r="F16" s="4">
        <v>1</v>
      </c>
      <c r="G16" s="4">
        <v>2</v>
      </c>
      <c r="H16" s="4">
        <v>0.54242732325118459</v>
      </c>
      <c r="I16" s="4">
        <v>209</v>
      </c>
      <c r="J16" s="4" t="str">
        <f t="shared" si="3"/>
        <v xml:space="preserve">25% MDGS Constant </v>
      </c>
      <c r="K16" s="18">
        <f>VLOOKUP(A16,'[1]Interim '!E:I,5,FALSE)*0.96</f>
        <v>746.88</v>
      </c>
      <c r="L16" s="31">
        <f t="shared" si="4"/>
        <v>3.2565517241379309</v>
      </c>
      <c r="M16" s="19">
        <f t="shared" si="5"/>
        <v>19.349136979491519</v>
      </c>
      <c r="N16" s="57">
        <f t="shared" si="6"/>
        <v>0.16830475320886951</v>
      </c>
      <c r="T16" s="28">
        <v>303</v>
      </c>
      <c r="U16" s="4">
        <v>2</v>
      </c>
      <c r="V16" s="4">
        <v>3</v>
      </c>
      <c r="W16" s="4">
        <v>0.97591177694389664</v>
      </c>
      <c r="X16" s="4" t="s">
        <v>21</v>
      </c>
      <c r="Y16" s="18">
        <f t="shared" si="1"/>
        <v>627.29999999999995</v>
      </c>
      <c r="Z16" s="18">
        <f t="shared" si="7"/>
        <v>793.34399999999994</v>
      </c>
      <c r="AA16" s="31">
        <f t="shared" si="8"/>
        <v>2.8628275862068961</v>
      </c>
      <c r="AB16" s="31">
        <f t="shared" si="9"/>
        <v>18.063320037796611</v>
      </c>
      <c r="AC16" s="57">
        <f t="shared" si="10"/>
        <v>0.15848844953289704</v>
      </c>
      <c r="AD16" s="68" t="s">
        <v>38</v>
      </c>
      <c r="AE16" s="5">
        <v>760</v>
      </c>
      <c r="AF16" s="4">
        <f>AF15-AE16</f>
        <v>540</v>
      </c>
      <c r="AG16" s="4">
        <f>1350-AE16</f>
        <v>590</v>
      </c>
      <c r="AH16" s="4">
        <f>1400-AE16</f>
        <v>640</v>
      </c>
      <c r="AI16" s="29">
        <f>1450-AE16</f>
        <v>690</v>
      </c>
      <c r="AL16" s="4">
        <v>303</v>
      </c>
      <c r="AM16" s="31">
        <v>18.063320037796611</v>
      </c>
    </row>
    <row r="17" spans="1:39" x14ac:dyDescent="0.2">
      <c r="A17" s="16">
        <v>4337</v>
      </c>
      <c r="B17" s="17">
        <f>VLOOKUP(A17,'[1]Nebris 11.27'!E:I,5,FALSE)</f>
        <v>558</v>
      </c>
      <c r="C17" s="4">
        <f>VLOOKUP(A17,'[1]Nebris 11.28.23'!E:I,5,FALSE)</f>
        <v>574</v>
      </c>
      <c r="D17" s="56">
        <f t="shared" si="2"/>
        <v>-16</v>
      </c>
      <c r="E17" s="18">
        <f t="shared" si="0"/>
        <v>566</v>
      </c>
      <c r="F17" s="4">
        <v>1</v>
      </c>
      <c r="G17" s="4">
        <v>2</v>
      </c>
      <c r="H17" s="4">
        <v>0.62471380755587369</v>
      </c>
      <c r="I17" s="4">
        <v>210</v>
      </c>
      <c r="J17" s="4" t="str">
        <f t="shared" si="3"/>
        <v xml:space="preserve">10% MDGS Constant </v>
      </c>
      <c r="K17" s="18">
        <f>VLOOKUP(A17,'[1]Interim '!E:I,5,FALSE)*0.96</f>
        <v>696.95999999999992</v>
      </c>
      <c r="L17" s="31">
        <f t="shared" si="4"/>
        <v>2.2579310344827572</v>
      </c>
      <c r="M17" s="19">
        <f t="shared" si="5"/>
        <v>17.600603800338984</v>
      </c>
      <c r="N17" s="57">
        <f t="shared" si="6"/>
        <v>0.12828713492427288</v>
      </c>
      <c r="T17" s="28">
        <v>304</v>
      </c>
      <c r="U17" s="4">
        <v>2</v>
      </c>
      <c r="V17" s="4">
        <v>4</v>
      </c>
      <c r="W17" s="4">
        <v>1.3447880093540587E-2</v>
      </c>
      <c r="X17" s="4" t="s">
        <v>24</v>
      </c>
      <c r="Y17" s="18">
        <f t="shared" si="1"/>
        <v>628.1</v>
      </c>
      <c r="Z17" s="18">
        <f t="shared" si="7"/>
        <v>772.03199999999993</v>
      </c>
      <c r="AA17" s="31">
        <f t="shared" si="8"/>
        <v>2.4815862068965506</v>
      </c>
      <c r="AB17" s="31">
        <f t="shared" si="9"/>
        <v>18.555515762033895</v>
      </c>
      <c r="AC17" s="57">
        <f t="shared" si="10"/>
        <v>0.13373846562508818</v>
      </c>
      <c r="AD17" s="68" t="s">
        <v>39</v>
      </c>
      <c r="AE17" s="5">
        <v>812</v>
      </c>
      <c r="AF17" s="4">
        <f>AF15-AE17</f>
        <v>488</v>
      </c>
      <c r="AG17" s="4">
        <f>1350-AE17</f>
        <v>538</v>
      </c>
      <c r="AH17" s="4">
        <f>1400-AE17</f>
        <v>588</v>
      </c>
      <c r="AI17" s="29">
        <f>1450-AE17</f>
        <v>638</v>
      </c>
      <c r="AL17" s="4">
        <v>304</v>
      </c>
      <c r="AM17" s="31">
        <v>18.555515762033892</v>
      </c>
    </row>
    <row r="18" spans="1:39" ht="16" thickBot="1" x14ac:dyDescent="0.25">
      <c r="A18" s="16">
        <v>4365</v>
      </c>
      <c r="B18" s="17">
        <f>VLOOKUP(A18,'[1]Nebris 11.27'!E:I,5,FALSE)</f>
        <v>558</v>
      </c>
      <c r="C18" s="4">
        <f>VLOOKUP(A18,'[1]Nebris 11.28.23'!E:I,5,FALSE)</f>
        <v>574</v>
      </c>
      <c r="D18" s="56">
        <f t="shared" si="2"/>
        <v>-16</v>
      </c>
      <c r="E18" s="18">
        <f t="shared" si="0"/>
        <v>566</v>
      </c>
      <c r="F18" s="4">
        <v>1</v>
      </c>
      <c r="G18" s="4">
        <v>2</v>
      </c>
      <c r="H18" s="4">
        <v>0.71135621641375435</v>
      </c>
      <c r="I18" s="4">
        <v>211</v>
      </c>
      <c r="J18" s="4" t="str">
        <f t="shared" si="3"/>
        <v>Control</v>
      </c>
      <c r="K18" s="18">
        <f>VLOOKUP(A18,'[1]Interim '!E:I,5,FALSE)*0.96</f>
        <v>746.88</v>
      </c>
      <c r="L18" s="31">
        <f t="shared" si="4"/>
        <v>3.1186206896551725</v>
      </c>
      <c r="M18" s="19">
        <f t="shared" si="5"/>
        <v>16.604743725254238</v>
      </c>
      <c r="N18" s="57">
        <f t="shared" si="6"/>
        <v>0.18781504498091389</v>
      </c>
      <c r="T18" s="28">
        <v>305</v>
      </c>
      <c r="U18" s="4">
        <v>2</v>
      </c>
      <c r="V18" s="4">
        <v>4</v>
      </c>
      <c r="W18" s="4">
        <v>0.43508578911708573</v>
      </c>
      <c r="X18" s="4" t="s">
        <v>22</v>
      </c>
      <c r="Y18" s="18">
        <f t="shared" si="1"/>
        <v>626.29999999999995</v>
      </c>
      <c r="Z18" s="18">
        <f t="shared" si="7"/>
        <v>804.4799999999999</v>
      </c>
      <c r="AA18" s="31">
        <f t="shared" si="8"/>
        <v>3.0720689655172411</v>
      </c>
      <c r="AB18" s="31">
        <f t="shared" si="9"/>
        <v>18.368632711016947</v>
      </c>
      <c r="AC18" s="57">
        <f t="shared" si="10"/>
        <v>0.16724538041825551</v>
      </c>
      <c r="AD18" s="69" t="s">
        <v>40</v>
      </c>
      <c r="AE18" s="70">
        <v>899</v>
      </c>
      <c r="AF18" s="40">
        <f>AF15-AE18</f>
        <v>401</v>
      </c>
      <c r="AG18" s="40">
        <f>1350-AE18</f>
        <v>451</v>
      </c>
      <c r="AH18" s="40">
        <f>1400-AE18</f>
        <v>501</v>
      </c>
      <c r="AI18" s="41">
        <f>1450-AE18</f>
        <v>551</v>
      </c>
      <c r="AL18" s="4">
        <v>305</v>
      </c>
      <c r="AM18" s="31">
        <v>18.368632711016947</v>
      </c>
    </row>
    <row r="19" spans="1:39" ht="16" thickBot="1" x14ac:dyDescent="0.25">
      <c r="A19" s="16">
        <v>4502</v>
      </c>
      <c r="B19" s="17">
        <f>VLOOKUP(A19,'[1]Nebris 11.27'!E:I,5,FALSE)</f>
        <v>558</v>
      </c>
      <c r="C19" s="4">
        <f>VLOOKUP(A19,'[1]Nebris 11.28.23'!E:I,5,FALSE)</f>
        <v>570</v>
      </c>
      <c r="D19" s="56">
        <f t="shared" si="2"/>
        <v>-12</v>
      </c>
      <c r="E19" s="18">
        <f t="shared" si="0"/>
        <v>564</v>
      </c>
      <c r="F19" s="4">
        <v>1</v>
      </c>
      <c r="G19" s="4">
        <v>2</v>
      </c>
      <c r="H19" s="4">
        <v>0.83731891540621561</v>
      </c>
      <c r="I19" s="4">
        <v>212</v>
      </c>
      <c r="J19" s="4" t="str">
        <f t="shared" si="3"/>
        <v>25% MDGS Variable</v>
      </c>
      <c r="K19" s="18">
        <f>VLOOKUP(A19,'[1]Interim '!E:I,5,FALSE)*0.96</f>
        <v>779.52</v>
      </c>
      <c r="L19" s="31">
        <f t="shared" si="4"/>
        <v>3.7158620689655169</v>
      </c>
      <c r="M19" s="19">
        <f t="shared" si="5"/>
        <v>19.734967466610168</v>
      </c>
      <c r="N19" s="57">
        <f t="shared" si="6"/>
        <v>0.18828822876209089</v>
      </c>
      <c r="T19" s="28">
        <v>306</v>
      </c>
      <c r="U19" s="4">
        <v>2</v>
      </c>
      <c r="V19" s="4">
        <v>4</v>
      </c>
      <c r="W19" s="4">
        <v>0.48109752847975773</v>
      </c>
      <c r="X19" s="4" t="s">
        <v>21</v>
      </c>
      <c r="Y19" s="18">
        <f t="shared" si="1"/>
        <v>625.66666666666663</v>
      </c>
      <c r="Z19" s="18">
        <f t="shared" si="7"/>
        <v>802.56</v>
      </c>
      <c r="AA19" s="31">
        <f t="shared" si="8"/>
        <v>3.0498850574712644</v>
      </c>
      <c r="AB19" s="31">
        <f t="shared" si="9"/>
        <v>19.337783459491533</v>
      </c>
      <c r="AC19" s="57">
        <f t="shared" si="10"/>
        <v>0.15771637239914868</v>
      </c>
      <c r="AD19" s="28"/>
      <c r="AI19" s="29"/>
      <c r="AL19" s="4">
        <v>306</v>
      </c>
      <c r="AM19" s="31">
        <v>19.337783459491533</v>
      </c>
    </row>
    <row r="20" spans="1:39" x14ac:dyDescent="0.2">
      <c r="A20" s="16">
        <v>4755</v>
      </c>
      <c r="B20" s="17">
        <f>VLOOKUP(A20,'[1]Nebris 11.27'!E:I,5,FALSE)</f>
        <v>558</v>
      </c>
      <c r="C20" s="4">
        <f>VLOOKUP(A20,'[1]Nebris 11.28.23'!E:I,5,FALSE)</f>
        <v>544</v>
      </c>
      <c r="D20" s="56">
        <f t="shared" si="2"/>
        <v>14</v>
      </c>
      <c r="E20" s="18">
        <f t="shared" si="0"/>
        <v>551</v>
      </c>
      <c r="F20" s="4">
        <v>1</v>
      </c>
      <c r="G20" s="4">
        <v>2</v>
      </c>
      <c r="H20" s="4">
        <v>0.8643499963097353</v>
      </c>
      <c r="I20" s="4">
        <v>213</v>
      </c>
      <c r="J20" s="4" t="str">
        <f t="shared" si="3"/>
        <v>10% MDGS Variable</v>
      </c>
      <c r="K20" s="18">
        <f>VLOOKUP(A20,'[1]Interim '!E:I,5,FALSE)*0.96</f>
        <v>762.24</v>
      </c>
      <c r="L20" s="31">
        <f t="shared" si="4"/>
        <v>3.6420689655172414</v>
      </c>
      <c r="M20" s="19">
        <f t="shared" si="5"/>
        <v>19.380345288983047</v>
      </c>
      <c r="N20" s="57">
        <f t="shared" si="6"/>
        <v>0.18792590695417652</v>
      </c>
      <c r="T20" s="28">
        <v>307</v>
      </c>
      <c r="U20" s="4">
        <v>2</v>
      </c>
      <c r="V20" s="4">
        <v>4</v>
      </c>
      <c r="W20" s="4">
        <v>0.54707951933961074</v>
      </c>
      <c r="X20" s="4" t="s">
        <v>26</v>
      </c>
      <c r="Y20" s="18">
        <f t="shared" si="1"/>
        <v>624.70000000000005</v>
      </c>
      <c r="Z20" s="18">
        <f t="shared" si="7"/>
        <v>802.17599999999982</v>
      </c>
      <c r="AA20" s="31">
        <f t="shared" si="8"/>
        <v>3.0599310344827577</v>
      </c>
      <c r="AB20" s="31">
        <f t="shared" si="9"/>
        <v>19.036105591355941</v>
      </c>
      <c r="AC20" s="57">
        <f t="shared" si="10"/>
        <v>0.16074354178158351</v>
      </c>
      <c r="AD20" s="28"/>
      <c r="AE20" s="62" t="s">
        <v>41</v>
      </c>
      <c r="AF20" s="71">
        <f>AF16/AE15</f>
        <v>163.63636363636365</v>
      </c>
      <c r="AG20" s="71">
        <f>AG16/AE15</f>
        <v>178.78787878787881</v>
      </c>
      <c r="AH20" s="71">
        <f>AH16/AE15</f>
        <v>193.93939393939394</v>
      </c>
      <c r="AI20" s="65">
        <f>AI16/AE15</f>
        <v>209.09090909090909</v>
      </c>
      <c r="AL20" s="4">
        <v>307</v>
      </c>
      <c r="AM20" s="31">
        <v>19.036105591355938</v>
      </c>
    </row>
    <row r="21" spans="1:39" x14ac:dyDescent="0.2">
      <c r="A21" s="16">
        <v>4460</v>
      </c>
      <c r="B21" s="17">
        <f>VLOOKUP(A21,'[1]Nebris 11.27'!E:I,5,FALSE)</f>
        <v>560</v>
      </c>
      <c r="C21" s="4">
        <f>VLOOKUP(A21,'[1]Nebris 11.28.23'!E:I,5,FALSE)</f>
        <v>552</v>
      </c>
      <c r="D21" s="56">
        <f t="shared" si="2"/>
        <v>8</v>
      </c>
      <c r="E21" s="18">
        <f t="shared" si="0"/>
        <v>556</v>
      </c>
      <c r="F21" s="4">
        <v>1</v>
      </c>
      <c r="G21" s="4">
        <v>2</v>
      </c>
      <c r="H21" s="4">
        <v>0.9146454426331827</v>
      </c>
      <c r="I21" s="4">
        <v>214</v>
      </c>
      <c r="J21" s="4" t="str">
        <f t="shared" si="3"/>
        <v xml:space="preserve">25% MDGS Constant </v>
      </c>
      <c r="K21" s="18">
        <f>VLOOKUP(A21,'[1]Interim '!E:I,5,FALSE)*0.96</f>
        <v>771.83999999999992</v>
      </c>
      <c r="L21" s="31">
        <f t="shared" si="4"/>
        <v>3.7213793103448261</v>
      </c>
      <c r="M21" s="19">
        <f t="shared" si="5"/>
        <v>19.209834211186443</v>
      </c>
      <c r="N21" s="57">
        <f t="shared" si="6"/>
        <v>0.1937226146479577</v>
      </c>
      <c r="T21" s="28">
        <v>308</v>
      </c>
      <c r="U21" s="4">
        <v>2</v>
      </c>
      <c r="V21" s="4">
        <v>4</v>
      </c>
      <c r="W21" s="4">
        <v>0.88115405279948733</v>
      </c>
      <c r="X21" s="4" t="s">
        <v>25</v>
      </c>
      <c r="Y21" s="18">
        <f t="shared" si="1"/>
        <v>626.70000000000005</v>
      </c>
      <c r="Z21" s="18">
        <f t="shared" si="7"/>
        <v>804.48</v>
      </c>
      <c r="AA21" s="31">
        <f t="shared" si="8"/>
        <v>3.0651724137931029</v>
      </c>
      <c r="AB21" s="31">
        <f t="shared" si="9"/>
        <v>19.826311333050853</v>
      </c>
      <c r="AC21" s="57">
        <f t="shared" si="10"/>
        <v>0.15460124489639179</v>
      </c>
      <c r="AD21" s="28"/>
      <c r="AE21" s="28" t="s">
        <v>39</v>
      </c>
      <c r="AF21" s="4">
        <f>AF17/AE15</f>
        <v>147.87878787878788</v>
      </c>
      <c r="AG21" s="4">
        <f>AG17/AE15</f>
        <v>163.03030303030303</v>
      </c>
      <c r="AH21" s="4">
        <f>AH17/AE15</f>
        <v>178.18181818181819</v>
      </c>
      <c r="AI21" s="29">
        <f>AI17/AE15</f>
        <v>193.33333333333334</v>
      </c>
      <c r="AL21" s="4">
        <v>308</v>
      </c>
      <c r="AM21" s="31">
        <v>19.826311333050853</v>
      </c>
    </row>
    <row r="22" spans="1:39" ht="16" thickBot="1" x14ac:dyDescent="0.25">
      <c r="A22" s="16">
        <v>4317</v>
      </c>
      <c r="B22" s="17">
        <f>VLOOKUP(A22,'[1]Nebris 11.27'!E:I,5,FALSE)</f>
        <v>562</v>
      </c>
      <c r="C22" s="4">
        <f>VLOOKUP(A22,'[1]Nebris 11.28.23'!E:I,5,FALSE)</f>
        <v>564</v>
      </c>
      <c r="D22" s="56">
        <f t="shared" si="2"/>
        <v>-2</v>
      </c>
      <c r="E22" s="18">
        <f t="shared" si="0"/>
        <v>563</v>
      </c>
      <c r="F22" s="4">
        <v>1</v>
      </c>
      <c r="G22" s="4">
        <v>3</v>
      </c>
      <c r="H22" s="4">
        <v>0.11651433749690687</v>
      </c>
      <c r="I22" s="4">
        <v>205</v>
      </c>
      <c r="J22" s="4" t="str">
        <f t="shared" si="3"/>
        <v xml:space="preserve">10% MDGS Constant </v>
      </c>
      <c r="K22" s="18">
        <f>VLOOKUP(A22,'[1]Interim '!E:I,5,FALSE)*0.96</f>
        <v>735.36</v>
      </c>
      <c r="L22" s="31">
        <f t="shared" si="4"/>
        <v>2.9717241379310346</v>
      </c>
      <c r="M22" s="19">
        <f t="shared" si="5"/>
        <v>18.341718115932199</v>
      </c>
      <c r="N22" s="57">
        <f t="shared" si="6"/>
        <v>0.16201994377776968</v>
      </c>
      <c r="T22" s="28">
        <v>309</v>
      </c>
      <c r="U22" s="4">
        <v>2</v>
      </c>
      <c r="V22" s="4">
        <v>5</v>
      </c>
      <c r="W22" s="4">
        <v>5.9719457217145222E-2</v>
      </c>
      <c r="X22" s="4" t="s">
        <v>21</v>
      </c>
      <c r="Y22" s="18">
        <f t="shared" si="1"/>
        <v>626.70000000000005</v>
      </c>
      <c r="Z22" s="18">
        <f t="shared" si="7"/>
        <v>842.87999999999988</v>
      </c>
      <c r="AA22" s="31">
        <f t="shared" si="8"/>
        <v>3.7272413793103447</v>
      </c>
      <c r="AB22" s="31">
        <f t="shared" si="9"/>
        <v>19.729599065254234</v>
      </c>
      <c r="AC22" s="57">
        <f t="shared" si="10"/>
        <v>0.18891622515910031</v>
      </c>
      <c r="AD22" s="28"/>
      <c r="AE22" s="39" t="s">
        <v>40</v>
      </c>
      <c r="AF22" s="40">
        <f>AF18/AE15</f>
        <v>121.51515151515152</v>
      </c>
      <c r="AG22" s="40">
        <f>AG18/AE15</f>
        <v>136.66666666666669</v>
      </c>
      <c r="AH22" s="40">
        <f>AH18/AE15</f>
        <v>151.81818181818181</v>
      </c>
      <c r="AI22" s="41">
        <f>AI18/AE15</f>
        <v>166.96969696969697</v>
      </c>
      <c r="AL22" s="4">
        <v>309</v>
      </c>
      <c r="AM22" s="31">
        <v>19.729599065254234</v>
      </c>
    </row>
    <row r="23" spans="1:39" ht="16" thickBot="1" x14ac:dyDescent="0.25">
      <c r="A23" s="16">
        <v>4333</v>
      </c>
      <c r="B23" s="17">
        <f>VLOOKUP(A23,'[1]Nebris 11.27'!E:I,5,FALSE)</f>
        <v>564</v>
      </c>
      <c r="C23" s="4">
        <f>VLOOKUP(A23,'[1]Nebris 11.28.23'!E:I,5,FALSE)</f>
        <v>570</v>
      </c>
      <c r="D23" s="56">
        <f t="shared" si="2"/>
        <v>-6</v>
      </c>
      <c r="E23" s="18">
        <f t="shared" si="0"/>
        <v>567</v>
      </c>
      <c r="F23" s="4">
        <v>1</v>
      </c>
      <c r="G23" s="4">
        <v>3</v>
      </c>
      <c r="H23" s="4">
        <v>0.1335462496522577</v>
      </c>
      <c r="I23" s="4">
        <v>206</v>
      </c>
      <c r="J23" s="4" t="str">
        <f t="shared" si="3"/>
        <v>10% MDGS Variable</v>
      </c>
      <c r="K23" s="18">
        <f>VLOOKUP(A23,'[1]Interim '!E:I,5,FALSE)*0.96</f>
        <v>689.28</v>
      </c>
      <c r="L23" s="31">
        <f t="shared" si="4"/>
        <v>2.108275862068965</v>
      </c>
      <c r="M23" s="19">
        <f t="shared" si="5"/>
        <v>18.076575727457623</v>
      </c>
      <c r="N23" s="57">
        <f t="shared" si="6"/>
        <v>0.11663026747187384</v>
      </c>
      <c r="T23" s="28">
        <v>310</v>
      </c>
      <c r="U23" s="4">
        <v>2</v>
      </c>
      <c r="V23" s="4">
        <v>5</v>
      </c>
      <c r="W23" s="4">
        <v>7.244733983965379E-2</v>
      </c>
      <c r="X23" s="4" t="s">
        <v>24</v>
      </c>
      <c r="Y23" s="18">
        <f t="shared" si="1"/>
        <v>629</v>
      </c>
      <c r="Z23" s="18">
        <f t="shared" si="7"/>
        <v>831.74400000000003</v>
      </c>
      <c r="AA23" s="31">
        <f t="shared" si="8"/>
        <v>3.4955862068965509</v>
      </c>
      <c r="AB23" s="31">
        <f t="shared" si="9"/>
        <v>20.764816593728803</v>
      </c>
      <c r="AC23" s="57">
        <f t="shared" si="10"/>
        <v>0.16834178096965496</v>
      </c>
      <c r="AD23" s="28"/>
      <c r="AI23" s="29"/>
      <c r="AL23" s="4">
        <v>311</v>
      </c>
      <c r="AM23" s="31">
        <v>21.070004804237286</v>
      </c>
    </row>
    <row r="24" spans="1:39" x14ac:dyDescent="0.2">
      <c r="A24" s="16">
        <v>4700</v>
      </c>
      <c r="B24" s="17">
        <f>VLOOKUP(A24,'[1]Nebris 11.27'!E:I,5,FALSE)</f>
        <v>564</v>
      </c>
      <c r="C24" s="4">
        <f>VLOOKUP(A24,'[1]Nebris 11.28.23'!E:I,5,FALSE)</f>
        <v>570</v>
      </c>
      <c r="D24" s="56">
        <f t="shared" si="2"/>
        <v>-6</v>
      </c>
      <c r="E24" s="18">
        <f t="shared" si="0"/>
        <v>567</v>
      </c>
      <c r="F24" s="4">
        <v>1</v>
      </c>
      <c r="G24" s="4">
        <v>3</v>
      </c>
      <c r="H24" s="4">
        <v>0.13431988002208206</v>
      </c>
      <c r="I24" s="4">
        <v>207</v>
      </c>
      <c r="J24" s="4" t="str">
        <f t="shared" si="3"/>
        <v>Control</v>
      </c>
      <c r="K24" s="18">
        <f>VLOOKUP(A24,'[1]Interim '!E:I,5,FALSE)*0.96</f>
        <v>768</v>
      </c>
      <c r="L24" s="31">
        <f t="shared" si="4"/>
        <v>3.4655172413793105</v>
      </c>
      <c r="M24" s="19">
        <f t="shared" si="5"/>
        <v>18.548330779491526</v>
      </c>
      <c r="N24" s="57">
        <f t="shared" si="6"/>
        <v>0.18683714899084372</v>
      </c>
      <c r="T24" s="28">
        <v>311</v>
      </c>
      <c r="U24" s="4">
        <v>2</v>
      </c>
      <c r="V24" s="4">
        <v>5</v>
      </c>
      <c r="W24" s="4">
        <v>0.66857659713571027</v>
      </c>
      <c r="X24" s="4" t="s">
        <v>22</v>
      </c>
      <c r="Y24" s="18">
        <f t="shared" si="1"/>
        <v>631.29999999999995</v>
      </c>
      <c r="Z24" s="18">
        <f t="shared" si="7"/>
        <v>822.14400000000001</v>
      </c>
      <c r="AA24" s="31">
        <f t="shared" si="8"/>
        <v>3.2904137931034478</v>
      </c>
      <c r="AB24" s="31">
        <f t="shared" si="9"/>
        <v>21.070004804237286</v>
      </c>
      <c r="AC24" s="57">
        <f t="shared" si="10"/>
        <v>0.15889378058581335</v>
      </c>
      <c r="AD24" s="28"/>
      <c r="AE24" s="62" t="s">
        <v>41</v>
      </c>
      <c r="AF24" s="72">
        <f>DATE(2024,1,25)+AF20</f>
        <v>45479.63636363636</v>
      </c>
      <c r="AG24" s="72">
        <f>DATE(2024,1,25)+AG20</f>
        <v>45494.78787878788</v>
      </c>
      <c r="AH24" s="72">
        <f>DATE(2024,1,25)+AH20</f>
        <v>45509.939393939392</v>
      </c>
      <c r="AI24" s="73">
        <f t="shared" ref="AI24" si="16">DATE(2024,1,25)+AI20</f>
        <v>45525.090909090912</v>
      </c>
      <c r="AL24" s="4">
        <v>312</v>
      </c>
      <c r="AM24" s="31">
        <v>20.726410488305085</v>
      </c>
    </row>
    <row r="25" spans="1:39" x14ac:dyDescent="0.2">
      <c r="A25" s="16">
        <v>4445</v>
      </c>
      <c r="B25" s="17">
        <f>VLOOKUP(A25,'[1]Nebris 11.27'!E:I,5,FALSE)</f>
        <v>562</v>
      </c>
      <c r="C25" s="4">
        <f>VLOOKUP(A25,'[1]Nebris 11.28.23'!E:I,5,FALSE)</f>
        <v>572</v>
      </c>
      <c r="D25" s="56">
        <f t="shared" si="2"/>
        <v>-10</v>
      </c>
      <c r="E25" s="18">
        <f t="shared" si="0"/>
        <v>567</v>
      </c>
      <c r="F25" s="4">
        <v>1</v>
      </c>
      <c r="G25" s="4">
        <v>3</v>
      </c>
      <c r="H25" s="4">
        <v>0.25443114529148958</v>
      </c>
      <c r="I25" s="4">
        <v>208</v>
      </c>
      <c r="J25" s="4" t="str">
        <f t="shared" si="3"/>
        <v>25% MDGS Variable</v>
      </c>
      <c r="K25" s="18">
        <f>VLOOKUP(A25,'[1]Interim '!E:I,5,FALSE)*0.96</f>
        <v>769.92</v>
      </c>
      <c r="L25" s="31">
        <f t="shared" si="4"/>
        <v>3.4986206896551719</v>
      </c>
      <c r="M25" s="19">
        <f t="shared" si="5"/>
        <v>20.130156931525423</v>
      </c>
      <c r="N25" s="57">
        <f t="shared" si="6"/>
        <v>0.17379997093694061</v>
      </c>
      <c r="T25" s="28">
        <v>312</v>
      </c>
      <c r="U25" s="4">
        <v>2</v>
      </c>
      <c r="V25" s="4">
        <v>5</v>
      </c>
      <c r="W25" s="4">
        <v>0.89781507400813687</v>
      </c>
      <c r="X25" s="4" t="s">
        <v>25</v>
      </c>
      <c r="Y25" s="18">
        <f t="shared" si="1"/>
        <v>629.1</v>
      </c>
      <c r="Z25" s="18">
        <f t="shared" si="7"/>
        <v>806.78399999999999</v>
      </c>
      <c r="AA25" s="31">
        <f t="shared" si="8"/>
        <v>3.0635172413793104</v>
      </c>
      <c r="AB25" s="31">
        <f t="shared" si="9"/>
        <v>20.726410488305081</v>
      </c>
      <c r="AC25" s="57">
        <f t="shared" si="10"/>
        <v>0.14780741909497092</v>
      </c>
      <c r="AD25" s="28"/>
      <c r="AE25" s="28" t="s">
        <v>39</v>
      </c>
      <c r="AF25" s="20">
        <f>DATE(2024,1,25)+AF21</f>
        <v>45463.878787878784</v>
      </c>
      <c r="AG25" s="20">
        <f t="shared" ref="AG25:AI26" si="17">DATE(2024,1,25)+AG21</f>
        <v>45479.030303030304</v>
      </c>
      <c r="AH25" s="20">
        <f t="shared" si="17"/>
        <v>45494.181818181816</v>
      </c>
      <c r="AI25" s="74">
        <f t="shared" si="17"/>
        <v>45509.333333333336</v>
      </c>
      <c r="AL25" s="4">
        <v>313</v>
      </c>
      <c r="AM25" s="31">
        <v>20.372524565423721</v>
      </c>
    </row>
    <row r="26" spans="1:39" ht="16" thickBot="1" x14ac:dyDescent="0.25">
      <c r="A26" s="16">
        <v>4357</v>
      </c>
      <c r="B26" s="17">
        <f>VLOOKUP(A26,'[1]Nebris 11.27'!E:I,5,FALSE)</f>
        <v>562</v>
      </c>
      <c r="C26" s="4">
        <f>VLOOKUP(A26,'[1]Nebris 11.28.23'!E:I,5,FALSE)</f>
        <v>556</v>
      </c>
      <c r="D26" s="56">
        <f t="shared" si="2"/>
        <v>6</v>
      </c>
      <c r="E26" s="18">
        <f t="shared" si="0"/>
        <v>559</v>
      </c>
      <c r="F26" s="4">
        <v>1</v>
      </c>
      <c r="G26" s="4">
        <v>3</v>
      </c>
      <c r="H26" s="4">
        <v>0.27863879428570493</v>
      </c>
      <c r="I26" s="4">
        <v>209</v>
      </c>
      <c r="J26" s="4" t="str">
        <f t="shared" si="3"/>
        <v xml:space="preserve">25% MDGS Constant </v>
      </c>
      <c r="K26" s="18">
        <f>VLOOKUP(A26,'[1]Interim '!E:I,5,FALSE)*0.96</f>
        <v>775.68</v>
      </c>
      <c r="L26" s="31">
        <f t="shared" si="4"/>
        <v>3.7358620689655164</v>
      </c>
      <c r="M26" s="19">
        <f t="shared" si="5"/>
        <v>19.349136979491519</v>
      </c>
      <c r="N26" s="57">
        <f t="shared" si="6"/>
        <v>0.19307641849480009</v>
      </c>
      <c r="T26" s="28">
        <v>313</v>
      </c>
      <c r="U26" s="4">
        <v>2</v>
      </c>
      <c r="V26" s="4">
        <v>5</v>
      </c>
      <c r="W26" s="4">
        <v>0.9845007528564651</v>
      </c>
      <c r="X26" s="4" t="s">
        <v>26</v>
      </c>
      <c r="Y26" s="18">
        <f t="shared" si="1"/>
        <v>627.29999999999995</v>
      </c>
      <c r="Z26" s="18">
        <f t="shared" si="7"/>
        <v>817.92</v>
      </c>
      <c r="AA26" s="31">
        <f t="shared" si="8"/>
        <v>3.3621455938697316</v>
      </c>
      <c r="AB26" s="31">
        <f t="shared" si="9"/>
        <v>20.372524565423724</v>
      </c>
      <c r="AC26" s="57" t="e">
        <f t="shared" si="10"/>
        <v>#VALUE!</v>
      </c>
      <c r="AD26" s="39"/>
      <c r="AE26" s="39" t="s">
        <v>40</v>
      </c>
      <c r="AF26" s="75">
        <f>DATE(2024,1,25)+AF22</f>
        <v>45437.515151515152</v>
      </c>
      <c r="AG26" s="75">
        <f t="shared" si="17"/>
        <v>45452.666666666664</v>
      </c>
      <c r="AH26" s="75">
        <f t="shared" si="17"/>
        <v>45467.818181818184</v>
      </c>
      <c r="AI26" s="76">
        <f t="shared" si="17"/>
        <v>45482.969696969696</v>
      </c>
      <c r="AL26" s="4">
        <v>314</v>
      </c>
      <c r="AM26" s="31">
        <v>21.54037682898305</v>
      </c>
    </row>
    <row r="27" spans="1:39" x14ac:dyDescent="0.2">
      <c r="A27" s="16">
        <v>4691</v>
      </c>
      <c r="B27" s="17">
        <f>VLOOKUP(A27,'[1]Nebris 11.27'!E:I,5,FALSE)</f>
        <v>560</v>
      </c>
      <c r="C27" s="4">
        <f>VLOOKUP(A27,'[1]Nebris 11.28.23'!E:I,5,FALSE)</f>
        <v>574</v>
      </c>
      <c r="D27" s="56">
        <f t="shared" si="2"/>
        <v>-14</v>
      </c>
      <c r="E27" s="18">
        <f t="shared" si="0"/>
        <v>567</v>
      </c>
      <c r="F27" s="4">
        <v>1</v>
      </c>
      <c r="G27" s="4">
        <v>3</v>
      </c>
      <c r="H27" s="4">
        <v>0.34361157060381686</v>
      </c>
      <c r="I27" s="4">
        <v>210</v>
      </c>
      <c r="J27" s="4" t="str">
        <f t="shared" si="3"/>
        <v xml:space="preserve">10% MDGS Constant </v>
      </c>
      <c r="K27" s="18">
        <f>VLOOKUP(A27,'[1]Interim '!E:I,5,FALSE)*0.96</f>
        <v>714.24</v>
      </c>
      <c r="L27" s="31">
        <f t="shared" si="4"/>
        <v>2.5386206896551724</v>
      </c>
      <c r="M27" s="19">
        <f t="shared" si="5"/>
        <v>17.600603800338984</v>
      </c>
      <c r="N27" s="57">
        <f t="shared" si="6"/>
        <v>0.14423486367020427</v>
      </c>
      <c r="T27" s="28">
        <v>314</v>
      </c>
      <c r="U27" s="4">
        <v>2</v>
      </c>
      <c r="V27" s="4">
        <v>6</v>
      </c>
      <c r="W27" s="4">
        <v>0.36164609156362248</v>
      </c>
      <c r="X27" s="4" t="s">
        <v>26</v>
      </c>
      <c r="Y27" s="18">
        <f t="shared" si="1"/>
        <v>631.1</v>
      </c>
      <c r="Z27" s="18">
        <f t="shared" si="7"/>
        <v>840.19200000000001</v>
      </c>
      <c r="AA27" s="31">
        <f t="shared" si="8"/>
        <v>3.60503448275862</v>
      </c>
      <c r="AB27" s="31">
        <f t="shared" si="9"/>
        <v>21.540376828983053</v>
      </c>
      <c r="AC27" s="57">
        <f t="shared" si="10"/>
        <v>0.16736171847782938</v>
      </c>
      <c r="AL27" s="4">
        <v>315</v>
      </c>
      <c r="AM27" s="31">
        <v>20.610381563389829</v>
      </c>
    </row>
    <row r="28" spans="1:39" x14ac:dyDescent="0.2">
      <c r="A28" s="16">
        <v>4423</v>
      </c>
      <c r="B28" s="17">
        <f>VLOOKUP(A28,'[1]Nebris 11.27'!E:I,5,FALSE)</f>
        <v>564</v>
      </c>
      <c r="C28" s="4">
        <f>VLOOKUP(A28,'[1]Nebris 11.28.23'!E:I,5,FALSE)</f>
        <v>580</v>
      </c>
      <c r="D28" s="56">
        <f t="shared" si="2"/>
        <v>-16</v>
      </c>
      <c r="E28" s="18">
        <f t="shared" si="0"/>
        <v>572</v>
      </c>
      <c r="F28" s="4">
        <v>1</v>
      </c>
      <c r="G28" s="4">
        <v>3</v>
      </c>
      <c r="H28" s="4">
        <v>0.54959193149644003</v>
      </c>
      <c r="I28" s="4">
        <v>211</v>
      </c>
      <c r="J28" s="4" t="str">
        <f t="shared" si="3"/>
        <v>Control</v>
      </c>
      <c r="K28" s="18">
        <f>VLOOKUP(A28,'[1]Interim '!E:I,5,FALSE)*0.96</f>
        <v>723.83999999999992</v>
      </c>
      <c r="L28" s="31">
        <f t="shared" si="4"/>
        <v>2.6179310344827571</v>
      </c>
      <c r="M28" s="19">
        <f t="shared" si="5"/>
        <v>16.604743725254238</v>
      </c>
      <c r="N28" s="57">
        <f t="shared" si="6"/>
        <v>0.15766163439795416</v>
      </c>
      <c r="T28" s="28">
        <v>315</v>
      </c>
      <c r="U28" s="4">
        <v>2</v>
      </c>
      <c r="V28" s="4">
        <v>6</v>
      </c>
      <c r="W28" s="4">
        <v>0.52656807556281593</v>
      </c>
      <c r="X28" s="4" t="s">
        <v>25</v>
      </c>
      <c r="Y28" s="18">
        <f t="shared" si="1"/>
        <v>622.9</v>
      </c>
      <c r="Z28" s="18">
        <f t="shared" si="7"/>
        <v>820.99199999999996</v>
      </c>
      <c r="AA28" s="31">
        <f t="shared" si="8"/>
        <v>3.4153793103448264</v>
      </c>
      <c r="AB28" s="31">
        <f t="shared" si="9"/>
        <v>20.610381563389833</v>
      </c>
      <c r="AC28" s="57">
        <f t="shared" si="10"/>
        <v>0.16571160023604595</v>
      </c>
      <c r="AL28" s="4">
        <v>316</v>
      </c>
      <c r="AM28" s="31">
        <v>20.102195246101697</v>
      </c>
    </row>
    <row r="29" spans="1:39" x14ac:dyDescent="0.2">
      <c r="A29" s="16">
        <v>4702</v>
      </c>
      <c r="B29" s="17">
        <f>VLOOKUP(A29,'[1]Nebris 11.27'!E:I,5,FALSE)</f>
        <v>560</v>
      </c>
      <c r="C29" s="4">
        <f>VLOOKUP(A29,'[1]Nebris 11.28.23'!E:I,5,FALSE)</f>
        <v>572</v>
      </c>
      <c r="D29" s="56">
        <f t="shared" si="2"/>
        <v>-12</v>
      </c>
      <c r="E29" s="18">
        <f t="shared" si="0"/>
        <v>566</v>
      </c>
      <c r="F29" s="4">
        <v>1</v>
      </c>
      <c r="G29" s="4">
        <v>3</v>
      </c>
      <c r="H29" s="4">
        <v>0.61999853472136346</v>
      </c>
      <c r="I29" s="4">
        <v>212</v>
      </c>
      <c r="J29" s="4" t="str">
        <f t="shared" si="3"/>
        <v>25% MDGS Variable</v>
      </c>
      <c r="K29" s="18">
        <f>VLOOKUP(A29,'[1]Interim '!E:I,5,FALSE)*0.96</f>
        <v>762.24</v>
      </c>
      <c r="L29" s="31">
        <f t="shared" si="4"/>
        <v>3.3834482758620692</v>
      </c>
      <c r="M29" s="19">
        <f t="shared" si="5"/>
        <v>19.734967466610168</v>
      </c>
      <c r="N29" s="57">
        <f t="shared" si="6"/>
        <v>0.17144433004952081</v>
      </c>
      <c r="T29" s="28">
        <v>316</v>
      </c>
      <c r="U29" s="4">
        <v>2</v>
      </c>
      <c r="V29" s="4">
        <v>6</v>
      </c>
      <c r="W29" s="4">
        <v>0.58168133150757528</v>
      </c>
      <c r="X29" s="4" t="s">
        <v>22</v>
      </c>
      <c r="Y29" s="18">
        <f t="shared" si="1"/>
        <v>626.9</v>
      </c>
      <c r="Z29" s="18">
        <f t="shared" si="7"/>
        <v>838.46399999999994</v>
      </c>
      <c r="AA29" s="31">
        <f t="shared" si="8"/>
        <v>3.6476551724137929</v>
      </c>
      <c r="AB29" s="31">
        <f t="shared" si="9"/>
        <v>20.102195246101697</v>
      </c>
      <c r="AC29" s="57">
        <f t="shared" si="10"/>
        <v>0.18145556382063105</v>
      </c>
      <c r="AL29" s="4">
        <v>317</v>
      </c>
      <c r="AM29" s="31">
        <v>19.655293186271191</v>
      </c>
    </row>
    <row r="30" spans="1:39" x14ac:dyDescent="0.2">
      <c r="A30" s="16">
        <v>4328</v>
      </c>
      <c r="B30" s="17">
        <f>VLOOKUP(A30,'[1]Nebris 11.27'!E:I,5,FALSE)</f>
        <v>564</v>
      </c>
      <c r="C30" s="4">
        <f>VLOOKUP(A30,'[1]Nebris 11.28.23'!E:I,5,FALSE)</f>
        <v>556</v>
      </c>
      <c r="D30" s="56">
        <f t="shared" si="2"/>
        <v>8</v>
      </c>
      <c r="E30" s="18">
        <f t="shared" si="0"/>
        <v>560</v>
      </c>
      <c r="F30" s="4">
        <v>1</v>
      </c>
      <c r="G30" s="4">
        <v>3</v>
      </c>
      <c r="H30" s="4">
        <v>0.65759790474622903</v>
      </c>
      <c r="I30" s="4">
        <v>213</v>
      </c>
      <c r="J30" s="4" t="str">
        <f t="shared" si="3"/>
        <v>10% MDGS Variable</v>
      </c>
      <c r="K30" s="18">
        <f>VLOOKUP(A30,'[1]Interim '!E:I,5,FALSE)*0.96</f>
        <v>756.48</v>
      </c>
      <c r="L30" s="31">
        <f t="shared" si="4"/>
        <v>3.3875862068965521</v>
      </c>
      <c r="M30" s="19">
        <f t="shared" si="5"/>
        <v>19.380345288983047</v>
      </c>
      <c r="N30" s="57">
        <f t="shared" si="6"/>
        <v>0.17479493561047438</v>
      </c>
      <c r="T30" s="28">
        <v>317</v>
      </c>
      <c r="U30" s="4">
        <v>2</v>
      </c>
      <c r="V30" s="4">
        <v>6</v>
      </c>
      <c r="W30" s="4">
        <v>0.65938196183029674</v>
      </c>
      <c r="X30" s="4" t="s">
        <v>21</v>
      </c>
      <c r="Y30" s="18">
        <f t="shared" si="1"/>
        <v>626.20000000000005</v>
      </c>
      <c r="Z30" s="18">
        <f t="shared" si="7"/>
        <v>819.2639999999999</v>
      </c>
      <c r="AA30" s="31">
        <f t="shared" si="8"/>
        <v>3.3286896551724126</v>
      </c>
      <c r="AB30" s="31">
        <f t="shared" si="9"/>
        <v>19.655293186271191</v>
      </c>
      <c r="AC30" s="57">
        <f t="shared" si="10"/>
        <v>0.16935334536232877</v>
      </c>
      <c r="AL30" s="4">
        <v>318</v>
      </c>
      <c r="AM30" s="31">
        <v>20.764816593728806</v>
      </c>
    </row>
    <row r="31" spans="1:39" x14ac:dyDescent="0.2">
      <c r="A31" s="16">
        <v>4497</v>
      </c>
      <c r="B31" s="17">
        <f>VLOOKUP(A31,'[1]Nebris 11.27'!E:I,5,FALSE)</f>
        <v>564</v>
      </c>
      <c r="C31" s="4">
        <f>VLOOKUP(A31,'[1]Nebris 11.28.23'!E:I,5,FALSE)</f>
        <v>550</v>
      </c>
      <c r="D31" s="56">
        <f t="shared" si="2"/>
        <v>14</v>
      </c>
      <c r="E31" s="18">
        <f t="shared" si="0"/>
        <v>557</v>
      </c>
      <c r="F31" s="4">
        <v>1</v>
      </c>
      <c r="G31" s="4">
        <v>3</v>
      </c>
      <c r="H31" s="4">
        <v>0.84590382870718661</v>
      </c>
      <c r="I31" s="4">
        <v>214</v>
      </c>
      <c r="J31" s="4" t="str">
        <f t="shared" si="3"/>
        <v xml:space="preserve">25% MDGS Constant </v>
      </c>
      <c r="K31" s="18">
        <f>VLOOKUP(A31,'[1]Interim '!E:I,5,FALSE)*0.96</f>
        <v>760.31999999999994</v>
      </c>
      <c r="L31" s="31">
        <f t="shared" si="4"/>
        <v>3.5055172413793092</v>
      </c>
      <c r="M31" s="19">
        <f t="shared" si="5"/>
        <v>19.209834211186443</v>
      </c>
      <c r="N31" s="57">
        <f t="shared" si="6"/>
        <v>0.18248555416152135</v>
      </c>
      <c r="T31" s="28">
        <v>318</v>
      </c>
      <c r="U31" s="4">
        <v>2</v>
      </c>
      <c r="V31" s="4">
        <v>6</v>
      </c>
      <c r="W31" s="4">
        <v>0.88796535279730304</v>
      </c>
      <c r="X31" s="4" t="s">
        <v>24</v>
      </c>
      <c r="Y31" s="18">
        <f t="shared" si="1"/>
        <v>628.5</v>
      </c>
      <c r="Z31" s="18">
        <f t="shared" si="7"/>
        <v>811.58399999999995</v>
      </c>
      <c r="AA31" s="31">
        <f t="shared" si="8"/>
        <v>3.1566206896551718</v>
      </c>
      <c r="AB31" s="31">
        <f t="shared" si="9"/>
        <v>20.764816593728803</v>
      </c>
      <c r="AC31" s="57">
        <f t="shared" si="10"/>
        <v>0.15201774961058431</v>
      </c>
      <c r="AL31" s="4">
        <v>405</v>
      </c>
      <c r="AM31" s="31">
        <v>21.614662098644061</v>
      </c>
    </row>
    <row r="32" spans="1:39" x14ac:dyDescent="0.2">
      <c r="A32" s="16">
        <v>4501</v>
      </c>
      <c r="B32" s="17">
        <f>VLOOKUP(A32,'[1]Nebris 11.27'!E:I,5,FALSE)</f>
        <v>570</v>
      </c>
      <c r="C32" s="4">
        <f>VLOOKUP(A32,'[1]Nebris 11.28.23'!E:I,5,FALSE)</f>
        <v>576</v>
      </c>
      <c r="D32" s="56">
        <f t="shared" si="2"/>
        <v>-6</v>
      </c>
      <c r="E32" s="18">
        <f t="shared" si="0"/>
        <v>573</v>
      </c>
      <c r="F32" s="4">
        <v>1</v>
      </c>
      <c r="G32" s="4">
        <v>4</v>
      </c>
      <c r="H32" s="4">
        <v>1.2283839594056878E-2</v>
      </c>
      <c r="I32" s="4">
        <v>205</v>
      </c>
      <c r="J32" s="4" t="str">
        <f t="shared" si="3"/>
        <v xml:space="preserve">10% MDGS Constant </v>
      </c>
      <c r="K32" s="18">
        <f>VLOOKUP(A32,'[1]Interim '!E:I,5,FALSE)*0.96</f>
        <v>720</v>
      </c>
      <c r="L32" s="31">
        <f t="shared" si="4"/>
        <v>2.5344827586206895</v>
      </c>
      <c r="M32" s="19">
        <f t="shared" si="5"/>
        <v>18.341718115932199</v>
      </c>
      <c r="N32" s="57">
        <f t="shared" si="6"/>
        <v>0.13818131663571676</v>
      </c>
      <c r="T32" s="28">
        <v>405</v>
      </c>
      <c r="U32" s="4">
        <v>3</v>
      </c>
      <c r="V32" s="4">
        <v>7</v>
      </c>
      <c r="W32" s="4">
        <v>9.0366313237083551E-3</v>
      </c>
      <c r="X32" s="4" t="s">
        <v>24</v>
      </c>
      <c r="Y32" s="18">
        <f t="shared" si="1"/>
        <v>695.6</v>
      </c>
      <c r="Z32" s="18">
        <f t="shared" si="7"/>
        <v>908.35199999999986</v>
      </c>
      <c r="AA32" s="31">
        <f t="shared" si="8"/>
        <v>3.6681379310344817</v>
      </c>
      <c r="AB32" s="31">
        <f t="shared" si="9"/>
        <v>21.614662098644061</v>
      </c>
      <c r="AC32" s="57">
        <f t="shared" si="10"/>
        <v>0.16970600392890683</v>
      </c>
      <c r="AL32" s="4">
        <v>406</v>
      </c>
      <c r="AM32" s="31">
        <v>22.4464491938983</v>
      </c>
    </row>
    <row r="33" spans="1:39" x14ac:dyDescent="0.2">
      <c r="A33" s="16">
        <v>4361</v>
      </c>
      <c r="B33" s="17">
        <f>VLOOKUP(A33,'[1]Nebris 11.27'!E:I,5,FALSE)</f>
        <v>570</v>
      </c>
      <c r="C33" s="4">
        <f>VLOOKUP(A33,'[1]Nebris 11.28.23'!E:I,5,FALSE)</f>
        <v>592</v>
      </c>
      <c r="D33" s="56">
        <f t="shared" si="2"/>
        <v>-22</v>
      </c>
      <c r="E33" s="18">
        <f t="shared" si="0"/>
        <v>581</v>
      </c>
      <c r="F33" s="4">
        <v>1</v>
      </c>
      <c r="G33" s="4">
        <v>4</v>
      </c>
      <c r="H33" s="4">
        <v>0.17528596628606496</v>
      </c>
      <c r="I33" s="4">
        <v>206</v>
      </c>
      <c r="J33" s="4" t="str">
        <f t="shared" si="3"/>
        <v>10% MDGS Variable</v>
      </c>
      <c r="K33" s="18">
        <f>VLOOKUP(A33,'[1]Interim '!E:I,5,FALSE)*0.96</f>
        <v>804.48</v>
      </c>
      <c r="L33" s="31">
        <f t="shared" si="4"/>
        <v>3.8531034482758626</v>
      </c>
      <c r="M33" s="19">
        <f t="shared" si="5"/>
        <v>18.076575727457623</v>
      </c>
      <c r="N33" s="57">
        <f t="shared" si="6"/>
        <v>0.21315449930172045</v>
      </c>
      <c r="T33" s="28">
        <v>406</v>
      </c>
      <c r="U33" s="4">
        <v>3</v>
      </c>
      <c r="V33" s="4">
        <v>7</v>
      </c>
      <c r="W33" s="4">
        <v>0.51593629063234692</v>
      </c>
      <c r="X33" s="4" t="s">
        <v>22</v>
      </c>
      <c r="Y33" s="18">
        <f t="shared" si="1"/>
        <v>702.7</v>
      </c>
      <c r="Z33" s="18">
        <f t="shared" si="7"/>
        <v>924.09599999999989</v>
      </c>
      <c r="AA33" s="31">
        <f t="shared" si="8"/>
        <v>3.8171724137931036</v>
      </c>
      <c r="AB33" s="31">
        <f t="shared" si="9"/>
        <v>22.4464491938983</v>
      </c>
      <c r="AC33" s="57">
        <f t="shared" si="10"/>
        <v>0.17005684867211601</v>
      </c>
      <c r="AL33" s="4">
        <v>407</v>
      </c>
      <c r="AM33" s="31">
        <v>21.57522001084747</v>
      </c>
    </row>
    <row r="34" spans="1:39" x14ac:dyDescent="0.2">
      <c r="A34" s="16">
        <v>4469</v>
      </c>
      <c r="B34" s="17">
        <f>VLOOKUP(A34,'[1]Nebris 11.27'!E:I,5,FALSE)</f>
        <v>566</v>
      </c>
      <c r="C34" s="4">
        <f>VLOOKUP(A34,'[1]Nebris 11.28.23'!E:I,5,FALSE)</f>
        <v>574</v>
      </c>
      <c r="D34" s="56">
        <f t="shared" si="2"/>
        <v>-8</v>
      </c>
      <c r="E34" s="18">
        <f t="shared" si="0"/>
        <v>570</v>
      </c>
      <c r="F34" s="4">
        <v>1</v>
      </c>
      <c r="G34" s="4">
        <v>4</v>
      </c>
      <c r="H34" s="4">
        <v>0.27520011819971502</v>
      </c>
      <c r="I34" s="4">
        <v>207</v>
      </c>
      <c r="J34" s="4" t="str">
        <f t="shared" si="3"/>
        <v>Control</v>
      </c>
      <c r="K34" s="18">
        <f>VLOOKUP(A34,'[1]Interim '!E:I,5,FALSE)*0.96</f>
        <v>771.83999999999992</v>
      </c>
      <c r="L34" s="31">
        <f t="shared" si="4"/>
        <v>3.4799999999999986</v>
      </c>
      <c r="M34" s="19">
        <f t="shared" si="5"/>
        <v>18.548330779491526</v>
      </c>
      <c r="N34" s="57">
        <f t="shared" si="6"/>
        <v>0.18761796095677552</v>
      </c>
      <c r="T34" s="28">
        <v>407</v>
      </c>
      <c r="U34" s="4">
        <v>3</v>
      </c>
      <c r="V34" s="4">
        <v>7</v>
      </c>
      <c r="W34" s="4">
        <v>0.82183375365497791</v>
      </c>
      <c r="X34" s="4" t="s">
        <v>26</v>
      </c>
      <c r="Y34" s="18">
        <f t="shared" si="1"/>
        <v>699.8</v>
      </c>
      <c r="Z34" s="18">
        <f t="shared" si="7"/>
        <v>871.68</v>
      </c>
      <c r="AA34" s="31">
        <f t="shared" si="8"/>
        <v>2.9634482758620688</v>
      </c>
      <c r="AB34" s="31">
        <f t="shared" si="9"/>
        <v>21.575220010847467</v>
      </c>
      <c r="AC34" s="57">
        <f t="shared" si="10"/>
        <v>0.13735425522298833</v>
      </c>
      <c r="AL34" s="4">
        <v>408</v>
      </c>
      <c r="AM34" s="31">
        <v>20.467026300338979</v>
      </c>
    </row>
    <row r="35" spans="1:39" x14ac:dyDescent="0.2">
      <c r="A35" s="16">
        <v>4486</v>
      </c>
      <c r="B35" s="17">
        <f>VLOOKUP(A35,'[1]Nebris 11.27'!E:I,5,FALSE)</f>
        <v>570</v>
      </c>
      <c r="C35" s="4">
        <f>VLOOKUP(A35,'[1]Nebris 11.28.23'!E:I,5,FALSE)</f>
        <v>584</v>
      </c>
      <c r="D35" s="56">
        <f t="shared" si="2"/>
        <v>-14</v>
      </c>
      <c r="E35" s="18">
        <f t="shared" si="0"/>
        <v>577</v>
      </c>
      <c r="F35" s="4">
        <v>1</v>
      </c>
      <c r="G35" s="4">
        <v>4</v>
      </c>
      <c r="H35" s="4">
        <v>0.40382693949015969</v>
      </c>
      <c r="I35" s="4">
        <v>208</v>
      </c>
      <c r="J35" s="4" t="str">
        <f t="shared" si="3"/>
        <v>25% MDGS Variable</v>
      </c>
      <c r="K35" s="18">
        <f>VLOOKUP(A35,'[1]Interim '!E:I,5,FALSE)*0.96</f>
        <v>816</v>
      </c>
      <c r="L35" s="31">
        <f t="shared" si="4"/>
        <v>4.1206896551724137</v>
      </c>
      <c r="M35" s="19">
        <f t="shared" si="5"/>
        <v>20.130156931525423</v>
      </c>
      <c r="N35" s="57">
        <f t="shared" si="6"/>
        <v>0.20470231152143115</v>
      </c>
      <c r="T35" s="28">
        <v>408</v>
      </c>
      <c r="U35" s="4">
        <v>3</v>
      </c>
      <c r="V35" s="4">
        <v>7</v>
      </c>
      <c r="W35" s="4">
        <v>0.93784093341255437</v>
      </c>
      <c r="X35" s="4" t="s">
        <v>21</v>
      </c>
      <c r="Y35" s="18">
        <f t="shared" si="1"/>
        <v>697.6</v>
      </c>
      <c r="Z35" s="18">
        <f t="shared" si="7"/>
        <v>872.25599999999997</v>
      </c>
      <c r="AA35" s="31">
        <f t="shared" si="8"/>
        <v>3.011310344827586</v>
      </c>
      <c r="AB35" s="31">
        <f t="shared" si="9"/>
        <v>20.467026300338976</v>
      </c>
      <c r="AC35" s="57">
        <f t="shared" si="10"/>
        <v>0.14712984195352857</v>
      </c>
      <c r="AL35" s="4">
        <v>409</v>
      </c>
      <c r="AM35" s="31">
        <v>22.10041812305084</v>
      </c>
    </row>
    <row r="36" spans="1:39" x14ac:dyDescent="0.2">
      <c r="A36" s="16">
        <v>4425</v>
      </c>
      <c r="B36" s="17">
        <f>VLOOKUP(A36,'[1]Nebris 11.27'!E:I,5,FALSE)</f>
        <v>570</v>
      </c>
      <c r="C36" s="4">
        <f>VLOOKUP(A36,'[1]Nebris 11.28.23'!E:I,5,FALSE)</f>
        <v>580</v>
      </c>
      <c r="D36" s="56">
        <f t="shared" si="2"/>
        <v>-10</v>
      </c>
      <c r="E36" s="18">
        <f t="shared" si="0"/>
        <v>575</v>
      </c>
      <c r="F36" s="4">
        <v>1</v>
      </c>
      <c r="G36" s="4">
        <v>4</v>
      </c>
      <c r="H36" s="4">
        <v>0.46401232420179983</v>
      </c>
      <c r="I36" s="4">
        <v>209</v>
      </c>
      <c r="J36" s="4" t="str">
        <f t="shared" si="3"/>
        <v xml:space="preserve">25% MDGS Constant </v>
      </c>
      <c r="K36" s="18">
        <f>VLOOKUP(A36,'[1]Interim '!E:I,5,FALSE)*0.96</f>
        <v>804.48</v>
      </c>
      <c r="L36" s="31">
        <f t="shared" si="4"/>
        <v>3.9565517241379315</v>
      </c>
      <c r="M36" s="19">
        <f t="shared" si="5"/>
        <v>19.349136979491519</v>
      </c>
      <c r="N36" s="57">
        <f t="shared" si="6"/>
        <v>0.20448207733148763</v>
      </c>
      <c r="T36" s="28">
        <v>409</v>
      </c>
      <c r="U36" s="4">
        <v>3</v>
      </c>
      <c r="V36" s="4">
        <v>7</v>
      </c>
      <c r="W36" s="4">
        <v>0.9687585172402936</v>
      </c>
      <c r="X36" s="4" t="s">
        <v>25</v>
      </c>
      <c r="Y36" s="18">
        <f t="shared" si="1"/>
        <v>692.9</v>
      </c>
      <c r="Z36" s="18">
        <f t="shared" si="7"/>
        <v>910.46399999999994</v>
      </c>
      <c r="AA36" s="31">
        <f t="shared" si="8"/>
        <v>3.751103448275861</v>
      </c>
      <c r="AB36" s="31">
        <f t="shared" si="9"/>
        <v>22.10041812305084</v>
      </c>
      <c r="AC36" s="57">
        <f t="shared" si="10"/>
        <v>0.1697299764823654</v>
      </c>
      <c r="AL36" s="4">
        <v>410</v>
      </c>
      <c r="AM36" s="31">
        <v>20.77588098728814</v>
      </c>
    </row>
    <row r="37" spans="1:39" x14ac:dyDescent="0.2">
      <c r="A37" s="16">
        <v>4546</v>
      </c>
      <c r="B37" s="17">
        <f>VLOOKUP(A37,'[1]Nebris 11.27'!E:I,5,FALSE)</f>
        <v>570</v>
      </c>
      <c r="C37" s="4">
        <f>VLOOKUP(A37,'[1]Nebris 11.28.23'!E:I,5,FALSE)</f>
        <v>576</v>
      </c>
      <c r="D37" s="56">
        <f t="shared" si="2"/>
        <v>-6</v>
      </c>
      <c r="E37" s="18">
        <f t="shared" si="0"/>
        <v>573</v>
      </c>
      <c r="F37" s="4">
        <v>1</v>
      </c>
      <c r="G37" s="4">
        <v>4</v>
      </c>
      <c r="H37" s="4">
        <v>0.51250615306643899</v>
      </c>
      <c r="I37" s="4">
        <v>210</v>
      </c>
      <c r="J37" s="4" t="str">
        <f t="shared" si="3"/>
        <v xml:space="preserve">10% MDGS Constant </v>
      </c>
      <c r="K37" s="18">
        <f>VLOOKUP(A37,'[1]Interim '!E:I,5,FALSE)*0.96</f>
        <v>737.28</v>
      </c>
      <c r="L37" s="31">
        <f t="shared" si="4"/>
        <v>2.8324137931034477</v>
      </c>
      <c r="M37" s="19">
        <f t="shared" si="5"/>
        <v>17.600603800338984</v>
      </c>
      <c r="N37" s="57">
        <f t="shared" si="6"/>
        <v>0.16092708098167041</v>
      </c>
      <c r="T37" s="28">
        <v>410</v>
      </c>
      <c r="U37" s="4">
        <v>3</v>
      </c>
      <c r="V37" s="4">
        <v>8</v>
      </c>
      <c r="W37" s="4">
        <v>2.4862516121757272E-2</v>
      </c>
      <c r="X37" s="4" t="s">
        <v>26</v>
      </c>
      <c r="Y37" s="18">
        <f t="shared" si="1"/>
        <v>699.8</v>
      </c>
      <c r="Z37" s="18">
        <f t="shared" si="7"/>
        <v>877.24799999999993</v>
      </c>
      <c r="AA37" s="31">
        <f t="shared" si="8"/>
        <v>3.059448275862068</v>
      </c>
      <c r="AB37" s="31">
        <f t="shared" si="9"/>
        <v>20.775880987288136</v>
      </c>
      <c r="AC37" s="57">
        <f t="shared" si="10"/>
        <v>0.14725961694399442</v>
      </c>
      <c r="AL37" s="4">
        <v>411</v>
      </c>
      <c r="AM37" s="31">
        <v>20.84857577757062</v>
      </c>
    </row>
    <row r="38" spans="1:39" x14ac:dyDescent="0.2">
      <c r="A38" s="16">
        <v>4716</v>
      </c>
      <c r="B38" s="17">
        <f>VLOOKUP(A38,'[1]Nebris 11.27'!E:I,5,FALSE)</f>
        <v>564</v>
      </c>
      <c r="C38" s="4">
        <f>VLOOKUP(A38,'[1]Nebris 11.28.23'!E:I,5,FALSE)</f>
        <v>552</v>
      </c>
      <c r="D38" s="56">
        <f t="shared" si="2"/>
        <v>12</v>
      </c>
      <c r="E38" s="18">
        <f t="shared" si="0"/>
        <v>558</v>
      </c>
      <c r="F38" s="4">
        <v>1</v>
      </c>
      <c r="G38" s="4">
        <v>4</v>
      </c>
      <c r="H38" s="4">
        <v>0.67462159473884209</v>
      </c>
      <c r="I38" s="4">
        <v>211</v>
      </c>
      <c r="J38" s="4" t="str">
        <f t="shared" si="3"/>
        <v>Control</v>
      </c>
      <c r="K38" s="18">
        <f>VLOOKUP(A38,'[1]Interim '!E:I,5,FALSE)*0.96</f>
        <v>681.6</v>
      </c>
      <c r="L38" s="31">
        <f t="shared" si="4"/>
        <v>2.1310344827586212</v>
      </c>
      <c r="M38" s="19">
        <f t="shared" si="5"/>
        <v>16.604743725254238</v>
      </c>
      <c r="N38" s="57">
        <f t="shared" si="6"/>
        <v>0.12833889628284478</v>
      </c>
      <c r="T38" s="28">
        <v>411</v>
      </c>
      <c r="U38" s="4">
        <v>3</v>
      </c>
      <c r="V38" s="4">
        <v>8</v>
      </c>
      <c r="W38" s="4">
        <v>7.561584368398222E-2</v>
      </c>
      <c r="X38" s="4" t="s">
        <v>22</v>
      </c>
      <c r="Y38" s="18">
        <f t="shared" si="1"/>
        <v>700.11111111111109</v>
      </c>
      <c r="Z38" s="18">
        <f t="shared" si="7"/>
        <v>887.03999999999985</v>
      </c>
      <c r="AA38" s="31">
        <f t="shared" si="8"/>
        <v>3.222911877394635</v>
      </c>
      <c r="AB38" s="31">
        <f t="shared" si="9"/>
        <v>20.84857577757062</v>
      </c>
      <c r="AC38" s="57">
        <f t="shared" si="10"/>
        <v>0.15458666873839502</v>
      </c>
      <c r="AL38" s="4">
        <v>412</v>
      </c>
      <c r="AM38" s="31">
        <v>20.855004456685496</v>
      </c>
    </row>
    <row r="39" spans="1:39" x14ac:dyDescent="0.2">
      <c r="A39" s="16">
        <v>4653</v>
      </c>
      <c r="B39" s="17">
        <f>VLOOKUP(A39,'[1]Nebris 11.27'!E:I,5,FALSE)</f>
        <v>570</v>
      </c>
      <c r="C39" s="4">
        <f>VLOOKUP(A39,'[1]Nebris 11.28.23'!E:I,5,FALSE)</f>
        <v>564</v>
      </c>
      <c r="D39" s="56">
        <f t="shared" si="2"/>
        <v>6</v>
      </c>
      <c r="E39" s="18">
        <f t="shared" si="0"/>
        <v>567</v>
      </c>
      <c r="F39" s="4">
        <v>1</v>
      </c>
      <c r="G39" s="4">
        <v>4</v>
      </c>
      <c r="H39" s="4">
        <v>0.79874515132924773</v>
      </c>
      <c r="I39" s="4">
        <v>212</v>
      </c>
      <c r="J39" s="4" t="str">
        <f t="shared" si="3"/>
        <v>25% MDGS Variable</v>
      </c>
      <c r="K39" s="18">
        <f>VLOOKUP(A39,'[1]Interim '!E:I,5,FALSE)*0.96</f>
        <v>735.36</v>
      </c>
      <c r="L39" s="31">
        <f t="shared" si="4"/>
        <v>2.9027586206896556</v>
      </c>
      <c r="M39" s="19">
        <f t="shared" si="5"/>
        <v>19.734967466610168</v>
      </c>
      <c r="N39" s="57">
        <f t="shared" si="6"/>
        <v>0.14708707402740179</v>
      </c>
      <c r="T39" s="28">
        <v>412</v>
      </c>
      <c r="U39" s="4">
        <v>3</v>
      </c>
      <c r="V39" s="4">
        <v>8</v>
      </c>
      <c r="W39" s="4">
        <v>0.25517038223413813</v>
      </c>
      <c r="X39" s="4" t="s">
        <v>21</v>
      </c>
      <c r="Y39" s="18">
        <f t="shared" si="1"/>
        <v>698.11111111111109</v>
      </c>
      <c r="Z39" s="18">
        <f t="shared" si="7"/>
        <v>899.19999999999993</v>
      </c>
      <c r="AA39" s="31">
        <f t="shared" si="8"/>
        <v>3.4670498084291181</v>
      </c>
      <c r="AB39" s="31">
        <f t="shared" si="9"/>
        <v>20.855004456685496</v>
      </c>
      <c r="AC39" s="57">
        <f t="shared" si="10"/>
        <v>0.16624545996285722</v>
      </c>
      <c r="AL39" s="4">
        <v>413</v>
      </c>
      <c r="AM39" s="31">
        <v>22.388855908644061</v>
      </c>
    </row>
    <row r="40" spans="1:39" x14ac:dyDescent="0.2">
      <c r="A40" s="16">
        <v>4772</v>
      </c>
      <c r="B40" s="17">
        <f>VLOOKUP(A40,'[1]Nebris 11.27'!E:I,5,FALSE)</f>
        <v>566</v>
      </c>
      <c r="C40" s="4">
        <f>VLOOKUP(A40,'[1]Nebris 11.28.23'!E:I,5,FALSE)</f>
        <v>570</v>
      </c>
      <c r="D40" s="56">
        <f t="shared" si="2"/>
        <v>-4</v>
      </c>
      <c r="E40" s="18">
        <f t="shared" si="0"/>
        <v>568</v>
      </c>
      <c r="F40" s="4">
        <v>1</v>
      </c>
      <c r="G40" s="4">
        <v>4</v>
      </c>
      <c r="H40" s="4">
        <v>0.8350298103608399</v>
      </c>
      <c r="I40" s="4">
        <v>213</v>
      </c>
      <c r="J40" s="4" t="str">
        <f t="shared" si="3"/>
        <v>10% MDGS Variable</v>
      </c>
      <c r="K40" s="18">
        <f>VLOOKUP(A40,'[1]Interim '!E:I,5,FALSE)*0.96</f>
        <v>754.56</v>
      </c>
      <c r="L40" s="31">
        <f t="shared" si="4"/>
        <v>3.21655172413793</v>
      </c>
      <c r="M40" s="19">
        <f t="shared" si="5"/>
        <v>19.380345288983047</v>
      </c>
      <c r="N40" s="57">
        <f t="shared" si="6"/>
        <v>0.16596978413828423</v>
      </c>
      <c r="T40" s="28">
        <v>413</v>
      </c>
      <c r="U40" s="4">
        <v>3</v>
      </c>
      <c r="V40" s="4">
        <v>8</v>
      </c>
      <c r="W40" s="4">
        <v>0.43684469165953788</v>
      </c>
      <c r="X40" s="4" t="s">
        <v>25</v>
      </c>
      <c r="Y40" s="18">
        <f t="shared" si="1"/>
        <v>700.4</v>
      </c>
      <c r="Z40" s="18">
        <f t="shared" si="7"/>
        <v>941.95199999999988</v>
      </c>
      <c r="AA40" s="31">
        <f t="shared" si="8"/>
        <v>4.1646896551724142</v>
      </c>
      <c r="AB40" s="31">
        <f t="shared" si="9"/>
        <v>22.388855908644064</v>
      </c>
      <c r="AC40" s="57">
        <f t="shared" si="10"/>
        <v>0.18601618913293724</v>
      </c>
      <c r="AL40" s="4">
        <v>414</v>
      </c>
      <c r="AM40" s="31">
        <v>22.8017127959322</v>
      </c>
    </row>
    <row r="41" spans="1:39" ht="16" thickBot="1" x14ac:dyDescent="0.25">
      <c r="A41" s="16">
        <v>4450</v>
      </c>
      <c r="B41" s="17">
        <f>VLOOKUP(A41,'[1]Nebris 11.27'!E:I,5,FALSE)</f>
        <v>570</v>
      </c>
      <c r="C41" s="4">
        <f>VLOOKUP(A41,'[1]Nebris 11.28.23'!E:I,5,FALSE)</f>
        <v>570</v>
      </c>
      <c r="D41" s="56">
        <f t="shared" si="2"/>
        <v>0</v>
      </c>
      <c r="E41" s="18">
        <f t="shared" si="0"/>
        <v>570</v>
      </c>
      <c r="F41" s="4">
        <v>1</v>
      </c>
      <c r="G41" s="4">
        <v>4</v>
      </c>
      <c r="H41" s="4">
        <v>0.98729661616078235</v>
      </c>
      <c r="I41" s="4">
        <v>214</v>
      </c>
      <c r="J41" s="4" t="str">
        <f t="shared" si="3"/>
        <v xml:space="preserve">25% MDGS Constant </v>
      </c>
      <c r="K41" s="18">
        <f>VLOOKUP(A41,'[1]Interim '!E:I,5,FALSE)*0.96</f>
        <v>727.68</v>
      </c>
      <c r="L41" s="31">
        <f t="shared" si="4"/>
        <v>2.7186206896551717</v>
      </c>
      <c r="M41" s="19">
        <f t="shared" si="5"/>
        <v>19.209834211186443</v>
      </c>
      <c r="N41" s="57">
        <f t="shared" si="6"/>
        <v>0.14152234005601361</v>
      </c>
      <c r="T41" s="39">
        <v>414</v>
      </c>
      <c r="U41" s="40">
        <v>3</v>
      </c>
      <c r="V41" s="40">
        <v>8</v>
      </c>
      <c r="W41" s="40">
        <v>0.90298479862921954</v>
      </c>
      <c r="X41" s="40" t="s">
        <v>24</v>
      </c>
      <c r="Y41" s="77">
        <f t="shared" si="1"/>
        <v>695.2</v>
      </c>
      <c r="Z41" s="18">
        <f t="shared" si="7"/>
        <v>900.09600000000012</v>
      </c>
      <c r="AA41" s="31">
        <f t="shared" si="8"/>
        <v>3.5326896551724132</v>
      </c>
      <c r="AB41" s="31">
        <f t="shared" si="9"/>
        <v>22.801712795932197</v>
      </c>
      <c r="AC41" s="57">
        <f t="shared" si="10"/>
        <v>0.15493088991992926</v>
      </c>
    </row>
    <row r="42" spans="1:39" x14ac:dyDescent="0.2">
      <c r="A42" s="16">
        <v>4578</v>
      </c>
      <c r="B42" s="17">
        <f>VLOOKUP(A42,'[1]Nebris 11.27'!E:I,5,FALSE)</f>
        <v>572</v>
      </c>
      <c r="C42" s="4">
        <f>VLOOKUP(A42,'[1]Nebris 11.28.23'!E:I,5,FALSE)</f>
        <v>574</v>
      </c>
      <c r="D42" s="56">
        <f t="shared" si="2"/>
        <v>-2</v>
      </c>
      <c r="E42" s="18">
        <f t="shared" si="0"/>
        <v>573</v>
      </c>
      <c r="F42" s="4">
        <v>1</v>
      </c>
      <c r="G42" s="4">
        <v>5</v>
      </c>
      <c r="H42" s="4">
        <v>0.24621198036239333</v>
      </c>
      <c r="I42" s="4">
        <v>205</v>
      </c>
      <c r="J42" s="4" t="str">
        <f t="shared" si="3"/>
        <v xml:space="preserve">10% MDGS Constant </v>
      </c>
      <c r="K42" s="18">
        <f>VLOOKUP(A42,'[1]Interim '!E:I,5,FALSE)*0.96</f>
        <v>746.88</v>
      </c>
      <c r="L42" s="31">
        <f t="shared" si="4"/>
        <v>2.9979310344827583</v>
      </c>
      <c r="M42" s="19">
        <f t="shared" si="5"/>
        <v>18.341718115932199</v>
      </c>
      <c r="N42" s="57">
        <f t="shared" si="6"/>
        <v>0.1634487573919621</v>
      </c>
      <c r="Y42" s="18"/>
    </row>
    <row r="43" spans="1:39" ht="16" x14ac:dyDescent="0.2">
      <c r="A43" s="16">
        <v>4407</v>
      </c>
      <c r="B43" s="17">
        <f>VLOOKUP(A43,'[1]Nebris 11.27'!E:I,5,FALSE)</f>
        <v>572</v>
      </c>
      <c r="C43" s="4">
        <f>VLOOKUP(A43,'[1]Nebris 11.28.23'!E:I,5,FALSE)</f>
        <v>576</v>
      </c>
      <c r="D43" s="56">
        <f t="shared" si="2"/>
        <v>-4</v>
      </c>
      <c r="E43" s="18">
        <f t="shared" si="0"/>
        <v>574</v>
      </c>
      <c r="F43" s="4">
        <v>1</v>
      </c>
      <c r="G43" s="4">
        <v>5</v>
      </c>
      <c r="H43" s="4">
        <v>0.29972764617908709</v>
      </c>
      <c r="I43" s="4">
        <v>206</v>
      </c>
      <c r="J43" s="4" t="str">
        <f t="shared" si="3"/>
        <v>10% MDGS Variable</v>
      </c>
      <c r="K43" s="18">
        <f>VLOOKUP(A43,'[1]Interim '!E:I,5,FALSE)*0.96</f>
        <v>779.52</v>
      </c>
      <c r="L43" s="31">
        <f t="shared" si="4"/>
        <v>3.5434482758620685</v>
      </c>
      <c r="M43" s="19">
        <f t="shared" si="5"/>
        <v>18.076575727457623</v>
      </c>
      <c r="N43" s="57">
        <f t="shared" si="6"/>
        <v>0.19602430954219427</v>
      </c>
      <c r="Y43" s="18"/>
      <c r="AL43" s="78"/>
    </row>
    <row r="44" spans="1:39" x14ac:dyDescent="0.2">
      <c r="A44" s="16">
        <v>4341</v>
      </c>
      <c r="B44" s="17">
        <f>VLOOKUP(A44,'[1]Nebris 11.27'!E:I,5,FALSE)</f>
        <v>574</v>
      </c>
      <c r="C44" s="4">
        <f>VLOOKUP(A44,'[1]Nebris 11.28.23'!E:I,5,FALSE)</f>
        <v>584</v>
      </c>
      <c r="D44" s="56">
        <f t="shared" si="2"/>
        <v>-10</v>
      </c>
      <c r="E44" s="18">
        <f t="shared" si="0"/>
        <v>579</v>
      </c>
      <c r="F44" s="4">
        <v>1</v>
      </c>
      <c r="G44" s="4">
        <v>5</v>
      </c>
      <c r="H44" s="4">
        <v>0.36184803604407123</v>
      </c>
      <c r="I44" s="4">
        <v>207</v>
      </c>
      <c r="J44" s="4" t="str">
        <f t="shared" si="3"/>
        <v>Control</v>
      </c>
      <c r="K44" s="18">
        <f>VLOOKUP(A44,'[1]Interim '!E:I,5,FALSE)*0.96</f>
        <v>739.19999999999993</v>
      </c>
      <c r="L44" s="31">
        <f t="shared" si="4"/>
        <v>2.7620689655172401</v>
      </c>
      <c r="M44" s="19">
        <f t="shared" si="5"/>
        <v>18.548330779491526</v>
      </c>
      <c r="N44" s="57">
        <f t="shared" si="6"/>
        <v>0.14891199635986641</v>
      </c>
      <c r="Y44" s="18"/>
    </row>
    <row r="45" spans="1:39" ht="16" x14ac:dyDescent="0.2">
      <c r="A45" s="16">
        <v>4503</v>
      </c>
      <c r="B45" s="17">
        <f>VLOOKUP(A45,'[1]Nebris 11.27'!E:I,5,FALSE)</f>
        <v>572</v>
      </c>
      <c r="C45" s="4">
        <f>VLOOKUP(A45,'[1]Nebris 11.28.23'!E:I,5,FALSE)</f>
        <v>578</v>
      </c>
      <c r="D45" s="56">
        <f t="shared" si="2"/>
        <v>-6</v>
      </c>
      <c r="E45" s="18">
        <f t="shared" si="0"/>
        <v>575</v>
      </c>
      <c r="F45" s="4">
        <v>1</v>
      </c>
      <c r="G45" s="4">
        <v>5</v>
      </c>
      <c r="H45" s="4">
        <v>0.42907569363135722</v>
      </c>
      <c r="I45" s="4">
        <v>208</v>
      </c>
      <c r="J45" s="4" t="str">
        <f t="shared" si="3"/>
        <v>25% MDGS Variable</v>
      </c>
      <c r="K45" s="18">
        <f>VLOOKUP(A45,'[1]Interim '!E:I,5,FALSE)*0.96</f>
        <v>787.19999999999993</v>
      </c>
      <c r="L45" s="31">
        <f t="shared" si="4"/>
        <v>3.6586206896551712</v>
      </c>
      <c r="M45" s="19">
        <f t="shared" si="5"/>
        <v>20.130156931525423</v>
      </c>
      <c r="N45" s="57">
        <f t="shared" si="6"/>
        <v>0.18174824479015764</v>
      </c>
      <c r="Y45" s="18"/>
      <c r="AL45" s="78"/>
    </row>
    <row r="46" spans="1:39" x14ac:dyDescent="0.2">
      <c r="A46" s="16">
        <v>4518</v>
      </c>
      <c r="B46" s="17">
        <f>VLOOKUP(A46,'[1]Nebris 11.27'!E:I,5,FALSE)</f>
        <v>572</v>
      </c>
      <c r="C46" s="4">
        <f>VLOOKUP(A46,'[1]Nebris 11.28.23'!E:I,5,FALSE)</f>
        <v>566</v>
      </c>
      <c r="D46" s="56">
        <f t="shared" si="2"/>
        <v>6</v>
      </c>
      <c r="E46" s="18">
        <f t="shared" si="0"/>
        <v>569</v>
      </c>
      <c r="F46" s="4">
        <v>1</v>
      </c>
      <c r="G46" s="4">
        <v>5</v>
      </c>
      <c r="H46" s="4">
        <v>0.46217392037877381</v>
      </c>
      <c r="I46" s="4">
        <v>209</v>
      </c>
      <c r="J46" s="4" t="str">
        <f t="shared" si="3"/>
        <v xml:space="preserve">25% MDGS Constant </v>
      </c>
      <c r="K46" s="18">
        <f>VLOOKUP(A46,'[1]Interim '!E:I,5,FALSE)*0.96</f>
        <v>758.4</v>
      </c>
      <c r="L46" s="31">
        <f t="shared" si="4"/>
        <v>3.2655172413793099</v>
      </c>
      <c r="M46" s="19">
        <f t="shared" si="5"/>
        <v>19.349136979491519</v>
      </c>
      <c r="N46" s="57">
        <f t="shared" si="6"/>
        <v>0.16876810809910991</v>
      </c>
      <c r="Y46" s="18"/>
    </row>
    <row r="47" spans="1:39" ht="16" x14ac:dyDescent="0.2">
      <c r="A47" s="16">
        <v>4613</v>
      </c>
      <c r="B47" s="17">
        <f>VLOOKUP(A47,'[1]Nebris 11.27'!E:I,5,FALSE)</f>
        <v>571</v>
      </c>
      <c r="C47" s="4">
        <f>VLOOKUP(A47,'[1]Nebris 11.28.23'!E:I,5,FALSE)</f>
        <v>580</v>
      </c>
      <c r="D47" s="56">
        <f t="shared" si="2"/>
        <v>-9</v>
      </c>
      <c r="E47" s="18">
        <f t="shared" si="0"/>
        <v>575.5</v>
      </c>
      <c r="F47" s="4">
        <v>1</v>
      </c>
      <c r="G47" s="4">
        <v>5</v>
      </c>
      <c r="H47" s="4">
        <v>0.51552156583729314</v>
      </c>
      <c r="I47" s="4">
        <v>210</v>
      </c>
      <c r="J47" s="4" t="str">
        <f t="shared" si="3"/>
        <v xml:space="preserve">10% MDGS Constant </v>
      </c>
      <c r="K47" s="18">
        <f>VLOOKUP(A47,'[1]Interim '!E:I,5,FALSE)*0.96</f>
        <v>754.56</v>
      </c>
      <c r="L47" s="31">
        <f t="shared" si="4"/>
        <v>3.0872413793103437</v>
      </c>
      <c r="M47" s="19">
        <f t="shared" si="5"/>
        <v>17.600603800338984</v>
      </c>
      <c r="N47" s="57">
        <f t="shared" si="6"/>
        <v>0.1754054244008881</v>
      </c>
      <c r="Y47" s="18"/>
      <c r="AL47" s="78"/>
    </row>
    <row r="48" spans="1:39" x14ac:dyDescent="0.2">
      <c r="A48" s="16">
        <v>4316</v>
      </c>
      <c r="B48" s="17">
        <f>VLOOKUP(A48,'[1]Nebris 11.27'!E:I,5,FALSE)</f>
        <v>572</v>
      </c>
      <c r="C48" s="4">
        <f>VLOOKUP(A48,'[1]Nebris 11.28.23'!E:I,5,FALSE)</f>
        <v>578</v>
      </c>
      <c r="D48" s="56">
        <f t="shared" si="2"/>
        <v>-6</v>
      </c>
      <c r="E48" s="18">
        <f t="shared" si="0"/>
        <v>575</v>
      </c>
      <c r="F48" s="4">
        <v>1</v>
      </c>
      <c r="G48" s="4">
        <v>5</v>
      </c>
      <c r="H48" s="4">
        <v>0.82525413565745842</v>
      </c>
      <c r="I48" s="4">
        <v>211</v>
      </c>
      <c r="J48" s="4" t="str">
        <f t="shared" si="3"/>
        <v>Control</v>
      </c>
      <c r="K48" s="18">
        <f>VLOOKUP(A48,'[1]Interim '!E:I,5,FALSE)*0.96</f>
        <v>702.72</v>
      </c>
      <c r="L48" s="31">
        <f t="shared" si="4"/>
        <v>2.2020689655172418</v>
      </c>
      <c r="M48" s="19">
        <f t="shared" si="5"/>
        <v>16.604743725254238</v>
      </c>
      <c r="N48" s="57">
        <f t="shared" si="6"/>
        <v>0.13261685949227292</v>
      </c>
      <c r="Y48" s="18"/>
    </row>
    <row r="49" spans="1:38" ht="16" x14ac:dyDescent="0.2">
      <c r="A49" s="16">
        <v>4468</v>
      </c>
      <c r="B49" s="17">
        <f>VLOOKUP(A49,'[1]Nebris 11.27'!E:I,5,FALSE)</f>
        <v>572</v>
      </c>
      <c r="C49" s="4">
        <f>VLOOKUP(A49,'[1]Nebris 11.28.23'!E:I,5,FALSE)</f>
        <v>572</v>
      </c>
      <c r="D49" s="56">
        <f t="shared" si="2"/>
        <v>0</v>
      </c>
      <c r="E49" s="18">
        <f t="shared" si="0"/>
        <v>572</v>
      </c>
      <c r="F49" s="4">
        <v>1</v>
      </c>
      <c r="G49" s="4">
        <v>5</v>
      </c>
      <c r="H49" s="4">
        <v>0.84882638745237027</v>
      </c>
      <c r="I49" s="4">
        <v>212</v>
      </c>
      <c r="J49" s="4" t="str">
        <f t="shared" si="3"/>
        <v>25% MDGS Variable</v>
      </c>
      <c r="K49" s="18">
        <f>VLOOKUP(A49,'[1]Interim '!E:I,5,FALSE)*0.96</f>
        <v>806.4</v>
      </c>
      <c r="L49" s="31">
        <f t="shared" si="4"/>
        <v>4.0413793103448272</v>
      </c>
      <c r="M49" s="19">
        <f t="shared" si="5"/>
        <v>19.734967466610168</v>
      </c>
      <c r="N49" s="57">
        <f t="shared" si="6"/>
        <v>0.20478266899514713</v>
      </c>
      <c r="Y49" s="18"/>
      <c r="AL49" s="78"/>
    </row>
    <row r="50" spans="1:38" x14ac:dyDescent="0.2">
      <c r="A50" s="16">
        <v>4399</v>
      </c>
      <c r="B50" s="17">
        <f>VLOOKUP(A50,'[1]Nebris 11.27'!E:I,5,FALSE)</f>
        <v>572</v>
      </c>
      <c r="C50" s="4">
        <f>VLOOKUP(A50,'[1]Nebris 11.28.23'!E:I,5,FALSE)</f>
        <v>572</v>
      </c>
      <c r="D50" s="56">
        <f t="shared" si="2"/>
        <v>0</v>
      </c>
      <c r="E50" s="18">
        <f t="shared" si="0"/>
        <v>572</v>
      </c>
      <c r="F50" s="4">
        <v>1</v>
      </c>
      <c r="G50" s="4">
        <v>5</v>
      </c>
      <c r="H50" s="4">
        <v>0.90711589249539848</v>
      </c>
      <c r="I50" s="4">
        <v>213</v>
      </c>
      <c r="J50" s="4" t="str">
        <f t="shared" si="3"/>
        <v>10% MDGS Variable</v>
      </c>
      <c r="K50" s="18">
        <f>VLOOKUP(A50,'[1]Interim '!E:I,5,FALSE)*0.96</f>
        <v>764.16</v>
      </c>
      <c r="L50" s="31">
        <f t="shared" si="4"/>
        <v>3.3131034482758617</v>
      </c>
      <c r="M50" s="19">
        <f t="shared" si="5"/>
        <v>19.380345288983047</v>
      </c>
      <c r="N50" s="57">
        <f t="shared" si="6"/>
        <v>0.17095172448548834</v>
      </c>
      <c r="Y50" s="18"/>
    </row>
    <row r="51" spans="1:38" x14ac:dyDescent="0.2">
      <c r="A51" s="16">
        <v>4721</v>
      </c>
      <c r="B51" s="17">
        <f>VLOOKUP(A51,'[1]Nebris 11.27'!E:I,5,FALSE)</f>
        <v>570</v>
      </c>
      <c r="C51" s="4">
        <f>VLOOKUP(A51,'[1]Nebris 11.28.23'!E:I,5,FALSE)</f>
        <v>572</v>
      </c>
      <c r="D51" s="56">
        <f t="shared" si="2"/>
        <v>-2</v>
      </c>
      <c r="E51" s="18">
        <f t="shared" si="0"/>
        <v>571</v>
      </c>
      <c r="F51" s="4">
        <v>1</v>
      </c>
      <c r="G51" s="4">
        <v>5</v>
      </c>
      <c r="H51" s="4">
        <v>0.91456339921461605</v>
      </c>
      <c r="I51" s="4">
        <v>214</v>
      </c>
      <c r="J51" s="4" t="str">
        <f t="shared" si="3"/>
        <v xml:space="preserve">25% MDGS Constant </v>
      </c>
      <c r="K51" s="18">
        <f>VLOOKUP(A51,'[1]Interim '!E:I,5,FALSE)*0.96</f>
        <v>817.92</v>
      </c>
      <c r="L51" s="31">
        <f t="shared" si="4"/>
        <v>4.2572413793103445</v>
      </c>
      <c r="M51" s="19">
        <f t="shared" si="5"/>
        <v>19.209834211186443</v>
      </c>
      <c r="N51" s="57">
        <f t="shared" si="6"/>
        <v>0.22161780952962257</v>
      </c>
      <c r="Y51" s="18"/>
    </row>
    <row r="52" spans="1:38" x14ac:dyDescent="0.2">
      <c r="A52" s="16">
        <v>4348</v>
      </c>
      <c r="B52" s="17">
        <f>VLOOKUP(A52,'[1]Nebris 11.27'!E:I,5,FALSE)</f>
        <v>576</v>
      </c>
      <c r="C52" s="4">
        <f>VLOOKUP(A52,'[1]Nebris 11.28.23'!E:I,5,FALSE)</f>
        <v>564</v>
      </c>
      <c r="D52" s="56">
        <f t="shared" si="2"/>
        <v>12</v>
      </c>
      <c r="E52" s="18">
        <f t="shared" si="0"/>
        <v>570</v>
      </c>
      <c r="F52" s="4">
        <v>1</v>
      </c>
      <c r="G52" s="4">
        <v>6</v>
      </c>
      <c r="H52" s="4">
        <v>5.9768611532593274E-2</v>
      </c>
      <c r="I52" s="4">
        <v>205</v>
      </c>
      <c r="J52" s="4" t="str">
        <f t="shared" si="3"/>
        <v xml:space="preserve">10% MDGS Constant </v>
      </c>
      <c r="K52" s="18">
        <f>VLOOKUP(A52,'[1]Interim '!E:I,5,FALSE)*0.96</f>
        <v>764.16</v>
      </c>
      <c r="L52" s="31">
        <f t="shared" si="4"/>
        <v>3.3475862068965512</v>
      </c>
      <c r="M52" s="19">
        <f t="shared" si="5"/>
        <v>18.341718115932199</v>
      </c>
      <c r="N52" s="57">
        <f t="shared" si="6"/>
        <v>0.18251213903395078</v>
      </c>
      <c r="Y52" s="18"/>
    </row>
    <row r="53" spans="1:38" x14ac:dyDescent="0.2">
      <c r="A53" s="16">
        <v>4424</v>
      </c>
      <c r="B53" s="17">
        <f>VLOOKUP(A53,'[1]Nebris 11.27'!E:I,5,FALSE)</f>
        <v>576</v>
      </c>
      <c r="C53" s="4">
        <f>VLOOKUP(A53,'[1]Nebris 11.28.23'!E:I,5,FALSE)</f>
        <v>582</v>
      </c>
      <c r="D53" s="56">
        <f t="shared" si="2"/>
        <v>-6</v>
      </c>
      <c r="E53" s="18">
        <f t="shared" si="0"/>
        <v>579</v>
      </c>
      <c r="F53" s="4">
        <v>1</v>
      </c>
      <c r="G53" s="4">
        <v>6</v>
      </c>
      <c r="H53" s="4">
        <v>0.2294401916930815</v>
      </c>
      <c r="I53" s="4">
        <v>206</v>
      </c>
      <c r="J53" s="4" t="str">
        <f t="shared" si="3"/>
        <v>10% MDGS Variable</v>
      </c>
      <c r="K53" s="18">
        <f>VLOOKUP(A53,'[1]Interim '!E:I,5,FALSE)*0.96</f>
        <v>800.64</v>
      </c>
      <c r="L53" s="31">
        <f t="shared" si="4"/>
        <v>3.8213793103448275</v>
      </c>
      <c r="M53" s="19">
        <f t="shared" si="5"/>
        <v>18.076575727457623</v>
      </c>
      <c r="N53" s="57">
        <f t="shared" si="6"/>
        <v>0.21139951326845047</v>
      </c>
      <c r="Y53" s="18"/>
    </row>
    <row r="54" spans="1:38" x14ac:dyDescent="0.2">
      <c r="A54" s="16">
        <v>4695</v>
      </c>
      <c r="B54" s="17">
        <f>VLOOKUP(A54,'[1]Nebris 11.27'!E:I,5,FALSE)</f>
        <v>576</v>
      </c>
      <c r="C54" s="4">
        <f>VLOOKUP(A54,'[1]Nebris 11.28.23'!E:I,5,FALSE)</f>
        <v>590</v>
      </c>
      <c r="D54" s="56">
        <f t="shared" si="2"/>
        <v>-14</v>
      </c>
      <c r="E54" s="18">
        <f t="shared" si="0"/>
        <v>583</v>
      </c>
      <c r="F54" s="4">
        <v>1</v>
      </c>
      <c r="G54" s="4">
        <v>6</v>
      </c>
      <c r="H54" s="4">
        <v>0.22951120387005997</v>
      </c>
      <c r="I54" s="4">
        <v>207</v>
      </c>
      <c r="J54" s="4" t="str">
        <f t="shared" si="3"/>
        <v>Control</v>
      </c>
      <c r="K54" s="18">
        <f>VLOOKUP(A54,'[1]Interim '!E:I,5,FALSE)*0.96</f>
        <v>773.76</v>
      </c>
      <c r="L54" s="31">
        <f t="shared" si="4"/>
        <v>3.2889655172413792</v>
      </c>
      <c r="M54" s="19">
        <f t="shared" si="5"/>
        <v>18.548330779491526</v>
      </c>
      <c r="N54" s="57">
        <f t="shared" si="6"/>
        <v>0.17731867931091216</v>
      </c>
      <c r="Y54" s="18"/>
    </row>
    <row r="55" spans="1:38" x14ac:dyDescent="0.2">
      <c r="A55" s="16">
        <v>4463</v>
      </c>
      <c r="B55" s="17">
        <f>VLOOKUP(A55,'[1]Nebris 11.27'!E:I,5,FALSE)</f>
        <v>576</v>
      </c>
      <c r="C55" s="4">
        <f>VLOOKUP(A55,'[1]Nebris 11.28.23'!E:I,5,FALSE)</f>
        <v>588</v>
      </c>
      <c r="D55" s="56">
        <f t="shared" si="2"/>
        <v>-12</v>
      </c>
      <c r="E55" s="18">
        <f t="shared" si="0"/>
        <v>582</v>
      </c>
      <c r="F55" s="4">
        <v>1</v>
      </c>
      <c r="G55" s="4">
        <v>6</v>
      </c>
      <c r="H55" s="4">
        <v>0.44961001487625618</v>
      </c>
      <c r="I55" s="4">
        <v>208</v>
      </c>
      <c r="J55" s="4" t="str">
        <f t="shared" si="3"/>
        <v>25% MDGS Variable</v>
      </c>
      <c r="K55" s="18">
        <f>VLOOKUP(A55,'[1]Interim '!E:I,5,FALSE)*0.96</f>
        <v>739.19999999999993</v>
      </c>
      <c r="L55" s="31">
        <f t="shared" si="4"/>
        <v>2.7103448275862059</v>
      </c>
      <c r="M55" s="19">
        <f t="shared" si="5"/>
        <v>20.130156931525423</v>
      </c>
      <c r="N55" s="57">
        <f t="shared" si="6"/>
        <v>0.13464101828940989</v>
      </c>
      <c r="Y55" s="18"/>
    </row>
    <row r="56" spans="1:38" x14ac:dyDescent="0.2">
      <c r="A56" s="16">
        <v>4599</v>
      </c>
      <c r="B56" s="17">
        <f>VLOOKUP(A56,'[1]Nebris 11.27'!E:I,5,FALSE)</f>
        <v>576</v>
      </c>
      <c r="C56" s="4">
        <f>VLOOKUP(A56,'[1]Nebris 11.28.23'!E:I,5,FALSE)</f>
        <v>556</v>
      </c>
      <c r="D56" s="56">
        <f t="shared" si="2"/>
        <v>20</v>
      </c>
      <c r="E56" s="18">
        <f t="shared" si="0"/>
        <v>566</v>
      </c>
      <c r="F56" s="4">
        <v>1</v>
      </c>
      <c r="G56" s="4">
        <v>6</v>
      </c>
      <c r="H56" s="4">
        <v>0.45743916430460352</v>
      </c>
      <c r="I56" s="4">
        <v>209</v>
      </c>
      <c r="J56" s="4" t="str">
        <f t="shared" si="3"/>
        <v xml:space="preserve">25% MDGS Constant </v>
      </c>
      <c r="K56" s="18">
        <f>VLOOKUP(A56,'[1]Interim '!E:I,5,FALSE)*0.96</f>
        <v>710.4</v>
      </c>
      <c r="L56" s="31">
        <f t="shared" si="4"/>
        <v>2.4896551724137925</v>
      </c>
      <c r="M56" s="19">
        <f t="shared" si="5"/>
        <v>19.349136979491519</v>
      </c>
      <c r="N56" s="57">
        <f t="shared" si="6"/>
        <v>0.12867008875138053</v>
      </c>
      <c r="Y56" s="18"/>
    </row>
    <row r="57" spans="1:38" x14ac:dyDescent="0.2">
      <c r="A57" s="16">
        <v>4387</v>
      </c>
      <c r="B57" s="17">
        <f>VLOOKUP(A57,'[1]Nebris 11.27'!E:I,5,FALSE)</f>
        <v>574</v>
      </c>
      <c r="C57" s="4">
        <f>VLOOKUP(A57,'[1]Nebris 11.28.23'!E:I,5,FALSE)</f>
        <v>556</v>
      </c>
      <c r="D57" s="56">
        <f t="shared" si="2"/>
        <v>18</v>
      </c>
      <c r="E57" s="18">
        <f t="shared" si="0"/>
        <v>565</v>
      </c>
      <c r="F57" s="4">
        <v>1</v>
      </c>
      <c r="G57" s="4">
        <v>6</v>
      </c>
      <c r="H57" s="4">
        <v>0.49069188673463482</v>
      </c>
      <c r="I57" s="4">
        <v>210</v>
      </c>
      <c r="J57" s="4" t="str">
        <f t="shared" si="3"/>
        <v xml:space="preserve">10% MDGS Constant </v>
      </c>
      <c r="K57" s="18">
        <f>VLOOKUP(A57,'[1]Interim '!E:I,5,FALSE)*0.96</f>
        <v>754.56</v>
      </c>
      <c r="L57" s="31">
        <f t="shared" si="4"/>
        <v>3.2682758620689647</v>
      </c>
      <c r="M57" s="19">
        <f t="shared" si="5"/>
        <v>17.600603800338984</v>
      </c>
      <c r="N57" s="57">
        <f t="shared" si="6"/>
        <v>0.18569112168788313</v>
      </c>
      <c r="Y57" s="18"/>
    </row>
    <row r="58" spans="1:38" x14ac:dyDescent="0.2">
      <c r="A58" s="16">
        <v>4383</v>
      </c>
      <c r="B58" s="17">
        <f>VLOOKUP(A58,'[1]Nebris 11.27'!E:I,5,FALSE)</f>
        <v>574</v>
      </c>
      <c r="C58" s="4">
        <f>VLOOKUP(A58,'[1]Nebris 11.28.23'!E:I,5,FALSE)</f>
        <v>570</v>
      </c>
      <c r="D58" s="56">
        <f t="shared" si="2"/>
        <v>4</v>
      </c>
      <c r="E58" s="18">
        <f t="shared" si="0"/>
        <v>572</v>
      </c>
      <c r="F58" s="4">
        <v>1</v>
      </c>
      <c r="G58" s="4">
        <v>6</v>
      </c>
      <c r="H58" s="4">
        <v>0.69575627583770738</v>
      </c>
      <c r="I58" s="4">
        <v>211</v>
      </c>
      <c r="J58" s="4" t="str">
        <f t="shared" si="3"/>
        <v>Control</v>
      </c>
      <c r="K58" s="18">
        <f>VLOOKUP(A58,'[1]Interim '!E:I,5,FALSE)*0.96</f>
        <v>764.16</v>
      </c>
      <c r="L58" s="31">
        <f t="shared" si="4"/>
        <v>3.3131034482758617</v>
      </c>
      <c r="M58" s="19">
        <f t="shared" si="5"/>
        <v>16.604743725254238</v>
      </c>
      <c r="N58" s="57">
        <f t="shared" si="6"/>
        <v>0.19952752677760066</v>
      </c>
    </row>
    <row r="59" spans="1:38" x14ac:dyDescent="0.2">
      <c r="A59" s="16">
        <v>4498</v>
      </c>
      <c r="B59" s="17">
        <f>VLOOKUP(A59,'[1]Nebris 11.27'!E:I,5,FALSE)</f>
        <v>574</v>
      </c>
      <c r="C59" s="4">
        <f>VLOOKUP(A59,'[1]Nebris 11.28.23'!E:I,5,FALSE)</f>
        <v>576</v>
      </c>
      <c r="D59" s="56">
        <f t="shared" si="2"/>
        <v>-2</v>
      </c>
      <c r="E59" s="18">
        <f t="shared" si="0"/>
        <v>575</v>
      </c>
      <c r="F59" s="4">
        <v>1</v>
      </c>
      <c r="G59" s="4">
        <v>6</v>
      </c>
      <c r="H59" s="4">
        <v>0.78082891780537</v>
      </c>
      <c r="I59" s="4">
        <v>212</v>
      </c>
      <c r="J59" s="4" t="str">
        <f t="shared" si="3"/>
        <v>25% MDGS Variable</v>
      </c>
      <c r="K59" s="18">
        <f>VLOOKUP(A59,'[1]Interim '!E:I,5,FALSE)*0.96</f>
        <v>737.28</v>
      </c>
      <c r="L59" s="31">
        <f t="shared" si="4"/>
        <v>2.7979310344827582</v>
      </c>
      <c r="M59" s="19">
        <f t="shared" si="5"/>
        <v>19.734967466610168</v>
      </c>
      <c r="N59" s="57">
        <f t="shared" si="6"/>
        <v>0.14177530513879041</v>
      </c>
    </row>
    <row r="60" spans="1:38" x14ac:dyDescent="0.2">
      <c r="A60" s="16">
        <v>4565</v>
      </c>
      <c r="B60" s="17">
        <f>VLOOKUP(A60,'[1]Nebris 11.27'!E:I,5,FALSE)</f>
        <v>576</v>
      </c>
      <c r="C60" s="4">
        <f>VLOOKUP(A60,'[1]Nebris 11.28.23'!E:I,5,FALSE)</f>
        <v>572</v>
      </c>
      <c r="D60" s="56">
        <f t="shared" si="2"/>
        <v>4</v>
      </c>
      <c r="E60" s="18">
        <f t="shared" si="0"/>
        <v>574</v>
      </c>
      <c r="F60" s="4">
        <v>1</v>
      </c>
      <c r="G60" s="4">
        <v>6</v>
      </c>
      <c r="H60" s="4">
        <v>0.8931107154949891</v>
      </c>
      <c r="I60" s="4">
        <v>213</v>
      </c>
      <c r="J60" s="4" t="str">
        <f t="shared" si="3"/>
        <v>10% MDGS Variable</v>
      </c>
      <c r="K60" s="18">
        <f>VLOOKUP(A60,'[1]Interim '!E:I,5,FALSE)*0.96</f>
        <v>792.95999999999992</v>
      </c>
      <c r="L60" s="31">
        <f t="shared" si="4"/>
        <v>3.775172413793102</v>
      </c>
      <c r="M60" s="19">
        <f t="shared" si="5"/>
        <v>19.380345288983047</v>
      </c>
      <c r="N60" s="57">
        <f t="shared" si="6"/>
        <v>0.19479386757567921</v>
      </c>
    </row>
    <row r="61" spans="1:38" x14ac:dyDescent="0.2">
      <c r="A61" s="16">
        <v>4583</v>
      </c>
      <c r="B61" s="17">
        <f>VLOOKUP(A61,'[1]Nebris 11.27'!E:I,5,FALSE)</f>
        <v>576</v>
      </c>
      <c r="C61" s="4">
        <f>VLOOKUP(A61,'[1]Nebris 11.28.23'!E:I,5,FALSE)</f>
        <v>576</v>
      </c>
      <c r="D61" s="56">
        <f t="shared" si="2"/>
        <v>0</v>
      </c>
      <c r="E61" s="18">
        <f t="shared" si="0"/>
        <v>576</v>
      </c>
      <c r="F61" s="4">
        <v>1</v>
      </c>
      <c r="G61" s="4">
        <v>6</v>
      </c>
      <c r="H61" s="4">
        <v>0.90405637649809811</v>
      </c>
      <c r="I61" s="4">
        <v>214</v>
      </c>
      <c r="J61" s="4" t="str">
        <f t="shared" si="3"/>
        <v xml:space="preserve">25% MDGS Constant </v>
      </c>
      <c r="K61" s="18">
        <f>VLOOKUP(A61,'[1]Interim '!E:I,5,FALSE)*0.96</f>
        <v>762.24</v>
      </c>
      <c r="L61" s="31">
        <f t="shared" si="4"/>
        <v>3.2110344827586208</v>
      </c>
      <c r="M61" s="19">
        <f t="shared" si="5"/>
        <v>19.209834211186443</v>
      </c>
      <c r="N61" s="57">
        <f t="shared" si="6"/>
        <v>0.16715576237970561</v>
      </c>
    </row>
    <row r="62" spans="1:38" x14ac:dyDescent="0.2">
      <c r="A62" s="16">
        <v>4395</v>
      </c>
      <c r="B62" s="17">
        <f>VLOOKUP(A62,'[1]Nebris 11.27'!E:I,5,FALSE)</f>
        <v>580</v>
      </c>
      <c r="C62" s="4">
        <f>VLOOKUP(A62,'[1]Nebris 11.28.23'!E:I,5,FALSE)</f>
        <v>570</v>
      </c>
      <c r="D62" s="56">
        <f t="shared" si="2"/>
        <v>10</v>
      </c>
      <c r="E62" s="18">
        <f t="shared" si="0"/>
        <v>575</v>
      </c>
      <c r="F62" s="4">
        <v>1</v>
      </c>
      <c r="G62" s="4">
        <v>7</v>
      </c>
      <c r="H62" s="4">
        <v>0.1725702337687729</v>
      </c>
      <c r="I62" s="4">
        <v>205</v>
      </c>
      <c r="J62" s="4" t="str">
        <f t="shared" si="3"/>
        <v xml:space="preserve">10% MDGS Constant </v>
      </c>
      <c r="K62" s="18">
        <f>VLOOKUP(A62,'[1]Interim '!E:I,5,FALSE)*0.96</f>
        <v>725.76</v>
      </c>
      <c r="L62" s="31">
        <f t="shared" si="4"/>
        <v>2.5993103448275861</v>
      </c>
      <c r="M62" s="19">
        <f t="shared" si="5"/>
        <v>18.341718115932199</v>
      </c>
      <c r="N62" s="57">
        <f t="shared" si="6"/>
        <v>0.14171575031292966</v>
      </c>
    </row>
    <row r="63" spans="1:38" x14ac:dyDescent="0.2">
      <c r="A63" s="16">
        <v>4535</v>
      </c>
      <c r="B63" s="17">
        <f>VLOOKUP(A63,'[1]Nebris 11.27'!E:I,5,FALSE)</f>
        <v>580</v>
      </c>
      <c r="C63" s="4">
        <f>VLOOKUP(A63,'[1]Nebris 11.28.23'!E:I,5,FALSE)</f>
        <v>594</v>
      </c>
      <c r="D63" s="56">
        <f t="shared" si="2"/>
        <v>-14</v>
      </c>
      <c r="E63" s="18">
        <f t="shared" si="0"/>
        <v>587</v>
      </c>
      <c r="F63" s="4">
        <v>1</v>
      </c>
      <c r="G63" s="4">
        <v>7</v>
      </c>
      <c r="H63" s="4">
        <v>0.1891056666169989</v>
      </c>
      <c r="I63" s="4">
        <v>206</v>
      </c>
      <c r="J63" s="4" t="str">
        <f t="shared" si="3"/>
        <v>10% MDGS Variable</v>
      </c>
      <c r="K63" s="18">
        <f>VLOOKUP(A63,'[1]Interim '!E:I,5,FALSE)*0.96</f>
        <v>750.72</v>
      </c>
      <c r="L63" s="31">
        <f t="shared" si="4"/>
        <v>2.8227586206896556</v>
      </c>
      <c r="M63" s="19">
        <f t="shared" si="5"/>
        <v>18.076575727457623</v>
      </c>
      <c r="N63" s="57">
        <f t="shared" si="6"/>
        <v>0.15615560509073595</v>
      </c>
    </row>
    <row r="64" spans="1:38" x14ac:dyDescent="0.2">
      <c r="A64" s="16">
        <v>4549</v>
      </c>
      <c r="B64" s="17">
        <f>VLOOKUP(A64,'[1]Nebris 11.27'!E:I,5,FALSE)</f>
        <v>580</v>
      </c>
      <c r="C64" s="4">
        <f>VLOOKUP(A64,'[1]Nebris 11.28.23'!E:I,5,FALSE)</f>
        <v>580</v>
      </c>
      <c r="D64" s="56">
        <f t="shared" si="2"/>
        <v>0</v>
      </c>
      <c r="E64" s="18">
        <f t="shared" si="0"/>
        <v>580</v>
      </c>
      <c r="F64" s="4">
        <v>1</v>
      </c>
      <c r="G64" s="4">
        <v>7</v>
      </c>
      <c r="H64" s="4">
        <v>0.22049185081094957</v>
      </c>
      <c r="I64" s="4">
        <v>207</v>
      </c>
      <c r="J64" s="4" t="str">
        <f t="shared" si="3"/>
        <v>Control</v>
      </c>
      <c r="K64" s="18">
        <f>VLOOKUP(A64,'[1]Interim '!E:I,5,FALSE)*0.96</f>
        <v>752.64</v>
      </c>
      <c r="L64" s="31">
        <f t="shared" si="4"/>
        <v>2.9765517241379307</v>
      </c>
      <c r="M64" s="19">
        <f t="shared" si="5"/>
        <v>18.548330779491526</v>
      </c>
      <c r="N64" s="57">
        <f t="shared" si="6"/>
        <v>0.16047544976009578</v>
      </c>
    </row>
    <row r="65" spans="1:14" x14ac:dyDescent="0.2">
      <c r="A65" s="16">
        <v>4736</v>
      </c>
      <c r="B65" s="17">
        <f>VLOOKUP(A65,'[1]Nebris 11.27'!E:I,5,FALSE)</f>
        <v>580</v>
      </c>
      <c r="C65" s="4">
        <f>VLOOKUP(A65,'[1]Nebris 11.28.23'!E:I,5,FALSE)</f>
        <v>582</v>
      </c>
      <c r="D65" s="56">
        <f t="shared" si="2"/>
        <v>-2</v>
      </c>
      <c r="E65" s="18">
        <f t="shared" si="0"/>
        <v>581</v>
      </c>
      <c r="F65" s="4">
        <v>1</v>
      </c>
      <c r="G65" s="4">
        <v>7</v>
      </c>
      <c r="H65" s="4">
        <v>0.48308647530405702</v>
      </c>
      <c r="I65" s="4">
        <v>208</v>
      </c>
      <c r="J65" s="4" t="str">
        <f t="shared" si="3"/>
        <v>25% MDGS Variable</v>
      </c>
      <c r="K65" s="18">
        <f>VLOOKUP(A65,'[1]Interim '!E:I,5,FALSE)*0.96</f>
        <v>731.52</v>
      </c>
      <c r="L65" s="31">
        <f t="shared" si="4"/>
        <v>2.5951724137931031</v>
      </c>
      <c r="M65" s="19">
        <f t="shared" si="5"/>
        <v>20.130156931525423</v>
      </c>
      <c r="N65" s="57">
        <f t="shared" si="6"/>
        <v>0.12891963150713728</v>
      </c>
    </row>
    <row r="66" spans="1:14" x14ac:dyDescent="0.2">
      <c r="A66" s="16">
        <v>4415</v>
      </c>
      <c r="B66" s="17">
        <f>VLOOKUP(A66,'[1]Nebris 11.27'!E:I,5,FALSE)</f>
        <v>578</v>
      </c>
      <c r="C66" s="4">
        <f>VLOOKUP(A66,'[1]Nebris 11.28.23'!E:I,5,FALSE)</f>
        <v>586</v>
      </c>
      <c r="D66" s="56">
        <f t="shared" si="2"/>
        <v>-8</v>
      </c>
      <c r="E66" s="18">
        <f t="shared" ref="E66:E129" si="18">AVERAGE(B66:C66)</f>
        <v>582</v>
      </c>
      <c r="F66" s="4">
        <v>1</v>
      </c>
      <c r="G66" s="4">
        <v>7</v>
      </c>
      <c r="H66" s="4">
        <v>0.48771191841099248</v>
      </c>
      <c r="I66" s="4">
        <v>209</v>
      </c>
      <c r="J66" s="4" t="str">
        <f t="shared" si="3"/>
        <v xml:space="preserve">25% MDGS Constant </v>
      </c>
      <c r="K66" s="18">
        <f>VLOOKUP(A66,'[1]Interim '!E:I,5,FALSE)*0.96</f>
        <v>819.83999999999992</v>
      </c>
      <c r="L66" s="31">
        <f t="shared" si="4"/>
        <v>4.1006896551724124</v>
      </c>
      <c r="M66" s="19">
        <f t="shared" si="5"/>
        <v>19.349136979491519</v>
      </c>
      <c r="N66" s="57">
        <f t="shared" si="6"/>
        <v>0.21193139825919902</v>
      </c>
    </row>
    <row r="67" spans="1:14" x14ac:dyDescent="0.2">
      <c r="A67" s="16">
        <v>4339</v>
      </c>
      <c r="B67" s="17">
        <f>VLOOKUP(A67,'[1]Nebris 11.27'!E:I,5,FALSE)</f>
        <v>578</v>
      </c>
      <c r="C67" s="4">
        <f>VLOOKUP(A67,'[1]Nebris 11.28.23'!E:I,5,FALSE)</f>
        <v>586</v>
      </c>
      <c r="D67" s="56">
        <f t="shared" ref="D67:D130" si="19">B67-C67</f>
        <v>-8</v>
      </c>
      <c r="E67" s="18">
        <f t="shared" si="18"/>
        <v>582</v>
      </c>
      <c r="F67" s="4">
        <v>1</v>
      </c>
      <c r="G67" s="4">
        <v>7</v>
      </c>
      <c r="H67" s="4">
        <v>0.70057535847945385</v>
      </c>
      <c r="I67" s="4">
        <v>210</v>
      </c>
      <c r="J67" s="4" t="str">
        <f t="shared" ref="J67:J130" si="20">VLOOKUP(I67,$T$2:$X$57,5,FALSE)</f>
        <v xml:space="preserve">10% MDGS Constant </v>
      </c>
      <c r="K67" s="18">
        <f>VLOOKUP(A67,'[1]Interim '!E:I,5,FALSE)*0.96</f>
        <v>769.92</v>
      </c>
      <c r="L67" s="31">
        <f t="shared" ref="L67:L130" si="21">(K67-E67)/58</f>
        <v>3.2399999999999993</v>
      </c>
      <c r="M67" s="19">
        <f t="shared" ref="M67:M130" si="22">VLOOKUP(I67,$AL$1:$AM$40,2,FALSE)</f>
        <v>17.600603800338984</v>
      </c>
      <c r="N67" s="57">
        <f t="shared" ref="N67:N130" si="23">L67/M67</f>
        <v>0.18408459373067632</v>
      </c>
    </row>
    <row r="68" spans="1:14" x14ac:dyDescent="0.2">
      <c r="A68" s="16">
        <v>4660</v>
      </c>
      <c r="B68" s="17">
        <f>VLOOKUP(A68,'[1]Nebris 11.27'!E:I,5,FALSE)</f>
        <v>580</v>
      </c>
      <c r="C68" s="4">
        <f>VLOOKUP(A68,'[1]Nebris 11.28.23'!E:I,5,FALSE)</f>
        <v>582</v>
      </c>
      <c r="D68" s="56">
        <f t="shared" si="19"/>
        <v>-2</v>
      </c>
      <c r="E68" s="18">
        <f t="shared" si="18"/>
        <v>581</v>
      </c>
      <c r="F68" s="4">
        <v>1</v>
      </c>
      <c r="G68" s="4">
        <v>7</v>
      </c>
      <c r="H68" s="4">
        <v>0.70137742355125454</v>
      </c>
      <c r="I68" s="4">
        <v>211</v>
      </c>
      <c r="J68" s="4" t="str">
        <f t="shared" si="20"/>
        <v>Control</v>
      </c>
      <c r="K68" s="18">
        <f>VLOOKUP(A68,'[1]Interim '!E:I,5,FALSE)*0.96</f>
        <v>708.48</v>
      </c>
      <c r="L68" s="31">
        <f t="shared" si="21"/>
        <v>2.1979310344827589</v>
      </c>
      <c r="M68" s="19">
        <f t="shared" si="22"/>
        <v>16.604743725254238</v>
      </c>
      <c r="N68" s="57">
        <f t="shared" si="23"/>
        <v>0.13236765775191789</v>
      </c>
    </row>
    <row r="69" spans="1:14" x14ac:dyDescent="0.2">
      <c r="A69" s="16">
        <v>4444</v>
      </c>
      <c r="B69" s="17">
        <f>VLOOKUP(A69,'[1]Nebris 11.27'!E:I,5,FALSE)</f>
        <v>580</v>
      </c>
      <c r="C69" s="4">
        <f>VLOOKUP(A69,'[1]Nebris 11.28.23'!E:I,5,FALSE)</f>
        <v>576</v>
      </c>
      <c r="D69" s="56">
        <f t="shared" si="19"/>
        <v>4</v>
      </c>
      <c r="E69" s="18">
        <f t="shared" si="18"/>
        <v>578</v>
      </c>
      <c r="F69" s="4">
        <v>1</v>
      </c>
      <c r="G69" s="4">
        <v>7</v>
      </c>
      <c r="H69" s="4">
        <v>0.76591954523643779</v>
      </c>
      <c r="I69" s="4">
        <v>212</v>
      </c>
      <c r="J69" s="4" t="str">
        <f t="shared" si="20"/>
        <v>25% MDGS Variable</v>
      </c>
      <c r="K69" s="18">
        <f>VLOOKUP(A69,'[1]Interim '!E:I,5,FALSE)*0.96</f>
        <v>777.6</v>
      </c>
      <c r="L69" s="31">
        <f t="shared" si="21"/>
        <v>3.441379310344828</v>
      </c>
      <c r="M69" s="19">
        <f t="shared" si="22"/>
        <v>19.734967466610168</v>
      </c>
      <c r="N69" s="57">
        <f t="shared" si="23"/>
        <v>0.17437978127743761</v>
      </c>
    </row>
    <row r="70" spans="1:14" x14ac:dyDescent="0.2">
      <c r="A70" s="16">
        <v>4659</v>
      </c>
      <c r="B70" s="17">
        <f>VLOOKUP(A70,'[1]Nebris 11.27'!E:I,5,FALSE)</f>
        <v>580</v>
      </c>
      <c r="C70" s="4">
        <f>VLOOKUP(A70,'[1]Nebris 11.28.23'!E:I,5,FALSE)</f>
        <v>586</v>
      </c>
      <c r="D70" s="56">
        <f t="shared" si="19"/>
        <v>-6</v>
      </c>
      <c r="E70" s="18">
        <f t="shared" si="18"/>
        <v>583</v>
      </c>
      <c r="F70" s="4">
        <v>1</v>
      </c>
      <c r="G70" s="4">
        <v>7</v>
      </c>
      <c r="H70" s="4">
        <v>0.76641383921830186</v>
      </c>
      <c r="I70" s="4">
        <v>213</v>
      </c>
      <c r="J70" s="4" t="str">
        <f t="shared" si="20"/>
        <v>10% MDGS Variable</v>
      </c>
      <c r="K70" s="18">
        <f>VLOOKUP(A70,'[1]Interim '!E:I,5,FALSE)*0.96</f>
        <v>804.48</v>
      </c>
      <c r="L70" s="31">
        <f t="shared" si="21"/>
        <v>3.8186206896551727</v>
      </c>
      <c r="M70" s="19">
        <f t="shared" si="22"/>
        <v>19.380345288983047</v>
      </c>
      <c r="N70" s="57">
        <f t="shared" si="23"/>
        <v>0.19703574073192112</v>
      </c>
    </row>
    <row r="71" spans="1:14" x14ac:dyDescent="0.2">
      <c r="A71" s="16">
        <v>4345</v>
      </c>
      <c r="B71" s="17">
        <f>VLOOKUP(A71,'[1]Nebris 11.27'!E:I,5,FALSE)</f>
        <v>580</v>
      </c>
      <c r="C71" s="4">
        <f>VLOOKUP(A71,'[1]Nebris 11.28.23'!E:I,5,FALSE)</f>
        <v>584</v>
      </c>
      <c r="D71" s="56">
        <f t="shared" si="19"/>
        <v>-4</v>
      </c>
      <c r="E71" s="18">
        <f t="shared" si="18"/>
        <v>582</v>
      </c>
      <c r="F71" s="4">
        <v>1</v>
      </c>
      <c r="G71" s="4">
        <v>7</v>
      </c>
      <c r="H71" s="4">
        <v>0.76800048747714489</v>
      </c>
      <c r="I71" s="4">
        <v>214</v>
      </c>
      <c r="J71" s="4" t="str">
        <f t="shared" si="20"/>
        <v xml:space="preserve">25% MDGS Constant </v>
      </c>
      <c r="K71" s="18">
        <f>VLOOKUP(A71,'[1]Interim '!E:I,5,FALSE)*0.96</f>
        <v>741.12</v>
      </c>
      <c r="L71" s="31">
        <f t="shared" si="21"/>
        <v>2.7434482758620691</v>
      </c>
      <c r="M71" s="19">
        <f t="shared" si="22"/>
        <v>19.209834211186443</v>
      </c>
      <c r="N71" s="57">
        <f t="shared" si="23"/>
        <v>0.1428147815177124</v>
      </c>
    </row>
    <row r="72" spans="1:14" x14ac:dyDescent="0.2">
      <c r="A72" s="16">
        <v>4545</v>
      </c>
      <c r="B72" s="17">
        <f>VLOOKUP(A72,'[1]Nebris 11.27'!E:I,5,FALSE)</f>
        <v>584</v>
      </c>
      <c r="C72" s="4">
        <f>VLOOKUP(A72,'[1]Nebris 11.28.23'!E:I,5,FALSE)</f>
        <v>574</v>
      </c>
      <c r="D72" s="56">
        <f t="shared" si="19"/>
        <v>10</v>
      </c>
      <c r="E72" s="18">
        <f t="shared" si="18"/>
        <v>579</v>
      </c>
      <c r="F72" s="4">
        <v>1</v>
      </c>
      <c r="G72" s="4">
        <v>8</v>
      </c>
      <c r="H72" s="4">
        <v>0.10196000293483043</v>
      </c>
      <c r="I72" s="4">
        <v>205</v>
      </c>
      <c r="J72" s="4" t="str">
        <f t="shared" si="20"/>
        <v xml:space="preserve">10% MDGS Constant </v>
      </c>
      <c r="K72" s="18">
        <f>VLOOKUP(A72,'[1]Interim '!E:I,5,FALSE)*0.96</f>
        <v>721.92</v>
      </c>
      <c r="L72" s="31">
        <f t="shared" si="21"/>
        <v>2.464137931034482</v>
      </c>
      <c r="M72" s="19">
        <f t="shared" si="22"/>
        <v>18.341718115932199</v>
      </c>
      <c r="N72" s="57">
        <f t="shared" si="23"/>
        <v>0.13434608009235807</v>
      </c>
    </row>
    <row r="73" spans="1:14" x14ac:dyDescent="0.2">
      <c r="A73" s="16">
        <v>4638</v>
      </c>
      <c r="B73" s="17">
        <f>VLOOKUP(A73,'[1]Nebris 11.27'!E:I,5,FALSE)</f>
        <v>584</v>
      </c>
      <c r="C73" s="4">
        <f>VLOOKUP(A73,'[1]Nebris 11.28.23'!E:I,5,FALSE)</f>
        <v>590</v>
      </c>
      <c r="D73" s="56">
        <f t="shared" si="19"/>
        <v>-6</v>
      </c>
      <c r="E73" s="18">
        <f t="shared" si="18"/>
        <v>587</v>
      </c>
      <c r="F73" s="4">
        <v>1</v>
      </c>
      <c r="G73" s="4">
        <v>8</v>
      </c>
      <c r="H73" s="4">
        <v>0.13170372475233638</v>
      </c>
      <c r="I73" s="4">
        <v>206</v>
      </c>
      <c r="J73" s="4" t="str">
        <f t="shared" si="20"/>
        <v>10% MDGS Variable</v>
      </c>
      <c r="K73" s="18">
        <f>VLOOKUP(A73,'[1]Interim '!E:I,5,FALSE)*0.96</f>
        <v>716.16</v>
      </c>
      <c r="L73" s="31">
        <f t="shared" si="21"/>
        <v>2.2268965517241375</v>
      </c>
      <c r="M73" s="19">
        <f t="shared" si="22"/>
        <v>18.076575727457623</v>
      </c>
      <c r="N73" s="57">
        <f t="shared" si="23"/>
        <v>0.12319238916149187</v>
      </c>
    </row>
    <row r="74" spans="1:14" x14ac:dyDescent="0.2">
      <c r="A74" s="16">
        <v>4710</v>
      </c>
      <c r="B74" s="17">
        <f>VLOOKUP(A74,'[1]Nebris 11.27'!E:I,5,FALSE)</f>
        <v>582</v>
      </c>
      <c r="C74" s="4">
        <f>VLOOKUP(A74,'[1]Nebris 11.28.23'!E:I,5,FALSE)</f>
        <v>594</v>
      </c>
      <c r="D74" s="56">
        <f t="shared" si="19"/>
        <v>-12</v>
      </c>
      <c r="E74" s="18">
        <f t="shared" si="18"/>
        <v>588</v>
      </c>
      <c r="F74" s="4">
        <v>1</v>
      </c>
      <c r="G74" s="4">
        <v>8</v>
      </c>
      <c r="H74" s="4">
        <v>0.24497559154918536</v>
      </c>
      <c r="I74" s="4">
        <v>207</v>
      </c>
      <c r="J74" s="4" t="str">
        <f t="shared" si="20"/>
        <v>Control</v>
      </c>
      <c r="K74" s="18">
        <f>VLOOKUP(A74,'[1]Interim '!E:I,5,FALSE)*0.96</f>
        <v>762.24</v>
      </c>
      <c r="L74" s="31">
        <f t="shared" si="21"/>
        <v>3.0041379310344829</v>
      </c>
      <c r="M74" s="19">
        <f t="shared" si="22"/>
        <v>18.548330779491526</v>
      </c>
      <c r="N74" s="57">
        <f t="shared" si="23"/>
        <v>0.16196271064758511</v>
      </c>
    </row>
    <row r="75" spans="1:14" x14ac:dyDescent="0.2">
      <c r="A75" s="16">
        <v>4602</v>
      </c>
      <c r="B75" s="17">
        <f>VLOOKUP(A75,'[1]Nebris 11.27'!E:I,5,FALSE)</f>
        <v>582</v>
      </c>
      <c r="C75" s="4">
        <f>VLOOKUP(A75,'[1]Nebris 11.28.23'!E:I,5,FALSE)</f>
        <v>582</v>
      </c>
      <c r="D75" s="56">
        <f t="shared" si="19"/>
        <v>0</v>
      </c>
      <c r="E75" s="18">
        <f t="shared" si="18"/>
        <v>582</v>
      </c>
      <c r="F75" s="4">
        <v>1</v>
      </c>
      <c r="G75" s="4">
        <v>8</v>
      </c>
      <c r="H75" s="4">
        <v>0.42035538945004569</v>
      </c>
      <c r="I75" s="4">
        <v>208</v>
      </c>
      <c r="J75" s="4" t="str">
        <f t="shared" si="20"/>
        <v>25% MDGS Variable</v>
      </c>
      <c r="K75" s="18">
        <f>VLOOKUP(A75,'[1]Interim '!E:I,5,FALSE)*0.96</f>
        <v>773.76</v>
      </c>
      <c r="L75" s="31">
        <f t="shared" si="21"/>
        <v>3.306206896551724</v>
      </c>
      <c r="M75" s="19">
        <f t="shared" si="22"/>
        <v>20.130156931525423</v>
      </c>
      <c r="N75" s="57">
        <f t="shared" si="23"/>
        <v>0.16424148643242525</v>
      </c>
    </row>
    <row r="76" spans="1:14" x14ac:dyDescent="0.2">
      <c r="A76" s="16">
        <v>4682</v>
      </c>
      <c r="B76" s="17">
        <f>VLOOKUP(A76,'[1]Nebris 11.27'!E:I,5,FALSE)</f>
        <v>582</v>
      </c>
      <c r="C76" s="4">
        <f>VLOOKUP(A76,'[1]Nebris 11.28.23'!E:I,5,FALSE)</f>
        <v>600</v>
      </c>
      <c r="D76" s="56">
        <f t="shared" si="19"/>
        <v>-18</v>
      </c>
      <c r="E76" s="18">
        <f t="shared" si="18"/>
        <v>591</v>
      </c>
      <c r="F76" s="4">
        <v>1</v>
      </c>
      <c r="G76" s="4">
        <v>8</v>
      </c>
      <c r="H76" s="4">
        <v>0.44863527410285431</v>
      </c>
      <c r="I76" s="4">
        <v>209</v>
      </c>
      <c r="J76" s="4" t="str">
        <f t="shared" si="20"/>
        <v xml:space="preserve">25% MDGS Constant </v>
      </c>
      <c r="K76" s="18">
        <f>VLOOKUP(A76,'[1]Interim '!E:I,5,FALSE)*0.96</f>
        <v>775.68</v>
      </c>
      <c r="L76" s="31">
        <f t="shared" si="21"/>
        <v>3.1841379310344817</v>
      </c>
      <c r="M76" s="19">
        <f t="shared" si="22"/>
        <v>19.349136979491519</v>
      </c>
      <c r="N76" s="57">
        <f t="shared" si="23"/>
        <v>0.16456227140308138</v>
      </c>
    </row>
    <row r="77" spans="1:14" x14ac:dyDescent="0.2">
      <c r="A77" s="16">
        <v>4760</v>
      </c>
      <c r="B77" s="17">
        <f>VLOOKUP(A77,'[1]Nebris 11.27'!E:I,5,FALSE)</f>
        <v>580</v>
      </c>
      <c r="C77" s="4">
        <f>VLOOKUP(A77,'[1]Nebris 11.28.23'!E:I,5,FALSE)</f>
        <v>596</v>
      </c>
      <c r="D77" s="56">
        <f t="shared" si="19"/>
        <v>-16</v>
      </c>
      <c r="E77" s="18">
        <f t="shared" si="18"/>
        <v>588</v>
      </c>
      <c r="F77" s="4">
        <v>1</v>
      </c>
      <c r="G77" s="4">
        <v>8</v>
      </c>
      <c r="H77" s="4">
        <v>0.48680998777118756</v>
      </c>
      <c r="I77" s="4">
        <v>210</v>
      </c>
      <c r="J77" s="4" t="str">
        <f t="shared" si="20"/>
        <v xml:space="preserve">10% MDGS Constant </v>
      </c>
      <c r="K77" s="18">
        <f>VLOOKUP(A77,'[1]Interim '!E:I,5,FALSE)*0.96</f>
        <v>762.24</v>
      </c>
      <c r="L77" s="31">
        <f t="shared" si="21"/>
        <v>3.0041379310344829</v>
      </c>
      <c r="M77" s="19">
        <f t="shared" si="22"/>
        <v>17.600603800338984</v>
      </c>
      <c r="N77" s="57">
        <f t="shared" si="23"/>
        <v>0.17068379955104857</v>
      </c>
    </row>
    <row r="78" spans="1:14" x14ac:dyDescent="0.2">
      <c r="A78" s="16">
        <v>4311</v>
      </c>
      <c r="B78" s="17">
        <f>VLOOKUP(A78,'[1]Nebris 11.27'!E:I,5,FALSE)</f>
        <v>586</v>
      </c>
      <c r="C78" s="4">
        <f>VLOOKUP(A78,'[1]Nebris 11.28.23'!E:I,5,FALSE)</f>
        <v>596</v>
      </c>
      <c r="D78" s="56">
        <f t="shared" si="19"/>
        <v>-10</v>
      </c>
      <c r="E78" s="18">
        <f t="shared" si="18"/>
        <v>591</v>
      </c>
      <c r="F78" s="4">
        <v>1</v>
      </c>
      <c r="G78" s="4">
        <v>8</v>
      </c>
      <c r="H78" s="4">
        <v>0.63533078098269258</v>
      </c>
      <c r="I78" s="4">
        <v>211</v>
      </c>
      <c r="J78" s="4" t="str">
        <f t="shared" si="20"/>
        <v>Control</v>
      </c>
      <c r="K78" s="18">
        <f>VLOOKUP(A78,'[1]Interim '!E:I,5,FALSE)*0.96</f>
        <v>808.31999999999994</v>
      </c>
      <c r="L78" s="31">
        <f t="shared" si="21"/>
        <v>3.746896551724137</v>
      </c>
      <c r="M78" s="19">
        <f t="shared" si="22"/>
        <v>16.604743725254238</v>
      </c>
      <c r="N78" s="57">
        <f t="shared" si="23"/>
        <v>0.22565217589148717</v>
      </c>
    </row>
    <row r="79" spans="1:14" x14ac:dyDescent="0.2">
      <c r="A79" s="16">
        <v>4770</v>
      </c>
      <c r="B79" s="17">
        <f>VLOOKUP(A79,'[1]Nebris 11.27'!E:I,5,FALSE)</f>
        <v>584</v>
      </c>
      <c r="C79" s="4">
        <f>VLOOKUP(A79,'[1]Nebris 11.28.23'!E:I,5,FALSE)</f>
        <v>582</v>
      </c>
      <c r="D79" s="56">
        <f t="shared" si="19"/>
        <v>2</v>
      </c>
      <c r="E79" s="18">
        <f t="shared" si="18"/>
        <v>583</v>
      </c>
      <c r="F79" s="4">
        <v>1</v>
      </c>
      <c r="G79" s="4">
        <v>8</v>
      </c>
      <c r="H79" s="4">
        <v>0.64825977226260501</v>
      </c>
      <c r="I79" s="4">
        <v>212</v>
      </c>
      <c r="J79" s="4" t="str">
        <f t="shared" si="20"/>
        <v>25% MDGS Variable</v>
      </c>
      <c r="K79" s="18">
        <f>VLOOKUP(A79,'[1]Interim '!E:I,5,FALSE)*0.96</f>
        <v>785.28</v>
      </c>
      <c r="L79" s="31">
        <f t="shared" si="21"/>
        <v>3.4875862068965513</v>
      </c>
      <c r="M79" s="19">
        <f t="shared" si="22"/>
        <v>19.734967466610168</v>
      </c>
      <c r="N79" s="57">
        <f t="shared" si="23"/>
        <v>0.17672115309018072</v>
      </c>
    </row>
    <row r="80" spans="1:14" x14ac:dyDescent="0.2">
      <c r="A80" s="16">
        <v>4504</v>
      </c>
      <c r="B80" s="17">
        <f>VLOOKUP(A80,'[1]Nebris 11.27'!E:I,5,FALSE)</f>
        <v>582</v>
      </c>
      <c r="C80" s="4">
        <f>VLOOKUP(A80,'[1]Nebris 11.28.23'!E:I,5,FALSE)</f>
        <v>574</v>
      </c>
      <c r="D80" s="56">
        <f t="shared" si="19"/>
        <v>8</v>
      </c>
      <c r="E80" s="18">
        <f t="shared" si="18"/>
        <v>578</v>
      </c>
      <c r="F80" s="4">
        <v>1</v>
      </c>
      <c r="G80" s="4">
        <v>8</v>
      </c>
      <c r="H80" s="4">
        <v>0.73059347561769317</v>
      </c>
      <c r="I80" s="4">
        <v>213</v>
      </c>
      <c r="J80" s="4" t="str">
        <f t="shared" si="20"/>
        <v>10% MDGS Variable</v>
      </c>
      <c r="K80" s="18">
        <f>VLOOKUP(A80,'[1]Interim '!E:I,5,FALSE)*0.96</f>
        <v>817.92</v>
      </c>
      <c r="L80" s="31">
        <f t="shared" si="21"/>
        <v>4.1365517241379299</v>
      </c>
      <c r="M80" s="19">
        <f t="shared" si="22"/>
        <v>19.380345288983047</v>
      </c>
      <c r="N80" s="57">
        <f t="shared" si="23"/>
        <v>0.21344055858950017</v>
      </c>
    </row>
    <row r="81" spans="1:14" x14ac:dyDescent="0.2">
      <c r="A81" s="16">
        <v>4593</v>
      </c>
      <c r="B81" s="17">
        <f>VLOOKUP(A81,'[1]Nebris 11.27'!E:I,5,FALSE)</f>
        <v>582</v>
      </c>
      <c r="C81" s="4">
        <f>VLOOKUP(A81,'[1]Nebris 11.28.23'!E:I,5,FALSE)</f>
        <v>598</v>
      </c>
      <c r="D81" s="56">
        <f t="shared" si="19"/>
        <v>-16</v>
      </c>
      <c r="E81" s="18">
        <f t="shared" si="18"/>
        <v>590</v>
      </c>
      <c r="F81" s="4">
        <v>1</v>
      </c>
      <c r="G81" s="4">
        <v>8</v>
      </c>
      <c r="H81" s="4">
        <v>0.90969687363223128</v>
      </c>
      <c r="I81" s="4">
        <v>214</v>
      </c>
      <c r="J81" s="4" t="str">
        <f t="shared" si="20"/>
        <v xml:space="preserve">25% MDGS Constant </v>
      </c>
      <c r="K81" s="18">
        <f>VLOOKUP(A81,'[1]Interim '!E:I,5,FALSE)*0.96</f>
        <v>817.92</v>
      </c>
      <c r="L81" s="31">
        <f t="shared" si="21"/>
        <v>3.9296551724137925</v>
      </c>
      <c r="M81" s="19">
        <f t="shared" si="22"/>
        <v>19.209834211186443</v>
      </c>
      <c r="N81" s="57">
        <f t="shared" si="23"/>
        <v>0.20456476246554176</v>
      </c>
    </row>
    <row r="82" spans="1:14" x14ac:dyDescent="0.2">
      <c r="A82" s="16">
        <v>4336</v>
      </c>
      <c r="B82" s="17">
        <f>VLOOKUP(A82,'[1]Nebris 11.27'!E:I,5,FALSE)</f>
        <v>586</v>
      </c>
      <c r="C82" s="4">
        <f>VLOOKUP(A82,'[1]Nebris 11.28.23'!E:I,5,FALSE)</f>
        <v>606</v>
      </c>
      <c r="D82" s="56">
        <f t="shared" si="19"/>
        <v>-20</v>
      </c>
      <c r="E82" s="18">
        <f t="shared" si="18"/>
        <v>596</v>
      </c>
      <c r="F82" s="4">
        <v>1</v>
      </c>
      <c r="G82" s="4">
        <v>9</v>
      </c>
      <c r="H82" s="4">
        <v>0.1412090500715919</v>
      </c>
      <c r="I82" s="4">
        <v>205</v>
      </c>
      <c r="J82" s="4" t="str">
        <f t="shared" si="20"/>
        <v xml:space="preserve">10% MDGS Constant </v>
      </c>
      <c r="K82" s="18">
        <f>VLOOKUP(A82,'[1]Interim '!E:I,5,FALSE)*0.96</f>
        <v>796.8</v>
      </c>
      <c r="L82" s="31">
        <f t="shared" si="21"/>
        <v>3.4620689655172407</v>
      </c>
      <c r="M82" s="19">
        <f t="shared" si="22"/>
        <v>18.341718115932199</v>
      </c>
      <c r="N82" s="57">
        <f t="shared" si="23"/>
        <v>0.18875379850647567</v>
      </c>
    </row>
    <row r="83" spans="1:14" x14ac:dyDescent="0.2">
      <c r="A83" s="16">
        <v>4747</v>
      </c>
      <c r="B83" s="17">
        <f>VLOOKUP(A83,'[1]Nebris 11.27'!E:I,5,FALSE)</f>
        <v>586</v>
      </c>
      <c r="C83" s="4">
        <f>VLOOKUP(A83,'[1]Nebris 11.28.23'!E:I,5,FALSE)</f>
        <v>582</v>
      </c>
      <c r="D83" s="56">
        <f t="shared" si="19"/>
        <v>4</v>
      </c>
      <c r="E83" s="18">
        <f t="shared" si="18"/>
        <v>584</v>
      </c>
      <c r="F83" s="4">
        <v>1</v>
      </c>
      <c r="G83" s="4">
        <v>9</v>
      </c>
      <c r="H83" s="4">
        <v>0.35906640434303339</v>
      </c>
      <c r="I83" s="4">
        <v>206</v>
      </c>
      <c r="J83" s="4" t="str">
        <f t="shared" si="20"/>
        <v>10% MDGS Variable</v>
      </c>
      <c r="K83" s="18">
        <f>VLOOKUP(A83,'[1]Interim '!E:I,5,FALSE)*0.96</f>
        <v>798.72</v>
      </c>
      <c r="L83" s="31">
        <f t="shared" si="21"/>
        <v>3.7020689655172418</v>
      </c>
      <c r="M83" s="19">
        <f t="shared" si="22"/>
        <v>18.076575727457623</v>
      </c>
      <c r="N83" s="57">
        <f t="shared" si="23"/>
        <v>0.204799239708544</v>
      </c>
    </row>
    <row r="84" spans="1:14" x14ac:dyDescent="0.2">
      <c r="A84" s="16">
        <v>4769</v>
      </c>
      <c r="B84" s="17">
        <f>VLOOKUP(A84,'[1]Nebris 11.27'!E:I,5,FALSE)</f>
        <v>586</v>
      </c>
      <c r="C84" s="4">
        <f>VLOOKUP(A84,'[1]Nebris 11.28.23'!E:I,5,FALSE)</f>
        <v>598</v>
      </c>
      <c r="D84" s="56">
        <f t="shared" si="19"/>
        <v>-12</v>
      </c>
      <c r="E84" s="18">
        <f t="shared" si="18"/>
        <v>592</v>
      </c>
      <c r="F84" s="4">
        <v>1</v>
      </c>
      <c r="G84" s="4">
        <v>9</v>
      </c>
      <c r="H84" s="4">
        <v>0.41571224766763859</v>
      </c>
      <c r="I84" s="4">
        <v>207</v>
      </c>
      <c r="J84" s="4" t="str">
        <f t="shared" si="20"/>
        <v>Control</v>
      </c>
      <c r="K84" s="18">
        <f>VLOOKUP(A84,'[1]Interim '!E:I,5,FALSE)*0.96</f>
        <v>787.19999999999993</v>
      </c>
      <c r="L84" s="31">
        <f t="shared" si="21"/>
        <v>3.3655172413793091</v>
      </c>
      <c r="M84" s="19">
        <f t="shared" si="22"/>
        <v>18.548330779491526</v>
      </c>
      <c r="N84" s="57">
        <f t="shared" si="23"/>
        <v>0.1814458282736949</v>
      </c>
    </row>
    <row r="85" spans="1:14" x14ac:dyDescent="0.2">
      <c r="A85" s="16">
        <v>4678</v>
      </c>
      <c r="B85" s="17">
        <f>VLOOKUP(A85,'[1]Nebris 11.27'!E:I,5,FALSE)</f>
        <v>586</v>
      </c>
      <c r="C85" s="4">
        <f>VLOOKUP(A85,'[1]Nebris 11.28.23'!E:I,5,FALSE)</f>
        <v>580</v>
      </c>
      <c r="D85" s="56">
        <f t="shared" si="19"/>
        <v>6</v>
      </c>
      <c r="E85" s="18">
        <f t="shared" si="18"/>
        <v>583</v>
      </c>
      <c r="F85" s="4">
        <v>1</v>
      </c>
      <c r="G85" s="4">
        <v>9</v>
      </c>
      <c r="H85" s="4">
        <v>0.44140096226305425</v>
      </c>
      <c r="I85" s="4">
        <v>208</v>
      </c>
      <c r="J85" s="4" t="str">
        <f t="shared" si="20"/>
        <v>25% MDGS Variable</v>
      </c>
      <c r="K85" s="18">
        <f>VLOOKUP(A85,'[1]Interim '!E:I,5,FALSE)*0.96</f>
        <v>775.68</v>
      </c>
      <c r="L85" s="31">
        <f t="shared" si="21"/>
        <v>3.3220689655172406</v>
      </c>
      <c r="M85" s="19">
        <f t="shared" si="22"/>
        <v>20.130156931525423</v>
      </c>
      <c r="N85" s="57">
        <f t="shared" si="23"/>
        <v>0.16502946185752865</v>
      </c>
    </row>
    <row r="86" spans="1:14" x14ac:dyDescent="0.2">
      <c r="A86" s="16">
        <v>4391</v>
      </c>
      <c r="B86" s="17">
        <f>VLOOKUP(A86,'[1]Nebris 11.27'!E:I,5,FALSE)</f>
        <v>586</v>
      </c>
      <c r="C86" s="4">
        <f>VLOOKUP(A86,'[1]Nebris 11.28.23'!E:I,5,FALSE)</f>
        <v>590</v>
      </c>
      <c r="D86" s="56">
        <f t="shared" si="19"/>
        <v>-4</v>
      </c>
      <c r="E86" s="18">
        <f t="shared" si="18"/>
        <v>588</v>
      </c>
      <c r="F86" s="4">
        <v>1</v>
      </c>
      <c r="G86" s="4">
        <v>9</v>
      </c>
      <c r="H86" s="4">
        <v>0.50498087625068344</v>
      </c>
      <c r="I86" s="4">
        <v>209</v>
      </c>
      <c r="J86" s="4" t="str">
        <f t="shared" si="20"/>
        <v xml:space="preserve">25% MDGS Constant </v>
      </c>
      <c r="K86" s="18">
        <f>VLOOKUP(A86,'[1]Interim '!E:I,5,FALSE)*0.96</f>
        <v>779.52</v>
      </c>
      <c r="L86" s="31">
        <f t="shared" si="21"/>
        <v>3.3020689655172411</v>
      </c>
      <c r="M86" s="19">
        <f t="shared" si="22"/>
        <v>19.349136979491519</v>
      </c>
      <c r="N86" s="57">
        <f t="shared" si="23"/>
        <v>0.17065717034393629</v>
      </c>
    </row>
    <row r="87" spans="1:14" x14ac:dyDescent="0.2">
      <c r="A87" s="16">
        <v>4421</v>
      </c>
      <c r="B87" s="17">
        <f>VLOOKUP(A87,'[1]Nebris 11.27'!E:I,5,FALSE)</f>
        <v>586</v>
      </c>
      <c r="C87" s="4">
        <f>VLOOKUP(A87,'[1]Nebris 11.28.23'!E:I,5,FALSE)</f>
        <v>588</v>
      </c>
      <c r="D87" s="56">
        <f t="shared" si="19"/>
        <v>-2</v>
      </c>
      <c r="E87" s="18">
        <f t="shared" si="18"/>
        <v>587</v>
      </c>
      <c r="F87" s="4">
        <v>1</v>
      </c>
      <c r="G87" s="4">
        <v>9</v>
      </c>
      <c r="H87" s="4">
        <v>0.70481273972122005</v>
      </c>
      <c r="I87" s="4">
        <v>210</v>
      </c>
      <c r="J87" s="4" t="str">
        <f t="shared" si="20"/>
        <v xml:space="preserve">10% MDGS Constant </v>
      </c>
      <c r="K87" s="18">
        <f>VLOOKUP(A87,'[1]Interim '!E:I,5,FALSE)*0.96</f>
        <v>702.72</v>
      </c>
      <c r="L87" s="31">
        <f t="shared" si="21"/>
        <v>1.9951724137931039</v>
      </c>
      <c r="M87" s="19">
        <f t="shared" si="22"/>
        <v>17.600603800338984</v>
      </c>
      <c r="N87" s="57">
        <f t="shared" si="23"/>
        <v>0.11335818000486308</v>
      </c>
    </row>
    <row r="88" spans="1:14" x14ac:dyDescent="0.2">
      <c r="A88" s="16">
        <v>4443</v>
      </c>
      <c r="B88" s="17">
        <f>VLOOKUP(A88,'[1]Nebris 11.27'!E:I,5,FALSE)</f>
        <v>586</v>
      </c>
      <c r="C88" s="4">
        <f>VLOOKUP(A88,'[1]Nebris 11.28.23'!E:I,5,FALSE)</f>
        <v>576</v>
      </c>
      <c r="D88" s="56">
        <f t="shared" si="19"/>
        <v>10</v>
      </c>
      <c r="E88" s="18">
        <f t="shared" si="18"/>
        <v>581</v>
      </c>
      <c r="F88" s="4">
        <v>1</v>
      </c>
      <c r="G88" s="4">
        <v>9</v>
      </c>
      <c r="H88" s="4">
        <v>0.76485247385471433</v>
      </c>
      <c r="I88" s="4">
        <v>211</v>
      </c>
      <c r="J88" s="4" t="str">
        <f t="shared" si="20"/>
        <v>Control</v>
      </c>
      <c r="K88" s="18">
        <f>VLOOKUP(A88,'[1]Interim '!E:I,5,FALSE)*0.96</f>
        <v>787.19999999999993</v>
      </c>
      <c r="L88" s="31">
        <f t="shared" si="21"/>
        <v>3.5551724137931022</v>
      </c>
      <c r="M88" s="19">
        <f t="shared" si="22"/>
        <v>16.604743725254238</v>
      </c>
      <c r="N88" s="57">
        <f t="shared" si="23"/>
        <v>0.21410582858837035</v>
      </c>
    </row>
    <row r="89" spans="1:14" x14ac:dyDescent="0.2">
      <c r="A89" s="16">
        <v>4433</v>
      </c>
      <c r="B89" s="17">
        <f>VLOOKUP(A89,'[1]Nebris 11.27'!E:I,5,FALSE)</f>
        <v>588</v>
      </c>
      <c r="C89" s="4">
        <f>VLOOKUP(A89,'[1]Nebris 11.28.23'!E:I,5,FALSE)</f>
        <v>604</v>
      </c>
      <c r="D89" s="56">
        <f t="shared" si="19"/>
        <v>-16</v>
      </c>
      <c r="E89" s="18">
        <f t="shared" si="18"/>
        <v>596</v>
      </c>
      <c r="F89" s="4">
        <v>1</v>
      </c>
      <c r="G89" s="4">
        <v>9</v>
      </c>
      <c r="H89" s="4">
        <v>0.94398142714179667</v>
      </c>
      <c r="I89" s="4">
        <v>212</v>
      </c>
      <c r="J89" s="4" t="str">
        <f t="shared" si="20"/>
        <v>25% MDGS Variable</v>
      </c>
      <c r="K89" s="18">
        <f>VLOOKUP(A89,'[1]Interim '!E:I,5,FALSE)*0.96</f>
        <v>825.6</v>
      </c>
      <c r="L89" s="31">
        <f t="shared" si="21"/>
        <v>3.9586206896551728</v>
      </c>
      <c r="M89" s="19">
        <f t="shared" si="22"/>
        <v>19.734967466610168</v>
      </c>
      <c r="N89" s="57">
        <f t="shared" si="23"/>
        <v>0.20058916724098033</v>
      </c>
    </row>
    <row r="90" spans="1:14" x14ac:dyDescent="0.2">
      <c r="A90" s="16">
        <v>4355</v>
      </c>
      <c r="B90" s="17">
        <f>VLOOKUP(A90,'[1]Nebris 11.27'!E:I,5,FALSE)</f>
        <v>586</v>
      </c>
      <c r="C90" s="4">
        <f>VLOOKUP(A90,'[1]Nebris 11.28.23'!E:I,5,FALSE)</f>
        <v>600</v>
      </c>
      <c r="D90" s="56">
        <f t="shared" si="19"/>
        <v>-14</v>
      </c>
      <c r="E90" s="18">
        <f t="shared" si="18"/>
        <v>593</v>
      </c>
      <c r="F90" s="4">
        <v>1</v>
      </c>
      <c r="G90" s="4">
        <v>9</v>
      </c>
      <c r="H90" s="4">
        <v>0.98066018587623149</v>
      </c>
      <c r="I90" s="4">
        <v>213</v>
      </c>
      <c r="J90" s="4" t="str">
        <f t="shared" si="20"/>
        <v>10% MDGS Variable</v>
      </c>
      <c r="K90" s="18">
        <f>VLOOKUP(A90,'[1]Interim '!E:I,5,FALSE)*0.96</f>
        <v>775.68</v>
      </c>
      <c r="L90" s="31">
        <f t="shared" si="21"/>
        <v>3.1496551724137922</v>
      </c>
      <c r="M90" s="19">
        <f t="shared" si="22"/>
        <v>19.380345288983047</v>
      </c>
      <c r="N90" s="57">
        <f t="shared" si="23"/>
        <v>0.1625180111834357</v>
      </c>
    </row>
    <row r="91" spans="1:14" x14ac:dyDescent="0.2">
      <c r="A91" s="16">
        <v>4576</v>
      </c>
      <c r="B91" s="17">
        <f>VLOOKUP(A91,'[1]Nebris 11.27'!E:I,5,FALSE)</f>
        <v>586</v>
      </c>
      <c r="C91" s="4">
        <f>VLOOKUP(A91,'[1]Nebris 11.28.23'!E:I,5,FALSE)</f>
        <v>602</v>
      </c>
      <c r="D91" s="56">
        <f t="shared" si="19"/>
        <v>-16</v>
      </c>
      <c r="E91" s="18">
        <f t="shared" si="18"/>
        <v>594</v>
      </c>
      <c r="F91" s="4">
        <v>1</v>
      </c>
      <c r="G91" s="4">
        <v>9</v>
      </c>
      <c r="H91" s="4">
        <v>0.99928253874714745</v>
      </c>
      <c r="I91" s="4">
        <v>214</v>
      </c>
      <c r="J91" s="4" t="str">
        <f t="shared" si="20"/>
        <v xml:space="preserve">25% MDGS Constant </v>
      </c>
      <c r="K91" s="18">
        <f>VLOOKUP(A91,'[1]Interim '!E:I,5,FALSE)*0.96</f>
        <v>785.28</v>
      </c>
      <c r="L91" s="31">
        <f t="shared" si="21"/>
        <v>3.2979310344827582</v>
      </c>
      <c r="M91" s="19">
        <f t="shared" si="22"/>
        <v>19.209834211186443</v>
      </c>
      <c r="N91" s="57">
        <f t="shared" si="23"/>
        <v>0.17167930749565122</v>
      </c>
    </row>
    <row r="92" spans="1:14" x14ac:dyDescent="0.2">
      <c r="A92" s="16">
        <v>4483</v>
      </c>
      <c r="B92" s="17">
        <f>VLOOKUP(A92,'[1]Nebris 11.27'!E:I,5,FALSE)</f>
        <v>588</v>
      </c>
      <c r="C92" s="4">
        <f>VLOOKUP(A92,'[1]Nebris 11.28.23'!E:I,5,FALSE)</f>
        <v>572</v>
      </c>
      <c r="D92" s="56">
        <f t="shared" si="19"/>
        <v>16</v>
      </c>
      <c r="E92" s="18">
        <f t="shared" si="18"/>
        <v>580</v>
      </c>
      <c r="F92" s="4">
        <v>1</v>
      </c>
      <c r="G92" s="4">
        <v>10</v>
      </c>
      <c r="H92" s="4">
        <v>0.12516870478556308</v>
      </c>
      <c r="I92" s="4">
        <v>205</v>
      </c>
      <c r="J92" s="4" t="str">
        <f t="shared" si="20"/>
        <v xml:space="preserve">10% MDGS Constant </v>
      </c>
      <c r="K92" s="18">
        <f>VLOOKUP(A92,'[1]Interim '!E:I,5,FALSE)*0.96</f>
        <v>792.95999999999992</v>
      </c>
      <c r="L92" s="31">
        <f t="shared" si="21"/>
        <v>3.671724137931033</v>
      </c>
      <c r="M92" s="19">
        <f t="shared" si="22"/>
        <v>18.341718115932199</v>
      </c>
      <c r="N92" s="57">
        <f t="shared" si="23"/>
        <v>0.2001843074200152</v>
      </c>
    </row>
    <row r="93" spans="1:14" x14ac:dyDescent="0.2">
      <c r="A93" s="16">
        <v>4651</v>
      </c>
      <c r="B93" s="17">
        <f>VLOOKUP(A93,'[1]Nebris 11.27'!E:I,5,FALSE)</f>
        <v>590</v>
      </c>
      <c r="C93" s="4">
        <f>VLOOKUP(A93,'[1]Nebris 11.28.23'!E:I,5,FALSE)</f>
        <v>572</v>
      </c>
      <c r="D93" s="56">
        <f t="shared" si="19"/>
        <v>18</v>
      </c>
      <c r="E93" s="18">
        <f t="shared" si="18"/>
        <v>581</v>
      </c>
      <c r="F93" s="4">
        <v>1</v>
      </c>
      <c r="G93" s="4">
        <v>10</v>
      </c>
      <c r="H93" s="4">
        <v>0.27700322175270875</v>
      </c>
      <c r="I93" s="4">
        <v>206</v>
      </c>
      <c r="J93" s="4" t="str">
        <f t="shared" si="20"/>
        <v>10% MDGS Variable</v>
      </c>
      <c r="K93" s="18">
        <f>VLOOKUP(A93,'[1]Interim '!E:I,5,FALSE)*0.96</f>
        <v>727.68</v>
      </c>
      <c r="L93" s="31">
        <f t="shared" si="21"/>
        <v>2.5289655172413785</v>
      </c>
      <c r="M93" s="19">
        <f t="shared" si="22"/>
        <v>18.076575727457623</v>
      </c>
      <c r="N93" s="57">
        <f t="shared" si="23"/>
        <v>0.13990290834784472</v>
      </c>
    </row>
    <row r="94" spans="1:14" x14ac:dyDescent="0.2">
      <c r="A94" s="16">
        <v>4427</v>
      </c>
      <c r="B94" s="17">
        <f>VLOOKUP(A94,'[1]Nebris 11.27'!E:I,5,FALSE)</f>
        <v>590</v>
      </c>
      <c r="C94" s="4">
        <f>VLOOKUP(A94,'[1]Nebris 11.28.23'!E:I,5,FALSE)</f>
        <v>598</v>
      </c>
      <c r="D94" s="56">
        <f t="shared" si="19"/>
        <v>-8</v>
      </c>
      <c r="E94" s="18">
        <f t="shared" si="18"/>
        <v>594</v>
      </c>
      <c r="F94" s="4">
        <v>1</v>
      </c>
      <c r="G94" s="4">
        <v>10</v>
      </c>
      <c r="H94" s="4">
        <v>0.29734586141095798</v>
      </c>
      <c r="I94" s="4">
        <v>207</v>
      </c>
      <c r="J94" s="4" t="str">
        <f t="shared" si="20"/>
        <v>Control</v>
      </c>
      <c r="K94" s="18">
        <f>VLOOKUP(A94,'[1]Interim '!E:I,5,FALSE)*0.96</f>
        <v>754.56</v>
      </c>
      <c r="L94" s="31">
        <f t="shared" si="21"/>
        <v>2.7682758620689647</v>
      </c>
      <c r="M94" s="19">
        <f t="shared" si="22"/>
        <v>18.548330779491526</v>
      </c>
      <c r="N94" s="57">
        <f t="shared" si="23"/>
        <v>0.14924663005955152</v>
      </c>
    </row>
    <row r="95" spans="1:14" x14ac:dyDescent="0.2">
      <c r="A95" s="16">
        <v>4640</v>
      </c>
      <c r="B95" s="17">
        <f>VLOOKUP(A95,'[1]Nebris 11.27'!E:I,5,FALSE)</f>
        <v>590</v>
      </c>
      <c r="C95" s="4">
        <f>VLOOKUP(A95,'[1]Nebris 11.28.23'!E:I,5,FALSE)</f>
        <v>598</v>
      </c>
      <c r="D95" s="56">
        <f t="shared" si="19"/>
        <v>-8</v>
      </c>
      <c r="E95" s="18">
        <f t="shared" si="18"/>
        <v>594</v>
      </c>
      <c r="F95" s="4">
        <v>1</v>
      </c>
      <c r="G95" s="4">
        <v>10</v>
      </c>
      <c r="H95" s="4">
        <v>0.3918876975589104</v>
      </c>
      <c r="I95" s="4">
        <v>208</v>
      </c>
      <c r="J95" s="4" t="str">
        <f t="shared" si="20"/>
        <v>25% MDGS Variable</v>
      </c>
      <c r="K95" s="18">
        <f>VLOOKUP(A95,'[1]Interim '!E:I,5,FALSE)*0.96</f>
        <v>840.95999999999992</v>
      </c>
      <c r="L95" s="31">
        <f t="shared" si="21"/>
        <v>4.2579310344827572</v>
      </c>
      <c r="M95" s="19">
        <f t="shared" si="22"/>
        <v>20.130156931525423</v>
      </c>
      <c r="N95" s="57">
        <f t="shared" si="23"/>
        <v>0.21152001193863021</v>
      </c>
    </row>
    <row r="96" spans="1:14" x14ac:dyDescent="0.2">
      <c r="A96" s="16">
        <v>4454</v>
      </c>
      <c r="B96" s="17">
        <f>VLOOKUP(A96,'[1]Nebris 11.27'!E:I,5,FALSE)</f>
        <v>588</v>
      </c>
      <c r="C96" s="4">
        <f>VLOOKUP(A96,'[1]Nebris 11.28.23'!E:I,5,FALSE)</f>
        <v>564</v>
      </c>
      <c r="D96" s="56">
        <f t="shared" si="19"/>
        <v>24</v>
      </c>
      <c r="E96" s="18">
        <f t="shared" si="18"/>
        <v>576</v>
      </c>
      <c r="F96" s="4">
        <v>1</v>
      </c>
      <c r="G96" s="4">
        <v>10</v>
      </c>
      <c r="H96" s="4">
        <v>0.49102264321139555</v>
      </c>
      <c r="I96" s="4">
        <v>209</v>
      </c>
      <c r="J96" s="4" t="str">
        <f t="shared" si="20"/>
        <v xml:space="preserve">25% MDGS Constant </v>
      </c>
      <c r="K96" s="18">
        <f>VLOOKUP(A96,'[1]Interim '!E:I,5,FALSE)*0.96</f>
        <v>796.8</v>
      </c>
      <c r="L96" s="31">
        <f t="shared" si="21"/>
        <v>3.8068965517241371</v>
      </c>
      <c r="M96" s="19">
        <f t="shared" si="22"/>
        <v>19.349136979491519</v>
      </c>
      <c r="N96" s="57">
        <f t="shared" si="23"/>
        <v>0.19674761493285886</v>
      </c>
    </row>
    <row r="97" spans="1:14" x14ac:dyDescent="0.2">
      <c r="A97" s="16">
        <v>4572</v>
      </c>
      <c r="B97" s="17">
        <f>VLOOKUP(A97,'[1]Nebris 11.27'!E:I,5,FALSE)</f>
        <v>588</v>
      </c>
      <c r="C97" s="4">
        <f>VLOOKUP(A97,'[1]Nebris 11.28.23'!E:I,5,FALSE)</f>
        <v>576</v>
      </c>
      <c r="D97" s="56">
        <f t="shared" si="19"/>
        <v>12</v>
      </c>
      <c r="E97" s="18">
        <f t="shared" si="18"/>
        <v>582</v>
      </c>
      <c r="F97" s="4">
        <v>1</v>
      </c>
      <c r="G97" s="4">
        <v>10</v>
      </c>
      <c r="H97" s="4">
        <v>0.61330717483621666</v>
      </c>
      <c r="I97" s="4">
        <v>210</v>
      </c>
      <c r="J97" s="4" t="str">
        <f t="shared" si="20"/>
        <v xml:space="preserve">10% MDGS Constant </v>
      </c>
      <c r="K97" s="18">
        <f>VLOOKUP(A97,'[1]Interim '!E:I,5,FALSE)*0.96</f>
        <v>618.24</v>
      </c>
      <c r="L97" s="31">
        <f t="shared" si="21"/>
        <v>0.62482758620689671</v>
      </c>
      <c r="M97" s="19">
        <f t="shared" si="22"/>
        <v>17.600603800338984</v>
      </c>
      <c r="N97" s="57">
        <f t="shared" si="23"/>
        <v>3.5500349493399919E-2</v>
      </c>
    </row>
    <row r="98" spans="1:14" x14ac:dyDescent="0.2">
      <c r="A98" s="16">
        <v>4767</v>
      </c>
      <c r="B98" s="17">
        <f>VLOOKUP(A98,'[1]Nebris 11.27'!E:I,5,FALSE)</f>
        <v>588</v>
      </c>
      <c r="C98" s="4">
        <f>VLOOKUP(A98,'[1]Nebris 11.28.23'!E:I,5,FALSE)</f>
        <v>596</v>
      </c>
      <c r="D98" s="56">
        <f t="shared" si="19"/>
        <v>-8</v>
      </c>
      <c r="E98" s="18">
        <f t="shared" si="18"/>
        <v>592</v>
      </c>
      <c r="F98" s="4">
        <v>1</v>
      </c>
      <c r="G98" s="4">
        <v>10</v>
      </c>
      <c r="H98" s="4">
        <v>0.74304978575731295</v>
      </c>
      <c r="I98" s="4">
        <v>211</v>
      </c>
      <c r="J98" s="4" t="str">
        <f t="shared" si="20"/>
        <v>Control</v>
      </c>
      <c r="K98" s="18">
        <f>VLOOKUP(A98,'[1]Interim '!E:I,5,FALSE)*0.96</f>
        <v>760.31999999999994</v>
      </c>
      <c r="L98" s="31">
        <f t="shared" si="21"/>
        <v>2.9020689655172403</v>
      </c>
      <c r="M98" s="19">
        <f t="shared" si="22"/>
        <v>16.604743725254238</v>
      </c>
      <c r="N98" s="57">
        <f t="shared" si="23"/>
        <v>0.17477348723566682</v>
      </c>
    </row>
    <row r="99" spans="1:14" x14ac:dyDescent="0.2">
      <c r="A99" s="16">
        <v>4490</v>
      </c>
      <c r="B99" s="17">
        <f>VLOOKUP(A99,'[1]Nebris 11.27'!E:I,5,FALSE)</f>
        <v>588</v>
      </c>
      <c r="C99" s="4">
        <f>VLOOKUP(A99,'[1]Nebris 11.28.23'!E:I,5,FALSE)</f>
        <v>612</v>
      </c>
      <c r="D99" s="56">
        <f t="shared" si="19"/>
        <v>-24</v>
      </c>
      <c r="E99" s="18">
        <f t="shared" si="18"/>
        <v>600</v>
      </c>
      <c r="F99" s="4">
        <v>1</v>
      </c>
      <c r="G99" s="4">
        <v>10</v>
      </c>
      <c r="H99" s="4">
        <v>0.84983149126055713</v>
      </c>
      <c r="I99" s="4">
        <v>212</v>
      </c>
      <c r="J99" s="4" t="str">
        <f t="shared" si="20"/>
        <v>25% MDGS Variable</v>
      </c>
      <c r="K99" s="18">
        <f>VLOOKUP(A99,'[1]Interim '!E:I,5,FALSE)*0.96</f>
        <v>798.72</v>
      </c>
      <c r="L99" s="31">
        <f t="shared" si="21"/>
        <v>3.4262068965517245</v>
      </c>
      <c r="M99" s="19">
        <f t="shared" si="22"/>
        <v>19.734967466610168</v>
      </c>
      <c r="N99" s="57">
        <f t="shared" si="23"/>
        <v>0.17361097262250702</v>
      </c>
    </row>
    <row r="100" spans="1:14" x14ac:dyDescent="0.2">
      <c r="A100" s="16">
        <v>4675</v>
      </c>
      <c r="B100" s="17">
        <f>VLOOKUP(A100,'[1]Nebris 11.27'!E:I,5,FALSE)</f>
        <v>588</v>
      </c>
      <c r="C100" s="4">
        <f>VLOOKUP(A100,'[1]Nebris 11.28.23'!E:I,5,FALSE)</f>
        <v>578</v>
      </c>
      <c r="D100" s="56">
        <f t="shared" si="19"/>
        <v>10</v>
      </c>
      <c r="E100" s="18">
        <f t="shared" si="18"/>
        <v>583</v>
      </c>
      <c r="F100" s="4">
        <v>1</v>
      </c>
      <c r="G100" s="4">
        <v>10</v>
      </c>
      <c r="H100" s="4">
        <v>0.86930371915068461</v>
      </c>
      <c r="I100" s="4">
        <v>213</v>
      </c>
      <c r="J100" s="4" t="str">
        <f t="shared" si="20"/>
        <v>10% MDGS Variable</v>
      </c>
      <c r="K100" s="18">
        <f>VLOOKUP(A100,'[1]Interim '!E:I,5,FALSE)*0.96</f>
        <v>798.72</v>
      </c>
      <c r="L100" s="31">
        <f t="shared" si="21"/>
        <v>3.7193103448275866</v>
      </c>
      <c r="M100" s="19">
        <f t="shared" si="22"/>
        <v>19.380345288983047</v>
      </c>
      <c r="N100" s="57">
        <f t="shared" si="23"/>
        <v>0.19191145923193981</v>
      </c>
    </row>
    <row r="101" spans="1:14" x14ac:dyDescent="0.2">
      <c r="A101" s="16">
        <v>4649</v>
      </c>
      <c r="B101" s="17">
        <f>VLOOKUP(A101,'[1]Nebris 11.27'!E:I,5,FALSE)</f>
        <v>588</v>
      </c>
      <c r="C101" s="4">
        <f>VLOOKUP(A101,'[1]Nebris 11.28.23'!E:I,5,FALSE)</f>
        <v>576</v>
      </c>
      <c r="D101" s="56">
        <f t="shared" si="19"/>
        <v>12</v>
      </c>
      <c r="E101" s="18">
        <f t="shared" si="18"/>
        <v>582</v>
      </c>
      <c r="F101" s="4">
        <v>1</v>
      </c>
      <c r="G101" s="4">
        <v>10</v>
      </c>
      <c r="H101" s="4">
        <v>0.94557195108110481</v>
      </c>
      <c r="I101" s="4">
        <v>214</v>
      </c>
      <c r="J101" s="4" t="str">
        <f t="shared" si="20"/>
        <v xml:space="preserve">25% MDGS Constant </v>
      </c>
      <c r="K101" s="18">
        <f>VLOOKUP(A101,'[1]Interim '!E:I,5,FALSE)*0.96</f>
        <v>744.95999999999992</v>
      </c>
      <c r="L101" s="31">
        <f t="shared" si="21"/>
        <v>2.8096551724137919</v>
      </c>
      <c r="M101" s="19">
        <f t="shared" si="22"/>
        <v>19.209834211186443</v>
      </c>
      <c r="N101" s="57">
        <f t="shared" si="23"/>
        <v>0.14626129208224234</v>
      </c>
    </row>
    <row r="102" spans="1:14" x14ac:dyDescent="0.2">
      <c r="A102" s="16">
        <v>4471</v>
      </c>
      <c r="B102" s="17">
        <f>VLOOKUP(A102,'[1]Nebris 11.27'!E:I,5,FALSE)</f>
        <v>594</v>
      </c>
      <c r="C102" s="4">
        <f>VLOOKUP(A102,'[1]Nebris 11.28.23'!E:I,5,FALSE)</f>
        <v>604</v>
      </c>
      <c r="D102" s="56">
        <f t="shared" si="19"/>
        <v>-10</v>
      </c>
      <c r="E102" s="18">
        <f t="shared" si="18"/>
        <v>599</v>
      </c>
      <c r="F102" s="4">
        <v>2</v>
      </c>
      <c r="G102" s="4">
        <v>1</v>
      </c>
      <c r="H102" s="4">
        <v>1.4756082583818886E-2</v>
      </c>
      <c r="I102" s="4">
        <v>215</v>
      </c>
      <c r="J102" s="4" t="str">
        <f t="shared" si="20"/>
        <v>10% MDGS Variable</v>
      </c>
      <c r="K102" s="18">
        <f>VLOOKUP(A102,'[1]Interim '!E:I,5,FALSE)*0.96</f>
        <v>814.07999999999993</v>
      </c>
      <c r="L102" s="31">
        <f t="shared" si="21"/>
        <v>3.7082758620689642</v>
      </c>
      <c r="M102" s="19">
        <f t="shared" si="22"/>
        <v>19.107699350338986</v>
      </c>
      <c r="N102" s="57">
        <f t="shared" si="23"/>
        <v>0.1940723367098183</v>
      </c>
    </row>
    <row r="103" spans="1:14" x14ac:dyDescent="0.2">
      <c r="A103" s="16">
        <v>4639</v>
      </c>
      <c r="B103" s="17">
        <f>VLOOKUP(A103,'[1]Nebris 11.27'!E:I,5,FALSE)</f>
        <v>592</v>
      </c>
      <c r="C103" s="4">
        <f>VLOOKUP(A103,'[1]Nebris 11.28.23'!E:I,5,FALSE)</f>
        <v>604</v>
      </c>
      <c r="D103" s="56">
        <f t="shared" si="19"/>
        <v>-12</v>
      </c>
      <c r="E103" s="18">
        <f t="shared" si="18"/>
        <v>598</v>
      </c>
      <c r="F103" s="4">
        <v>2</v>
      </c>
      <c r="G103" s="4">
        <v>1</v>
      </c>
      <c r="H103" s="4">
        <v>4.7402768234176107E-2</v>
      </c>
      <c r="I103" s="4">
        <v>216</v>
      </c>
      <c r="J103" s="4" t="str">
        <f t="shared" si="20"/>
        <v xml:space="preserve">10% MDGS Constant </v>
      </c>
      <c r="K103" s="18">
        <f>VLOOKUP(A103,'[1]Interim '!E:I,5,FALSE)*0.96</f>
        <v>768</v>
      </c>
      <c r="L103" s="31">
        <f t="shared" si="21"/>
        <v>2.9310344827586206</v>
      </c>
      <c r="M103" s="19">
        <f t="shared" si="22"/>
        <v>20.398789655593223</v>
      </c>
      <c r="N103" s="57">
        <f t="shared" si="23"/>
        <v>0.14368668593800363</v>
      </c>
    </row>
    <row r="104" spans="1:14" x14ac:dyDescent="0.2">
      <c r="A104" s="16">
        <v>4611</v>
      </c>
      <c r="B104" s="17">
        <f>VLOOKUP(A104,'[1]Nebris 11.27'!E:I,5,FALSE)</f>
        <v>592</v>
      </c>
      <c r="C104" s="4">
        <f>VLOOKUP(A104,'[1]Nebris 11.28.23'!E:I,5,FALSE)</f>
        <v>600</v>
      </c>
      <c r="D104" s="56">
        <f t="shared" si="19"/>
        <v>-8</v>
      </c>
      <c r="E104" s="18">
        <f t="shared" si="18"/>
        <v>596</v>
      </c>
      <c r="F104" s="4">
        <v>2</v>
      </c>
      <c r="G104" s="4">
        <v>1</v>
      </c>
      <c r="H104" s="4">
        <v>5.7049458223745297E-2</v>
      </c>
      <c r="I104" s="4">
        <v>301</v>
      </c>
      <c r="J104" s="4" t="str">
        <f t="shared" si="20"/>
        <v xml:space="preserve">25% MDGS Constant </v>
      </c>
      <c r="K104" s="18">
        <f>VLOOKUP(A104,'[1]Interim '!E:I,5,FALSE)*0.96</f>
        <v>768</v>
      </c>
      <c r="L104" s="31">
        <f t="shared" si="21"/>
        <v>2.9655172413793105</v>
      </c>
      <c r="M104" s="19">
        <f t="shared" si="22"/>
        <v>19.764340823559323</v>
      </c>
      <c r="N104" s="57">
        <f t="shared" si="23"/>
        <v>0.15004382224801444</v>
      </c>
    </row>
    <row r="105" spans="1:14" x14ac:dyDescent="0.2">
      <c r="A105" s="16">
        <v>4389</v>
      </c>
      <c r="B105" s="17">
        <f>VLOOKUP(A105,'[1]Nebris 11.27'!E:I,5,FALSE)</f>
        <v>596</v>
      </c>
      <c r="C105" s="4">
        <f>VLOOKUP(A105,'[1]Nebris 11.28.23'!E:I,5,FALSE)</f>
        <v>588</v>
      </c>
      <c r="D105" s="56">
        <f t="shared" si="19"/>
        <v>8</v>
      </c>
      <c r="E105" s="18">
        <f t="shared" si="18"/>
        <v>592</v>
      </c>
      <c r="F105" s="4">
        <v>2</v>
      </c>
      <c r="G105" s="4">
        <v>1</v>
      </c>
      <c r="H105" s="4">
        <v>0.14789000845133149</v>
      </c>
      <c r="I105" s="4">
        <v>302</v>
      </c>
      <c r="J105" s="4" t="str">
        <f t="shared" si="20"/>
        <v>25% MDGS Variable</v>
      </c>
      <c r="K105" s="18">
        <f>VLOOKUP(A105,'[1]Interim '!E:I,5,FALSE)*0.96</f>
        <v>700.8</v>
      </c>
      <c r="L105" s="31">
        <f t="shared" si="21"/>
        <v>1.8758620689655165</v>
      </c>
      <c r="M105" s="19">
        <f t="shared" si="22"/>
        <v>18.146163789943504</v>
      </c>
      <c r="N105" s="57">
        <f t="shared" si="23"/>
        <v>0.10337513155287996</v>
      </c>
    </row>
    <row r="106" spans="1:14" x14ac:dyDescent="0.2">
      <c r="A106" s="16">
        <v>4537</v>
      </c>
      <c r="B106" s="17">
        <f>VLOOKUP(A106,'[1]Nebris 11.27'!E:I,5,FALSE)</f>
        <v>592</v>
      </c>
      <c r="C106" s="4">
        <f>VLOOKUP(A106,'[1]Nebris 11.28.23'!E:I,5,FALSE)</f>
        <v>612</v>
      </c>
      <c r="D106" s="56">
        <f t="shared" si="19"/>
        <v>-20</v>
      </c>
      <c r="E106" s="18">
        <f t="shared" si="18"/>
        <v>602</v>
      </c>
      <c r="F106" s="4">
        <v>2</v>
      </c>
      <c r="G106" s="4">
        <v>1</v>
      </c>
      <c r="H106" s="4">
        <v>0.18642295912438389</v>
      </c>
      <c r="I106" s="4">
        <v>303</v>
      </c>
      <c r="J106" s="4" t="str">
        <f t="shared" si="20"/>
        <v>Control</v>
      </c>
      <c r="K106" s="18">
        <f>VLOOKUP(A106,'[1]Interim '!E:I,5,FALSE)*0.96</f>
        <v>791.04</v>
      </c>
      <c r="L106" s="31">
        <f t="shared" si="21"/>
        <v>3.2593103448275857</v>
      </c>
      <c r="M106" s="19">
        <f t="shared" si="22"/>
        <v>18.063320037796611</v>
      </c>
      <c r="N106" s="57">
        <f t="shared" si="23"/>
        <v>0.18043805557381692</v>
      </c>
    </row>
    <row r="107" spans="1:14" x14ac:dyDescent="0.2">
      <c r="A107" s="16">
        <v>4394</v>
      </c>
      <c r="B107" s="17">
        <f>VLOOKUP(A107,'[1]Nebris 11.27'!E:I,5,FALSE)</f>
        <v>596</v>
      </c>
      <c r="C107" s="4">
        <f>VLOOKUP(A107,'[1]Nebris 11.28.23'!E:I,5,FALSE)</f>
        <v>604</v>
      </c>
      <c r="D107" s="56">
        <f t="shared" si="19"/>
        <v>-8</v>
      </c>
      <c r="E107" s="18">
        <f t="shared" si="18"/>
        <v>600</v>
      </c>
      <c r="F107" s="4">
        <v>2</v>
      </c>
      <c r="G107" s="4">
        <v>1</v>
      </c>
      <c r="H107" s="4">
        <v>0.25662736240487349</v>
      </c>
      <c r="I107" s="4">
        <v>304</v>
      </c>
      <c r="J107" s="4" t="str">
        <f t="shared" si="20"/>
        <v>10% MDGS Variable</v>
      </c>
      <c r="K107" s="18">
        <f>VLOOKUP(A107,'[1]Interim '!E:I,5,FALSE)*0.96</f>
        <v>777.6</v>
      </c>
      <c r="L107" s="31">
        <f t="shared" si="21"/>
        <v>3.0620689655172417</v>
      </c>
      <c r="M107" s="19">
        <f t="shared" si="22"/>
        <v>18.555515762033892</v>
      </c>
      <c r="N107" s="57">
        <f t="shared" si="23"/>
        <v>0.16502203467620588</v>
      </c>
    </row>
    <row r="108" spans="1:14" x14ac:dyDescent="0.2">
      <c r="A108" s="16">
        <v>4612</v>
      </c>
      <c r="B108" s="17">
        <f>VLOOKUP(A108,'[1]Nebris 11.27'!E:I,5,FALSE)</f>
        <v>596</v>
      </c>
      <c r="C108" s="4">
        <f>VLOOKUP(A108,'[1]Nebris 11.28.23'!E:I,5,FALSE)</f>
        <v>586</v>
      </c>
      <c r="D108" s="56">
        <f t="shared" si="19"/>
        <v>10</v>
      </c>
      <c r="E108" s="18">
        <f t="shared" si="18"/>
        <v>591</v>
      </c>
      <c r="F108" s="4">
        <v>2</v>
      </c>
      <c r="G108" s="4">
        <v>1</v>
      </c>
      <c r="H108" s="4">
        <v>0.33997981867395999</v>
      </c>
      <c r="I108" s="4">
        <v>305</v>
      </c>
      <c r="J108" s="4" t="str">
        <f t="shared" si="20"/>
        <v xml:space="preserve">10% MDGS Constant </v>
      </c>
      <c r="K108" s="18">
        <f>VLOOKUP(A108,'[1]Interim '!E:I,5,FALSE)*0.96</f>
        <v>760.31999999999994</v>
      </c>
      <c r="L108" s="31">
        <f t="shared" si="21"/>
        <v>2.919310344827585</v>
      </c>
      <c r="M108" s="19">
        <f t="shared" si="22"/>
        <v>18.368632711016947</v>
      </c>
      <c r="N108" s="57">
        <f t="shared" si="23"/>
        <v>0.1589291043462735</v>
      </c>
    </row>
    <row r="109" spans="1:14" x14ac:dyDescent="0.2">
      <c r="A109" s="16">
        <v>4496</v>
      </c>
      <c r="B109" s="17">
        <f>VLOOKUP(A109,'[1]Nebris 11.27'!E:I,5,FALSE)</f>
        <v>596</v>
      </c>
      <c r="C109" s="4">
        <f>VLOOKUP(A109,'[1]Nebris 11.28.23'!E:I,5,FALSE)</f>
        <v>592</v>
      </c>
      <c r="D109" s="56">
        <f t="shared" si="19"/>
        <v>4</v>
      </c>
      <c r="E109" s="18">
        <f t="shared" si="18"/>
        <v>594</v>
      </c>
      <c r="F109" s="4">
        <v>2</v>
      </c>
      <c r="G109" s="4">
        <v>1</v>
      </c>
      <c r="H109" s="4">
        <v>0.48181107045737648</v>
      </c>
      <c r="I109" s="4">
        <v>306</v>
      </c>
      <c r="J109" s="4" t="str">
        <f t="shared" si="20"/>
        <v>Control</v>
      </c>
      <c r="K109" s="18">
        <f>VLOOKUP(A109,'[1]Interim '!E:I,5,FALSE)*0.96</f>
        <v>777.6</v>
      </c>
      <c r="L109" s="31">
        <f t="shared" si="21"/>
        <v>3.1655172413793107</v>
      </c>
      <c r="M109" s="19">
        <f t="shared" si="22"/>
        <v>19.337783459491533</v>
      </c>
      <c r="N109" s="57">
        <f t="shared" si="23"/>
        <v>0.16369597105120054</v>
      </c>
    </row>
    <row r="110" spans="1:14" x14ac:dyDescent="0.2">
      <c r="A110" s="16">
        <v>4628</v>
      </c>
      <c r="B110" s="17">
        <f>VLOOKUP(A110,'[1]Nebris 11.27'!E:I,5,FALSE)</f>
        <v>592</v>
      </c>
      <c r="C110" s="4">
        <f>VLOOKUP(A110,'[1]Nebris 11.28.23'!E:I,5,FALSE)</f>
        <v>568</v>
      </c>
      <c r="D110" s="56">
        <f t="shared" si="19"/>
        <v>24</v>
      </c>
      <c r="E110" s="18">
        <f t="shared" si="18"/>
        <v>580</v>
      </c>
      <c r="F110" s="4">
        <v>2</v>
      </c>
      <c r="G110" s="4">
        <v>1</v>
      </c>
      <c r="H110" s="4">
        <v>0.48818416913634477</v>
      </c>
      <c r="I110" s="4">
        <v>307</v>
      </c>
      <c r="J110" s="4" t="str">
        <f t="shared" si="20"/>
        <v>25% MDGS Variable</v>
      </c>
      <c r="K110" s="18">
        <f>VLOOKUP(A110,'[1]Interim '!E:I,5,FALSE)*0.96</f>
        <v>748.8</v>
      </c>
      <c r="L110" s="31">
        <f t="shared" si="21"/>
        <v>2.9103448275862061</v>
      </c>
      <c r="M110" s="19">
        <f t="shared" si="22"/>
        <v>19.036105591355938</v>
      </c>
      <c r="N110" s="57">
        <f t="shared" si="23"/>
        <v>0.15288551608516807</v>
      </c>
    </row>
    <row r="111" spans="1:14" x14ac:dyDescent="0.2">
      <c r="A111" s="16">
        <v>4600</v>
      </c>
      <c r="B111" s="17">
        <f>VLOOKUP(A111,'[1]Nebris 11.27'!E:I,5,FALSE)</f>
        <v>596</v>
      </c>
      <c r="C111" s="4">
        <f>VLOOKUP(A111,'[1]Nebris 11.28.23'!E:I,5,FALSE)</f>
        <v>592</v>
      </c>
      <c r="D111" s="56">
        <f t="shared" si="19"/>
        <v>4</v>
      </c>
      <c r="E111" s="18">
        <f t="shared" si="18"/>
        <v>594</v>
      </c>
      <c r="F111" s="4">
        <v>2</v>
      </c>
      <c r="G111" s="4">
        <v>1</v>
      </c>
      <c r="H111" s="4">
        <v>0.49179816181969338</v>
      </c>
      <c r="I111" s="4">
        <v>308</v>
      </c>
      <c r="J111" s="4" t="str">
        <f t="shared" si="20"/>
        <v xml:space="preserve">25% MDGS Constant </v>
      </c>
      <c r="K111" s="18">
        <f>VLOOKUP(A111,'[1]Interim '!E:I,5,FALSE)*0.96</f>
        <v>704.64</v>
      </c>
      <c r="L111" s="31">
        <f t="shared" si="21"/>
        <v>1.9075862068965515</v>
      </c>
      <c r="M111" s="19">
        <f t="shared" si="22"/>
        <v>19.826311333050853</v>
      </c>
      <c r="N111" s="57">
        <f t="shared" si="23"/>
        <v>9.6214882075243494E-2</v>
      </c>
    </row>
    <row r="112" spans="1:14" x14ac:dyDescent="0.2">
      <c r="A112" s="16">
        <v>4696</v>
      </c>
      <c r="B112" s="17">
        <f>VLOOKUP(A112,'[1]Nebris 11.27'!E:I,5,FALSE)</f>
        <v>594</v>
      </c>
      <c r="C112" s="4">
        <f>VLOOKUP(A112,'[1]Nebris 11.28.23'!E:I,5,FALSE)</f>
        <v>588</v>
      </c>
      <c r="D112" s="56">
        <f t="shared" si="19"/>
        <v>6</v>
      </c>
      <c r="E112" s="18">
        <f t="shared" si="18"/>
        <v>591</v>
      </c>
      <c r="F112" s="4">
        <v>2</v>
      </c>
      <c r="G112" s="4">
        <v>1</v>
      </c>
      <c r="H112" s="4">
        <v>0.50595051791786005</v>
      </c>
      <c r="I112" s="4">
        <v>309</v>
      </c>
      <c r="J112" s="4" t="str">
        <f t="shared" si="20"/>
        <v>Control</v>
      </c>
      <c r="K112" s="18">
        <f>VLOOKUP(A112,'[1]Interim '!E:I,5,FALSE)*0.96</f>
        <v>771.83999999999992</v>
      </c>
      <c r="L112" s="31">
        <f t="shared" si="21"/>
        <v>3.1179310344827571</v>
      </c>
      <c r="M112" s="19">
        <f t="shared" si="22"/>
        <v>19.729599065254234</v>
      </c>
      <c r="N112" s="57">
        <f t="shared" si="23"/>
        <v>0.15803316753525623</v>
      </c>
    </row>
    <row r="113" spans="1:14" x14ac:dyDescent="0.2">
      <c r="A113" s="16">
        <v>4674</v>
      </c>
      <c r="B113" s="17">
        <f>VLOOKUP(A113,'[1]Nebris 11.27'!E:I,5,FALSE)</f>
        <v>592</v>
      </c>
      <c r="C113" s="4">
        <f>VLOOKUP(A113,'[1]Nebris 11.28.23'!E:I,5,FALSE)</f>
        <v>598</v>
      </c>
      <c r="D113" s="56">
        <f t="shared" si="19"/>
        <v>-6</v>
      </c>
      <c r="E113" s="18">
        <f t="shared" si="18"/>
        <v>595</v>
      </c>
      <c r="F113" s="4">
        <v>2</v>
      </c>
      <c r="G113" s="4">
        <v>1</v>
      </c>
      <c r="H113" s="4">
        <v>0.62764015654280703</v>
      </c>
      <c r="I113" s="4">
        <v>310</v>
      </c>
      <c r="J113" s="4" t="str">
        <f t="shared" si="20"/>
        <v>10% MDGS Variable</v>
      </c>
      <c r="K113" s="18">
        <f>VLOOKUP(A113,'[1]Interim '!E:I,5,FALSE)*0.96</f>
        <v>754.56</v>
      </c>
      <c r="L113" s="31">
        <f t="shared" si="21"/>
        <v>2.7510344827586199</v>
      </c>
      <c r="M113" s="19">
        <f t="shared" si="22"/>
        <v>20.764816593728806</v>
      </c>
      <c r="N113" s="57">
        <f t="shared" si="23"/>
        <v>0.13248537353272175</v>
      </c>
    </row>
    <row r="114" spans="1:14" x14ac:dyDescent="0.2">
      <c r="A114" s="16">
        <v>4752</v>
      </c>
      <c r="B114" s="17">
        <f>VLOOKUP(A114,'[1]Nebris 11.27'!E:I,5,FALSE)</f>
        <v>596</v>
      </c>
      <c r="C114" s="4">
        <f>VLOOKUP(A114,'[1]Nebris 11.28.23'!E:I,5,FALSE)</f>
        <v>606</v>
      </c>
      <c r="D114" s="56">
        <f t="shared" si="19"/>
        <v>-10</v>
      </c>
      <c r="E114" s="18">
        <f t="shared" si="18"/>
        <v>601</v>
      </c>
      <c r="F114" s="4">
        <v>2</v>
      </c>
      <c r="G114" s="4">
        <v>1</v>
      </c>
      <c r="H114" s="4">
        <v>0.74214541651445576</v>
      </c>
      <c r="I114" s="4">
        <v>311</v>
      </c>
      <c r="J114" s="4" t="str">
        <f t="shared" si="20"/>
        <v xml:space="preserve">10% MDGS Constant </v>
      </c>
      <c r="K114" s="18">
        <f>VLOOKUP(A114,'[1]Interim '!E:I,5,FALSE)*0.96</f>
        <v>789.12</v>
      </c>
      <c r="L114" s="31">
        <f t="shared" si="21"/>
        <v>3.2434482758620691</v>
      </c>
      <c r="M114" s="19">
        <f t="shared" si="22"/>
        <v>21.070004804237286</v>
      </c>
      <c r="N114" s="57">
        <f t="shared" si="23"/>
        <v>0.15393676014776206</v>
      </c>
    </row>
    <row r="115" spans="1:14" x14ac:dyDescent="0.2">
      <c r="A115" s="16">
        <v>4408</v>
      </c>
      <c r="B115" s="17">
        <f>VLOOKUP(A115,'[1]Nebris 11.27'!E:I,5,FALSE)</f>
        <v>596</v>
      </c>
      <c r="C115" s="4">
        <f>VLOOKUP(A115,'[1]Nebris 11.28.23'!E:I,5,FALSE)</f>
        <v>596</v>
      </c>
      <c r="D115" s="56">
        <f t="shared" si="19"/>
        <v>0</v>
      </c>
      <c r="E115" s="18">
        <f t="shared" si="18"/>
        <v>596</v>
      </c>
      <c r="F115" s="4">
        <v>2</v>
      </c>
      <c r="G115" s="4">
        <v>1</v>
      </c>
      <c r="H115" s="4">
        <v>0.76936951566099665</v>
      </c>
      <c r="I115" s="4">
        <v>312</v>
      </c>
      <c r="J115" s="4" t="str">
        <f t="shared" si="20"/>
        <v xml:space="preserve">25% MDGS Constant </v>
      </c>
      <c r="K115" s="18">
        <f>VLOOKUP(A115,'[1]Interim '!E:I,5,FALSE)*0.96</f>
        <v>752.64</v>
      </c>
      <c r="L115" s="31">
        <f t="shared" si="21"/>
        <v>2.7006896551724138</v>
      </c>
      <c r="M115" s="19">
        <f t="shared" si="22"/>
        <v>20.726410488305085</v>
      </c>
      <c r="N115" s="57">
        <f t="shared" si="23"/>
        <v>0.13030185119108217</v>
      </c>
    </row>
    <row r="116" spans="1:14" x14ac:dyDescent="0.2">
      <c r="A116" s="16">
        <v>4329</v>
      </c>
      <c r="B116" s="17">
        <f>VLOOKUP(A116,'[1]Nebris 11.27'!E:I,5,FALSE)</f>
        <v>596</v>
      </c>
      <c r="C116" s="4">
        <f>VLOOKUP(A116,'[1]Nebris 11.28.23'!E:I,5,FALSE)</f>
        <v>598</v>
      </c>
      <c r="D116" s="56">
        <f t="shared" si="19"/>
        <v>-2</v>
      </c>
      <c r="E116" s="18">
        <f t="shared" si="18"/>
        <v>597</v>
      </c>
      <c r="F116" s="4">
        <v>2</v>
      </c>
      <c r="G116" s="4">
        <v>1</v>
      </c>
      <c r="H116" s="4">
        <v>0.77103182326793918</v>
      </c>
      <c r="I116" s="4">
        <v>313</v>
      </c>
      <c r="J116" s="4" t="str">
        <f t="shared" si="20"/>
        <v>25% MDGS Variable</v>
      </c>
      <c r="K116" s="18">
        <f>VLOOKUP(A116,'[1]Interim '!E:I,5,FALSE)*0.96</f>
        <v>785.28</v>
      </c>
      <c r="L116" s="31">
        <f t="shared" si="21"/>
        <v>3.2462068965517235</v>
      </c>
      <c r="M116" s="19">
        <f t="shared" si="22"/>
        <v>20.372524565423721</v>
      </c>
      <c r="N116" s="57">
        <f t="shared" si="23"/>
        <v>0.15934239696837527</v>
      </c>
    </row>
    <row r="117" spans="1:14" x14ac:dyDescent="0.2">
      <c r="A117" s="16">
        <v>4439</v>
      </c>
      <c r="B117" s="17">
        <f>VLOOKUP(A117,'[1]Nebris 11.27'!E:I,5,FALSE)</f>
        <v>598</v>
      </c>
      <c r="C117" s="4">
        <f>VLOOKUP(A117,'[1]Nebris 11.28.23'!E:I,5,FALSE)</f>
        <v>614</v>
      </c>
      <c r="D117" s="56">
        <f t="shared" si="19"/>
        <v>-16</v>
      </c>
      <c r="E117" s="18">
        <f t="shared" si="18"/>
        <v>606</v>
      </c>
      <c r="F117" s="4">
        <v>2</v>
      </c>
      <c r="G117" s="4">
        <v>1</v>
      </c>
      <c r="H117" s="4">
        <v>0.77599775073479937</v>
      </c>
      <c r="I117" s="4">
        <v>314</v>
      </c>
      <c r="J117" s="4" t="str">
        <f t="shared" si="20"/>
        <v>25% MDGS Variable</v>
      </c>
      <c r="K117" s="18">
        <f>VLOOKUP(A117,'[1]Interim '!E:I,5,FALSE)*0.96</f>
        <v>810.24</v>
      </c>
      <c r="L117" s="31">
        <f t="shared" si="21"/>
        <v>3.5213793103448277</v>
      </c>
      <c r="M117" s="19">
        <f t="shared" si="22"/>
        <v>21.54037682898305</v>
      </c>
      <c r="N117" s="57">
        <f t="shared" si="23"/>
        <v>0.1634780736800637</v>
      </c>
    </row>
    <row r="118" spans="1:14" x14ac:dyDescent="0.2">
      <c r="A118" s="16">
        <v>4634</v>
      </c>
      <c r="B118" s="17">
        <f>VLOOKUP(A118,'[1]Nebris 11.27'!E:I,5,FALSE)</f>
        <v>594</v>
      </c>
      <c r="C118" s="4">
        <f>VLOOKUP(A118,'[1]Nebris 11.28.23'!E:I,5,FALSE)</f>
        <v>596</v>
      </c>
      <c r="D118" s="56">
        <f t="shared" si="19"/>
        <v>-2</v>
      </c>
      <c r="E118" s="18">
        <f t="shared" si="18"/>
        <v>595</v>
      </c>
      <c r="F118" s="4">
        <v>2</v>
      </c>
      <c r="G118" s="4">
        <v>1</v>
      </c>
      <c r="H118" s="4">
        <v>0.80618911787319347</v>
      </c>
      <c r="I118" s="4">
        <v>315</v>
      </c>
      <c r="J118" s="4" t="str">
        <f t="shared" si="20"/>
        <v xml:space="preserve">25% MDGS Constant </v>
      </c>
      <c r="K118" s="18">
        <f>VLOOKUP(A118,'[1]Interim '!E:I,5,FALSE)*0.96</f>
        <v>798.72</v>
      </c>
      <c r="L118" s="31">
        <f t="shared" si="21"/>
        <v>3.5124137931034487</v>
      </c>
      <c r="M118" s="19">
        <f t="shared" si="22"/>
        <v>20.610381563389829</v>
      </c>
      <c r="N118" s="57">
        <f t="shared" si="23"/>
        <v>0.17041963935993018</v>
      </c>
    </row>
    <row r="119" spans="1:14" x14ac:dyDescent="0.2">
      <c r="A119" s="16">
        <v>4690</v>
      </c>
      <c r="B119" s="17">
        <f>VLOOKUP(A119,'[1]Nebris 11.27'!E:I,5,FALSE)</f>
        <v>592</v>
      </c>
      <c r="C119" s="4">
        <f>VLOOKUP(A119,'[1]Nebris 11.28.23'!E:I,5,FALSE)</f>
        <v>604</v>
      </c>
      <c r="D119" s="56">
        <f t="shared" si="19"/>
        <v>-12</v>
      </c>
      <c r="E119" s="18">
        <f t="shared" si="18"/>
        <v>598</v>
      </c>
      <c r="F119" s="4">
        <v>2</v>
      </c>
      <c r="G119" s="4">
        <v>1</v>
      </c>
      <c r="H119" s="4">
        <v>0.81896100288473794</v>
      </c>
      <c r="I119" s="4">
        <v>316</v>
      </c>
      <c r="J119" s="4" t="str">
        <f t="shared" si="20"/>
        <v xml:space="preserve">10% MDGS Constant </v>
      </c>
      <c r="K119" s="18">
        <f>VLOOKUP(A119,'[1]Interim '!E:I,5,FALSE)*0.96</f>
        <v>817.92</v>
      </c>
      <c r="L119" s="31">
        <f t="shared" si="21"/>
        <v>3.7917241379310336</v>
      </c>
      <c r="M119" s="19">
        <f t="shared" si="22"/>
        <v>20.102195246101697</v>
      </c>
      <c r="N119" s="57">
        <f t="shared" si="23"/>
        <v>0.18862239131153305</v>
      </c>
    </row>
    <row r="120" spans="1:14" x14ac:dyDescent="0.2">
      <c r="A120" s="16">
        <v>4467</v>
      </c>
      <c r="B120" s="17">
        <f>VLOOKUP(A120,'[1]Nebris 11.27'!E:I,5,FALSE)</f>
        <v>596</v>
      </c>
      <c r="C120" s="4">
        <f>VLOOKUP(A120,'[1]Nebris 11.28.23'!E:I,5,FALSE)</f>
        <v>606</v>
      </c>
      <c r="D120" s="56">
        <f t="shared" si="19"/>
        <v>-10</v>
      </c>
      <c r="E120" s="18">
        <f t="shared" si="18"/>
        <v>601</v>
      </c>
      <c r="F120" s="4">
        <v>2</v>
      </c>
      <c r="G120" s="4">
        <v>1</v>
      </c>
      <c r="H120" s="4">
        <v>0.87251119098919461</v>
      </c>
      <c r="I120" s="4">
        <v>317</v>
      </c>
      <c r="J120" s="4" t="str">
        <f t="shared" si="20"/>
        <v>Control</v>
      </c>
      <c r="K120" s="18">
        <f>VLOOKUP(A120,'[1]Interim '!E:I,5,FALSE)*0.96</f>
        <v>844.8</v>
      </c>
      <c r="L120" s="31">
        <f t="shared" si="21"/>
        <v>4.2034482758620682</v>
      </c>
      <c r="M120" s="19">
        <f t="shared" si="22"/>
        <v>19.655293186271191</v>
      </c>
      <c r="N120" s="57">
        <f t="shared" si="23"/>
        <v>0.21385833505643601</v>
      </c>
    </row>
    <row r="121" spans="1:14" x14ac:dyDescent="0.2">
      <c r="A121" s="16">
        <v>4479</v>
      </c>
      <c r="B121" s="17">
        <f>VLOOKUP(A121,'[1]Nebris 11.27'!E:I,5,FALSE)</f>
        <v>592</v>
      </c>
      <c r="C121" s="4">
        <f>VLOOKUP(A121,'[1]Nebris 11.28.23'!E:I,5,FALSE)</f>
        <v>600</v>
      </c>
      <c r="D121" s="56">
        <f t="shared" si="19"/>
        <v>-8</v>
      </c>
      <c r="E121" s="18">
        <f t="shared" si="18"/>
        <v>596</v>
      </c>
      <c r="F121" s="4">
        <v>2</v>
      </c>
      <c r="G121" s="4">
        <v>1</v>
      </c>
      <c r="H121" s="4">
        <v>0.97228927987614155</v>
      </c>
      <c r="I121" s="4">
        <v>318</v>
      </c>
      <c r="J121" s="4" t="str">
        <f t="shared" si="20"/>
        <v>10% MDGS Variable</v>
      </c>
      <c r="K121" s="18">
        <f>VLOOKUP(A121,'[1]Interim '!E:I,5,FALSE)*0.96</f>
        <v>814.07999999999993</v>
      </c>
      <c r="L121" s="31">
        <f t="shared" si="21"/>
        <v>3.7599999999999989</v>
      </c>
      <c r="M121" s="19">
        <f t="shared" si="22"/>
        <v>20.764816593728806</v>
      </c>
      <c r="N121" s="57">
        <f t="shared" si="23"/>
        <v>0.18107552181007747</v>
      </c>
    </row>
    <row r="122" spans="1:14" x14ac:dyDescent="0.2">
      <c r="A122" s="16">
        <v>4727</v>
      </c>
      <c r="B122" s="17">
        <f>VLOOKUP(A122,'[1]Nebris 11.27'!E:I,5,FALSE)</f>
        <v>602</v>
      </c>
      <c r="C122" s="4">
        <f>VLOOKUP(A122,'[1]Nebris 11.28.23'!E:I,5,FALSE)</f>
        <v>614</v>
      </c>
      <c r="D122" s="56">
        <f t="shared" si="19"/>
        <v>-12</v>
      </c>
      <c r="E122" s="18">
        <f t="shared" si="18"/>
        <v>608</v>
      </c>
      <c r="F122" s="4">
        <v>2</v>
      </c>
      <c r="G122" s="4">
        <v>2</v>
      </c>
      <c r="H122" s="4">
        <v>9.3112066745773103E-2</v>
      </c>
      <c r="I122" s="4">
        <v>215</v>
      </c>
      <c r="J122" s="4" t="str">
        <f t="shared" si="20"/>
        <v>10% MDGS Variable</v>
      </c>
      <c r="K122" s="18">
        <f>VLOOKUP(A122,'[1]Interim '!E:I,5,FALSE)*0.96</f>
        <v>808.31999999999994</v>
      </c>
      <c r="L122" s="31">
        <f t="shared" si="21"/>
        <v>3.4537931034482749</v>
      </c>
      <c r="M122" s="19">
        <f t="shared" si="22"/>
        <v>19.107699350338986</v>
      </c>
      <c r="N122" s="57">
        <f t="shared" si="23"/>
        <v>0.18075400078905898</v>
      </c>
    </row>
    <row r="123" spans="1:14" x14ac:dyDescent="0.2">
      <c r="A123" s="16">
        <v>4524</v>
      </c>
      <c r="B123" s="17">
        <f>VLOOKUP(A123,'[1]Nebris 11.27'!E:I,5,FALSE)</f>
        <v>602</v>
      </c>
      <c r="C123" s="4">
        <f>VLOOKUP(A123,'[1]Nebris 11.28.23'!E:I,5,FALSE)</f>
        <v>600</v>
      </c>
      <c r="D123" s="56">
        <f t="shared" si="19"/>
        <v>2</v>
      </c>
      <c r="E123" s="18">
        <f t="shared" si="18"/>
        <v>601</v>
      </c>
      <c r="F123" s="4">
        <v>2</v>
      </c>
      <c r="G123" s="4">
        <v>2</v>
      </c>
      <c r="H123" s="4">
        <v>0.13815616028413791</v>
      </c>
      <c r="I123" s="4">
        <v>216</v>
      </c>
      <c r="J123" s="4" t="str">
        <f t="shared" si="20"/>
        <v xml:space="preserve">10% MDGS Constant </v>
      </c>
      <c r="K123" s="18">
        <f>VLOOKUP(A123,'[1]Interim '!E:I,5,FALSE)*0.96</f>
        <v>817.92</v>
      </c>
      <c r="L123" s="31">
        <f t="shared" si="21"/>
        <v>3.7399999999999993</v>
      </c>
      <c r="M123" s="19">
        <f t="shared" si="22"/>
        <v>20.398789655593223</v>
      </c>
      <c r="N123" s="57">
        <f t="shared" si="23"/>
        <v>0.1833442112568926</v>
      </c>
    </row>
    <row r="124" spans="1:14" x14ac:dyDescent="0.2">
      <c r="A124" s="16">
        <v>4614</v>
      </c>
      <c r="B124" s="17">
        <f>VLOOKUP(A124,'[1]Nebris 11.27'!E:I,5,FALSE)</f>
        <v>602</v>
      </c>
      <c r="C124" s="4">
        <f>VLOOKUP(A124,'[1]Nebris 11.28.23'!E:I,5,FALSE)</f>
        <v>602</v>
      </c>
      <c r="D124" s="56">
        <f t="shared" si="19"/>
        <v>0</v>
      </c>
      <c r="E124" s="18">
        <f t="shared" si="18"/>
        <v>602</v>
      </c>
      <c r="F124" s="4">
        <v>2</v>
      </c>
      <c r="G124" s="4">
        <v>2</v>
      </c>
      <c r="H124" s="4">
        <v>0.14155921281742978</v>
      </c>
      <c r="I124" s="4">
        <v>301</v>
      </c>
      <c r="J124" s="4" t="str">
        <f t="shared" si="20"/>
        <v xml:space="preserve">25% MDGS Constant </v>
      </c>
      <c r="K124" s="18">
        <f>VLOOKUP(A124,'[1]Interim '!E:I,5,FALSE)*0.96</f>
        <v>731.52</v>
      </c>
      <c r="L124" s="31">
        <f t="shared" si="21"/>
        <v>2.2331034482758616</v>
      </c>
      <c r="M124" s="19">
        <f t="shared" si="22"/>
        <v>19.764340823559323</v>
      </c>
      <c r="N124" s="57">
        <f t="shared" si="23"/>
        <v>0.11298648754396992</v>
      </c>
    </row>
    <row r="125" spans="1:14" x14ac:dyDescent="0.2">
      <c r="A125" s="16">
        <v>4446</v>
      </c>
      <c r="B125" s="17">
        <f>VLOOKUP(A125,'[1]Nebris 11.27'!E:I,5,FALSE)</f>
        <v>602</v>
      </c>
      <c r="C125" s="4">
        <f>VLOOKUP(A125,'[1]Nebris 11.28.23'!E:I,5,FALSE)</f>
        <v>626</v>
      </c>
      <c r="D125" s="56">
        <f t="shared" si="19"/>
        <v>-24</v>
      </c>
      <c r="E125" s="18">
        <f t="shared" si="18"/>
        <v>614</v>
      </c>
      <c r="F125" s="4">
        <v>2</v>
      </c>
      <c r="G125" s="4">
        <v>2</v>
      </c>
      <c r="H125" s="4">
        <v>0.14264104422510882</v>
      </c>
      <c r="I125" s="4">
        <v>302</v>
      </c>
      <c r="J125" s="4" t="str">
        <f t="shared" si="20"/>
        <v>25% MDGS Variable</v>
      </c>
      <c r="K125" s="18">
        <f>VLOOKUP(A125,'[1]Interim '!E:I,5,FALSE)*0.96</f>
        <v>823.68</v>
      </c>
      <c r="L125" s="31">
        <f t="shared" si="21"/>
        <v>3.6151724137931027</v>
      </c>
      <c r="M125" s="19">
        <f t="shared" si="22"/>
        <v>18.146163789943504</v>
      </c>
      <c r="N125" s="57">
        <f t="shared" si="23"/>
        <v>0.19922516161771944</v>
      </c>
    </row>
    <row r="126" spans="1:14" x14ac:dyDescent="0.2">
      <c r="A126" s="16">
        <v>4718</v>
      </c>
      <c r="B126" s="17">
        <f>VLOOKUP(A126,'[1]Nebris 11.27'!E:I,5,FALSE)</f>
        <v>598</v>
      </c>
      <c r="C126" s="4">
        <f>VLOOKUP(A126,'[1]Nebris 11.28.23'!E:I,5,FALSE)</f>
        <v>598</v>
      </c>
      <c r="D126" s="56">
        <f t="shared" si="19"/>
        <v>0</v>
      </c>
      <c r="E126" s="18">
        <f t="shared" si="18"/>
        <v>598</v>
      </c>
      <c r="F126" s="4">
        <v>2</v>
      </c>
      <c r="G126" s="4">
        <v>2</v>
      </c>
      <c r="H126" s="4">
        <v>0.14938604490814034</v>
      </c>
      <c r="I126" s="4">
        <v>303</v>
      </c>
      <c r="J126" s="4" t="str">
        <f t="shared" si="20"/>
        <v>Control</v>
      </c>
      <c r="K126" s="18">
        <f>VLOOKUP(A126,'[1]Interim '!E:I,5,FALSE)*0.96</f>
        <v>731.52</v>
      </c>
      <c r="L126" s="31">
        <f t="shared" si="21"/>
        <v>2.3020689655172411</v>
      </c>
      <c r="M126" s="19">
        <f t="shared" si="22"/>
        <v>18.063320037796611</v>
      </c>
      <c r="N126" s="57">
        <f t="shared" si="23"/>
        <v>0.12744439896432519</v>
      </c>
    </row>
    <row r="127" spans="1:14" x14ac:dyDescent="0.2">
      <c r="A127" s="16">
        <v>4404</v>
      </c>
      <c r="B127" s="17">
        <f>VLOOKUP(A127,'[1]Nebris 11.27'!E:I,5,FALSE)</f>
        <v>602</v>
      </c>
      <c r="C127" s="4">
        <f>VLOOKUP(A127,'[1]Nebris 11.28.23'!E:I,5,FALSE)</f>
        <v>606</v>
      </c>
      <c r="D127" s="56">
        <f t="shared" si="19"/>
        <v>-4</v>
      </c>
      <c r="E127" s="18">
        <f t="shared" si="18"/>
        <v>604</v>
      </c>
      <c r="F127" s="4">
        <v>2</v>
      </c>
      <c r="G127" s="4">
        <v>2</v>
      </c>
      <c r="H127" s="4">
        <v>0.21996919860187591</v>
      </c>
      <c r="I127" s="4">
        <v>304</v>
      </c>
      <c r="J127" s="4" t="str">
        <f t="shared" si="20"/>
        <v>10% MDGS Variable</v>
      </c>
      <c r="K127" s="18">
        <f>VLOOKUP(A127,'[1]Interim '!E:I,5,FALSE)*0.96</f>
        <v>777.6</v>
      </c>
      <c r="L127" s="31">
        <f t="shared" si="21"/>
        <v>2.9931034482758623</v>
      </c>
      <c r="M127" s="19">
        <f t="shared" si="22"/>
        <v>18.555515762033892</v>
      </c>
      <c r="N127" s="57">
        <f t="shared" si="23"/>
        <v>0.16130532218349855</v>
      </c>
    </row>
    <row r="128" spans="1:14" x14ac:dyDescent="0.2">
      <c r="A128" s="16">
        <v>4428</v>
      </c>
      <c r="B128" s="17">
        <f>VLOOKUP(A128,'[1]Nebris 11.27'!E:I,5,FALSE)</f>
        <v>606</v>
      </c>
      <c r="C128" s="4">
        <f>VLOOKUP(A128,'[1]Nebris 11.28.23'!E:I,5,FALSE)</f>
        <v>604</v>
      </c>
      <c r="D128" s="56">
        <f t="shared" si="19"/>
        <v>2</v>
      </c>
      <c r="E128" s="18">
        <f t="shared" si="18"/>
        <v>605</v>
      </c>
      <c r="F128" s="4">
        <v>2</v>
      </c>
      <c r="G128" s="4">
        <v>2</v>
      </c>
      <c r="H128" s="4">
        <v>0.24474136903889254</v>
      </c>
      <c r="I128" s="4">
        <v>305</v>
      </c>
      <c r="J128" s="4" t="str">
        <f t="shared" si="20"/>
        <v xml:space="preserve">10% MDGS Constant </v>
      </c>
      <c r="K128" s="18">
        <f>VLOOKUP(A128,'[1]Interim '!E:I,5,FALSE)*0.96</f>
        <v>823.68</v>
      </c>
      <c r="L128" s="31">
        <f t="shared" si="21"/>
        <v>3.7703448275862059</v>
      </c>
      <c r="M128" s="19">
        <f t="shared" si="22"/>
        <v>18.368632711016947</v>
      </c>
      <c r="N128" s="57">
        <f t="shared" si="23"/>
        <v>0.20525996065699914</v>
      </c>
    </row>
    <row r="129" spans="1:14" x14ac:dyDescent="0.2">
      <c r="A129" s="16">
        <v>4473</v>
      </c>
      <c r="B129" s="17">
        <f>VLOOKUP(A129,'[1]Nebris 11.27'!E:I,5,FALSE)</f>
        <v>602</v>
      </c>
      <c r="C129" s="4">
        <f>VLOOKUP(A129,'[1]Nebris 11.28.23'!E:I,5,FALSE)</f>
        <v>602</v>
      </c>
      <c r="D129" s="56">
        <f t="shared" si="19"/>
        <v>0</v>
      </c>
      <c r="E129" s="18">
        <f t="shared" si="18"/>
        <v>602</v>
      </c>
      <c r="F129" s="4">
        <v>2</v>
      </c>
      <c r="G129" s="4">
        <v>2</v>
      </c>
      <c r="H129" s="4">
        <v>0.29437802963269888</v>
      </c>
      <c r="I129" s="4">
        <v>306</v>
      </c>
      <c r="J129" s="4" t="str">
        <f t="shared" si="20"/>
        <v>Control</v>
      </c>
      <c r="K129" s="18">
        <f>VLOOKUP(A129,'[1]Interim '!E:I,5,FALSE)*0.96</f>
        <v>794.88</v>
      </c>
      <c r="L129" s="31">
        <f t="shared" si="21"/>
        <v>3.3255172413793104</v>
      </c>
      <c r="M129" s="19">
        <f t="shared" si="22"/>
        <v>19.337783459491533</v>
      </c>
      <c r="N129" s="57">
        <f t="shared" si="23"/>
        <v>0.17196992862938756</v>
      </c>
    </row>
    <row r="130" spans="1:14" x14ac:dyDescent="0.2">
      <c r="A130" s="16">
        <v>4636</v>
      </c>
      <c r="B130" s="17">
        <f>VLOOKUP(A130,'[1]Nebris 11.27'!E:I,5,FALSE)</f>
        <v>604</v>
      </c>
      <c r="C130" s="4">
        <f>VLOOKUP(A130,'[1]Nebris 11.28.23'!E:I,5,FALSE)</f>
        <v>598</v>
      </c>
      <c r="D130" s="56">
        <f t="shared" si="19"/>
        <v>6</v>
      </c>
      <c r="E130" s="18">
        <f t="shared" ref="E130:E193" si="24">AVERAGE(B130:C130)</f>
        <v>601</v>
      </c>
      <c r="F130" s="4">
        <v>2</v>
      </c>
      <c r="G130" s="4">
        <v>2</v>
      </c>
      <c r="H130" s="4">
        <v>0.42589943864821633</v>
      </c>
      <c r="I130" s="4">
        <v>307</v>
      </c>
      <c r="J130" s="4" t="str">
        <f t="shared" si="20"/>
        <v>25% MDGS Variable</v>
      </c>
      <c r="K130" s="18">
        <f>VLOOKUP(A130,'[1]Interim '!E:I,5,FALSE)*0.96</f>
        <v>762.24</v>
      </c>
      <c r="L130" s="31">
        <f t="shared" si="21"/>
        <v>2.7800000000000002</v>
      </c>
      <c r="M130" s="19">
        <f t="shared" si="22"/>
        <v>19.036105591355938</v>
      </c>
      <c r="N130" s="57">
        <f t="shared" si="23"/>
        <v>0.14603827377708833</v>
      </c>
    </row>
    <row r="131" spans="1:14" x14ac:dyDescent="0.2">
      <c r="A131" s="16">
        <v>4356</v>
      </c>
      <c r="B131" s="17">
        <f>VLOOKUP(A131,'[1]Nebris 11.27'!E:I,5,FALSE)</f>
        <v>600</v>
      </c>
      <c r="C131" s="4">
        <f>VLOOKUP(A131,'[1]Nebris 11.28.23'!E:I,5,FALSE)</f>
        <v>598</v>
      </c>
      <c r="D131" s="56">
        <f t="shared" ref="D131:D194" si="25">B131-C131</f>
        <v>2</v>
      </c>
      <c r="E131" s="18">
        <f t="shared" si="24"/>
        <v>599</v>
      </c>
      <c r="F131" s="4">
        <v>2</v>
      </c>
      <c r="G131" s="4">
        <v>2</v>
      </c>
      <c r="H131" s="4">
        <v>0.50895191126004813</v>
      </c>
      <c r="I131" s="4">
        <v>308</v>
      </c>
      <c r="J131" s="4" t="str">
        <f t="shared" ref="J131:J194" si="26">VLOOKUP(I131,$T$2:$X$57,5,FALSE)</f>
        <v xml:space="preserve">25% MDGS Constant </v>
      </c>
      <c r="K131" s="18">
        <f>VLOOKUP(A131,'[1]Interim '!E:I,5,FALSE)*0.96</f>
        <v>789.12</v>
      </c>
      <c r="L131" s="31">
        <f t="shared" ref="L131:L194" si="27">(K131-E131)/58</f>
        <v>3.2779310344827586</v>
      </c>
      <c r="M131" s="19">
        <f t="shared" ref="M131:M194" si="28">VLOOKUP(I131,$AL$1:$AM$40,2,FALSE)</f>
        <v>19.826311333050853</v>
      </c>
      <c r="N131" s="57">
        <f t="shared" ref="N131:N194" si="29">L131/M131</f>
        <v>0.16533236966870296</v>
      </c>
    </row>
    <row r="132" spans="1:14" x14ac:dyDescent="0.2">
      <c r="A132" s="16">
        <v>4668</v>
      </c>
      <c r="B132" s="17">
        <f>VLOOKUP(A132,'[1]Nebris 11.27'!E:I,5,FALSE)</f>
        <v>604</v>
      </c>
      <c r="C132" s="4">
        <f>VLOOKUP(A132,'[1]Nebris 11.28.23'!E:I,5,FALSE)</f>
        <v>592</v>
      </c>
      <c r="D132" s="56">
        <f t="shared" si="25"/>
        <v>12</v>
      </c>
      <c r="E132" s="18">
        <f t="shared" si="24"/>
        <v>598</v>
      </c>
      <c r="F132" s="4">
        <v>2</v>
      </c>
      <c r="G132" s="4">
        <v>2</v>
      </c>
      <c r="H132" s="4">
        <v>0.55655502798720036</v>
      </c>
      <c r="I132" s="4">
        <v>309</v>
      </c>
      <c r="J132" s="4" t="str">
        <f t="shared" si="26"/>
        <v>Control</v>
      </c>
      <c r="K132" s="18">
        <f>VLOOKUP(A132,'[1]Interim '!E:I,5,FALSE)*0.96</f>
        <v>804.48</v>
      </c>
      <c r="L132" s="31">
        <f t="shared" si="27"/>
        <v>3.5600000000000005</v>
      </c>
      <c r="M132" s="19">
        <f t="shared" si="28"/>
        <v>19.729599065254234</v>
      </c>
      <c r="N132" s="57">
        <f t="shared" si="29"/>
        <v>0.18043955116500623</v>
      </c>
    </row>
    <row r="133" spans="1:14" x14ac:dyDescent="0.2">
      <c r="A133" s="16">
        <v>4347</v>
      </c>
      <c r="B133" s="17">
        <f>VLOOKUP(A133,'[1]Nebris 11.27'!E:I,5,FALSE)</f>
        <v>602</v>
      </c>
      <c r="C133" s="4">
        <f>VLOOKUP(A133,'[1]Nebris 11.28.23'!E:I,5,FALSE)</f>
        <v>602</v>
      </c>
      <c r="D133" s="56">
        <f t="shared" si="25"/>
        <v>0</v>
      </c>
      <c r="E133" s="18">
        <f t="shared" si="24"/>
        <v>602</v>
      </c>
      <c r="F133" s="4">
        <v>2</v>
      </c>
      <c r="G133" s="4">
        <v>2</v>
      </c>
      <c r="H133" s="4">
        <v>0.56434096875360173</v>
      </c>
      <c r="I133" s="4">
        <v>310</v>
      </c>
      <c r="J133" s="4" t="str">
        <f t="shared" si="26"/>
        <v>10% MDGS Variable</v>
      </c>
      <c r="K133" s="18">
        <f>VLOOKUP(A133,'[1]Interim '!E:I,5,FALSE)*0.96</f>
        <v>856.31999999999994</v>
      </c>
      <c r="L133" s="31">
        <f t="shared" si="27"/>
        <v>4.3848275862068951</v>
      </c>
      <c r="M133" s="19">
        <f t="shared" si="28"/>
        <v>20.764816593728806</v>
      </c>
      <c r="N133" s="57">
        <f t="shared" si="29"/>
        <v>0.21116620830309474</v>
      </c>
    </row>
    <row r="134" spans="1:14" x14ac:dyDescent="0.2">
      <c r="A134" s="16">
        <v>4701</v>
      </c>
      <c r="B134" s="17">
        <f>VLOOKUP(A134,'[1]Nebris 11.27'!E:I,5,FALSE)</f>
        <v>598</v>
      </c>
      <c r="C134" s="4">
        <f>VLOOKUP(A134,'[1]Nebris 11.28.23'!E:I,5,FALSE)</f>
        <v>650</v>
      </c>
      <c r="D134" s="43">
        <f t="shared" si="25"/>
        <v>-52</v>
      </c>
      <c r="E134" s="18">
        <f t="shared" si="24"/>
        <v>624</v>
      </c>
      <c r="F134" s="4">
        <v>2</v>
      </c>
      <c r="G134" s="4">
        <v>2</v>
      </c>
      <c r="H134" s="4">
        <v>0.59068154592614552</v>
      </c>
      <c r="I134" s="4">
        <v>311</v>
      </c>
      <c r="J134" s="4" t="str">
        <f t="shared" si="26"/>
        <v xml:space="preserve">10% MDGS Constant </v>
      </c>
      <c r="K134" s="18">
        <f>VLOOKUP(A134,'[1]Interim '!E:I,5,FALSE)*0.96</f>
        <v>958.07999999999993</v>
      </c>
      <c r="L134" s="31">
        <f t="shared" si="27"/>
        <v>5.7599999999999989</v>
      </c>
      <c r="M134" s="19">
        <f t="shared" si="28"/>
        <v>21.070004804237286</v>
      </c>
      <c r="N134" s="57">
        <f t="shared" si="29"/>
        <v>0.27337440373253419</v>
      </c>
    </row>
    <row r="135" spans="1:14" x14ac:dyDescent="0.2">
      <c r="A135" s="16">
        <v>4714</v>
      </c>
      <c r="B135" s="17">
        <f>VLOOKUP(A135,'[1]Nebris 11.27'!E:I,5,FALSE)</f>
        <v>604</v>
      </c>
      <c r="C135" s="4">
        <f>VLOOKUP(A135,'[1]Nebris 11.28.23'!E:I,5,FALSE)</f>
        <v>630</v>
      </c>
      <c r="D135" s="56">
        <f t="shared" si="25"/>
        <v>-26</v>
      </c>
      <c r="E135" s="18">
        <f t="shared" si="24"/>
        <v>617</v>
      </c>
      <c r="F135" s="4">
        <v>2</v>
      </c>
      <c r="G135" s="4">
        <v>2</v>
      </c>
      <c r="H135" s="4">
        <v>0.59328773748427588</v>
      </c>
      <c r="I135" s="4">
        <v>312</v>
      </c>
      <c r="J135" s="4" t="str">
        <f t="shared" si="26"/>
        <v xml:space="preserve">25% MDGS Constant </v>
      </c>
      <c r="K135" s="18">
        <f>VLOOKUP(A135,'[1]Interim '!E:I,5,FALSE)*0.96</f>
        <v>804.48</v>
      </c>
      <c r="L135" s="31">
        <f t="shared" si="27"/>
        <v>3.2324137931034485</v>
      </c>
      <c r="M135" s="19">
        <f t="shared" si="28"/>
        <v>20.726410488305085</v>
      </c>
      <c r="N135" s="57">
        <f t="shared" si="29"/>
        <v>0.15595627592763078</v>
      </c>
    </row>
    <row r="136" spans="1:14" x14ac:dyDescent="0.2">
      <c r="A136" s="16">
        <v>4477</v>
      </c>
      <c r="B136" s="17">
        <f>VLOOKUP(A136,'[1]Nebris 11.27'!E:I,5,FALSE)</f>
        <v>606</v>
      </c>
      <c r="C136" s="4">
        <f>VLOOKUP(A136,'[1]Nebris 11.28.23'!E:I,5,FALSE)</f>
        <v>614</v>
      </c>
      <c r="D136" s="56">
        <f t="shared" si="25"/>
        <v>-8</v>
      </c>
      <c r="E136" s="18">
        <f t="shared" si="24"/>
        <v>610</v>
      </c>
      <c r="F136" s="4">
        <v>2</v>
      </c>
      <c r="G136" s="4">
        <v>2</v>
      </c>
      <c r="H136" s="4">
        <v>0.71093771533920913</v>
      </c>
      <c r="I136" s="4">
        <v>313</v>
      </c>
      <c r="J136" s="4" t="str">
        <f t="shared" si="26"/>
        <v>25% MDGS Variable</v>
      </c>
      <c r="K136" s="18">
        <f>VLOOKUP(A136,'[1]Interim '!E:I,5,FALSE)*0.96</f>
        <v>810.24</v>
      </c>
      <c r="L136" s="31">
        <f t="shared" si="27"/>
        <v>3.4524137931034486</v>
      </c>
      <c r="M136" s="19">
        <f t="shared" si="28"/>
        <v>20.372524565423721</v>
      </c>
      <c r="N136" s="57">
        <f t="shared" si="29"/>
        <v>0.16946421058501951</v>
      </c>
    </row>
    <row r="137" spans="1:14" x14ac:dyDescent="0.2">
      <c r="A137" s="16">
        <v>4459</v>
      </c>
      <c r="B137" s="17">
        <f>VLOOKUP(A137,'[1]Nebris 11.27'!E:I,5,FALSE)</f>
        <v>606</v>
      </c>
      <c r="C137" s="4">
        <f>VLOOKUP(A137,'[1]Nebris 11.28.23'!E:I,5,FALSE)</f>
        <v>614</v>
      </c>
      <c r="D137" s="56">
        <f t="shared" si="25"/>
        <v>-8</v>
      </c>
      <c r="E137" s="18">
        <f t="shared" si="24"/>
        <v>610</v>
      </c>
      <c r="F137" s="4">
        <v>2</v>
      </c>
      <c r="G137" s="4">
        <v>2</v>
      </c>
      <c r="H137" s="4">
        <v>0.71237204107635532</v>
      </c>
      <c r="I137" s="4">
        <v>314</v>
      </c>
      <c r="J137" s="4" t="str">
        <f t="shared" si="26"/>
        <v>25% MDGS Variable</v>
      </c>
      <c r="K137" s="18">
        <f>VLOOKUP(A137,'[1]Interim '!E:I,5,FALSE)*0.96</f>
        <v>769.92</v>
      </c>
      <c r="L137" s="31">
        <f t="shared" si="27"/>
        <v>2.7572413793103441</v>
      </c>
      <c r="M137" s="19">
        <f t="shared" si="28"/>
        <v>21.54037682898305</v>
      </c>
      <c r="N137" s="57">
        <f t="shared" si="29"/>
        <v>0.12800339572520456</v>
      </c>
    </row>
    <row r="138" spans="1:14" x14ac:dyDescent="0.2">
      <c r="A138" s="16">
        <v>4432</v>
      </c>
      <c r="B138" s="17">
        <f>VLOOKUP(A138,'[1]Nebris 11.27'!E:I,5,FALSE)</f>
        <v>604</v>
      </c>
      <c r="C138" s="4">
        <f>VLOOKUP(A138,'[1]Nebris 11.28.23'!E:I,5,FALSE)</f>
        <v>610</v>
      </c>
      <c r="D138" s="56">
        <f t="shared" si="25"/>
        <v>-6</v>
      </c>
      <c r="E138" s="18">
        <f t="shared" si="24"/>
        <v>607</v>
      </c>
      <c r="F138" s="4">
        <v>2</v>
      </c>
      <c r="G138" s="4">
        <v>2</v>
      </c>
      <c r="H138" s="4">
        <v>0.79126431560618649</v>
      </c>
      <c r="I138" s="4">
        <v>315</v>
      </c>
      <c r="J138" s="4" t="str">
        <f t="shared" si="26"/>
        <v xml:space="preserve">25% MDGS Constant </v>
      </c>
      <c r="K138" s="18">
        <f>VLOOKUP(A138,'[1]Interim '!E:I,5,FALSE)*0.96</f>
        <v>791.04</v>
      </c>
      <c r="L138" s="31">
        <f t="shared" si="27"/>
        <v>3.1731034482758615</v>
      </c>
      <c r="M138" s="19">
        <f t="shared" si="28"/>
        <v>20.610381563389829</v>
      </c>
      <c r="N138" s="57">
        <f t="shared" si="29"/>
        <v>0.15395656012076153</v>
      </c>
    </row>
    <row r="139" spans="1:14" x14ac:dyDescent="0.2">
      <c r="A139" s="16">
        <v>4598</v>
      </c>
      <c r="B139" s="17">
        <f>VLOOKUP(A139,'[1]Nebris 11.27'!E:I,5,FALSE)</f>
        <v>602</v>
      </c>
      <c r="C139" s="4">
        <f>VLOOKUP(A139,'[1]Nebris 11.28.23'!E:I,5,FALSE)</f>
        <v>630</v>
      </c>
      <c r="D139" s="56">
        <f t="shared" si="25"/>
        <v>-28</v>
      </c>
      <c r="E139" s="18">
        <f t="shared" si="24"/>
        <v>616</v>
      </c>
      <c r="F139" s="4">
        <v>2</v>
      </c>
      <c r="G139" s="4">
        <v>2</v>
      </c>
      <c r="H139" s="4">
        <v>0.83871095968746889</v>
      </c>
      <c r="I139" s="4">
        <v>316</v>
      </c>
      <c r="J139" s="4" t="str">
        <f t="shared" si="26"/>
        <v xml:space="preserve">10% MDGS Constant </v>
      </c>
      <c r="K139" s="18">
        <f>VLOOKUP(A139,'[1]Interim '!E:I,5,FALSE)*0.96</f>
        <v>810.24</v>
      </c>
      <c r="L139" s="31">
        <f t="shared" si="27"/>
        <v>3.3489655172413793</v>
      </c>
      <c r="M139" s="19">
        <f t="shared" si="28"/>
        <v>20.102195246101697</v>
      </c>
      <c r="N139" s="57">
        <f t="shared" si="29"/>
        <v>0.16659700476697065</v>
      </c>
    </row>
    <row r="140" spans="1:14" x14ac:dyDescent="0.2">
      <c r="A140" s="16">
        <v>4709</v>
      </c>
      <c r="B140" s="17">
        <f>VLOOKUP(A140,'[1]Nebris 11.27'!E:I,5,FALSE)</f>
        <v>600</v>
      </c>
      <c r="C140" s="4">
        <f>VLOOKUP(A140,'[1]Nebris 11.28.23'!E:I,5,FALSE)</f>
        <v>586</v>
      </c>
      <c r="D140" s="56">
        <f t="shared" si="25"/>
        <v>14</v>
      </c>
      <c r="E140" s="18">
        <f t="shared" si="24"/>
        <v>593</v>
      </c>
      <c r="F140" s="4">
        <v>2</v>
      </c>
      <c r="G140" s="4">
        <v>2</v>
      </c>
      <c r="H140" s="4">
        <v>0.86446508204237971</v>
      </c>
      <c r="I140" s="4">
        <v>317</v>
      </c>
      <c r="J140" s="4" t="str">
        <f t="shared" si="26"/>
        <v>Control</v>
      </c>
      <c r="K140" s="18">
        <f>VLOOKUP(A140,'[1]Interim '!E:I,5,FALSE)*0.96</f>
        <v>814.07999999999993</v>
      </c>
      <c r="L140" s="31">
        <f t="shared" si="27"/>
        <v>3.8117241379310332</v>
      </c>
      <c r="M140" s="19">
        <f t="shared" si="28"/>
        <v>19.655293186271191</v>
      </c>
      <c r="N140" s="57">
        <f t="shared" si="29"/>
        <v>0.19392863295437598</v>
      </c>
    </row>
    <row r="141" spans="1:14" x14ac:dyDescent="0.2">
      <c r="A141" s="16">
        <v>4334</v>
      </c>
      <c r="B141" s="17">
        <f>VLOOKUP(A141,'[1]Nebris 11.27'!E:I,5,FALSE)</f>
        <v>606</v>
      </c>
      <c r="C141" s="4">
        <f>VLOOKUP(A141,'[1]Nebris 11.28.23'!E:I,5,FALSE)</f>
        <v>610</v>
      </c>
      <c r="D141" s="56">
        <f t="shared" si="25"/>
        <v>-4</v>
      </c>
      <c r="E141" s="18">
        <f t="shared" si="24"/>
        <v>608</v>
      </c>
      <c r="F141" s="4">
        <v>2</v>
      </c>
      <c r="G141" s="4">
        <v>2</v>
      </c>
      <c r="H141" s="4">
        <v>0.97020955983932244</v>
      </c>
      <c r="I141" s="4">
        <v>318</v>
      </c>
      <c r="J141" s="4" t="str">
        <f t="shared" si="26"/>
        <v>10% MDGS Variable</v>
      </c>
      <c r="K141" s="18">
        <f>VLOOKUP(A141,'[1]Interim '!E:I,5,FALSE)*0.96</f>
        <v>748.8</v>
      </c>
      <c r="L141" s="31">
        <f t="shared" si="27"/>
        <v>2.4275862068965508</v>
      </c>
      <c r="M141" s="19">
        <f t="shared" si="28"/>
        <v>20.764816593728806</v>
      </c>
      <c r="N141" s="57">
        <f t="shared" si="29"/>
        <v>0.1169086274342393</v>
      </c>
    </row>
    <row r="142" spans="1:14" x14ac:dyDescent="0.2">
      <c r="A142" s="16">
        <v>4761</v>
      </c>
      <c r="B142" s="17">
        <f>VLOOKUP(A142,'[1]Nebris 11.27'!E:I,5,FALSE)</f>
        <v>614</v>
      </c>
      <c r="C142" s="4">
        <f>VLOOKUP(A142,'[1]Nebris 11.28.23'!E:I,5,FALSE)</f>
        <v>620</v>
      </c>
      <c r="D142" s="56">
        <f t="shared" si="25"/>
        <v>-6</v>
      </c>
      <c r="E142" s="18">
        <f t="shared" si="24"/>
        <v>617</v>
      </c>
      <c r="F142" s="4">
        <v>2</v>
      </c>
      <c r="G142" s="4">
        <v>3</v>
      </c>
      <c r="H142" s="4">
        <v>5.626567224079615E-4</v>
      </c>
      <c r="I142" s="4">
        <v>215</v>
      </c>
      <c r="J142" s="4" t="str">
        <f t="shared" si="26"/>
        <v>10% MDGS Variable</v>
      </c>
      <c r="K142" s="18">
        <f>VLOOKUP(A142,'[1]Interim '!E:I,5,FALSE)*0.96</f>
        <v>768</v>
      </c>
      <c r="L142" s="31">
        <f t="shared" si="27"/>
        <v>2.603448275862069</v>
      </c>
      <c r="M142" s="19">
        <f t="shared" si="28"/>
        <v>19.107699350338986</v>
      </c>
      <c r="N142" s="57">
        <f t="shared" si="29"/>
        <v>0.13625126856603392</v>
      </c>
    </row>
    <row r="143" spans="1:14" x14ac:dyDescent="0.2">
      <c r="A143" s="16">
        <v>4586</v>
      </c>
      <c r="B143" s="17">
        <f>VLOOKUP(A143,'[1]Nebris 11.27'!E:I,5,FALSE)</f>
        <v>614</v>
      </c>
      <c r="C143" s="4">
        <f>VLOOKUP(A143,'[1]Nebris 11.28.23'!E:I,5,FALSE)</f>
        <v>614</v>
      </c>
      <c r="D143" s="56">
        <f t="shared" si="25"/>
        <v>0</v>
      </c>
      <c r="E143" s="18">
        <f t="shared" si="24"/>
        <v>614</v>
      </c>
      <c r="F143" s="4">
        <v>2</v>
      </c>
      <c r="G143" s="4">
        <v>3</v>
      </c>
      <c r="H143" s="4">
        <v>0.12270032414404819</v>
      </c>
      <c r="I143" s="4">
        <v>216</v>
      </c>
      <c r="J143" s="4" t="str">
        <f t="shared" si="26"/>
        <v xml:space="preserve">10% MDGS Constant </v>
      </c>
      <c r="K143" s="18">
        <f>VLOOKUP(A143,'[1]Interim '!E:I,5,FALSE)*0.96</f>
        <v>804.48</v>
      </c>
      <c r="L143" s="31">
        <f t="shared" si="27"/>
        <v>3.2841379310344831</v>
      </c>
      <c r="M143" s="19">
        <f t="shared" si="28"/>
        <v>20.398789655593223</v>
      </c>
      <c r="N143" s="57">
        <f t="shared" si="29"/>
        <v>0.1609967055145349</v>
      </c>
    </row>
    <row r="144" spans="1:14" x14ac:dyDescent="0.2">
      <c r="A144" s="16">
        <v>4464</v>
      </c>
      <c r="B144" s="17">
        <f>VLOOKUP(A144,'[1]Nebris 11.27'!E:I,5,FALSE)</f>
        <v>608</v>
      </c>
      <c r="C144" s="4">
        <f>VLOOKUP(A144,'[1]Nebris 11.28.23'!E:I,5,FALSE)</f>
        <v>606</v>
      </c>
      <c r="D144" s="56">
        <f t="shared" si="25"/>
        <v>2</v>
      </c>
      <c r="E144" s="18">
        <f t="shared" si="24"/>
        <v>607</v>
      </c>
      <c r="F144" s="4">
        <v>2</v>
      </c>
      <c r="G144" s="4">
        <v>3</v>
      </c>
      <c r="H144" s="4">
        <v>0.14355179343387114</v>
      </c>
      <c r="I144" s="4">
        <v>301</v>
      </c>
      <c r="J144" s="4" t="str">
        <f t="shared" si="26"/>
        <v xml:space="preserve">25% MDGS Constant </v>
      </c>
      <c r="K144" s="18">
        <f>VLOOKUP(A144,'[1]Interim '!E:I,5,FALSE)*0.96</f>
        <v>764.16</v>
      </c>
      <c r="L144" s="31">
        <f t="shared" si="27"/>
        <v>2.7096551724137927</v>
      </c>
      <c r="M144" s="19">
        <f t="shared" si="28"/>
        <v>19.764340823559323</v>
      </c>
      <c r="N144" s="57">
        <f t="shared" si="29"/>
        <v>0.13709818084010433</v>
      </c>
    </row>
    <row r="145" spans="1:14" x14ac:dyDescent="0.2">
      <c r="A145" s="16">
        <v>4610</v>
      </c>
      <c r="B145" s="17">
        <f>VLOOKUP(A145,'[1]Nebris 11.27'!E:I,5,FALSE)</f>
        <v>608</v>
      </c>
      <c r="C145" s="4">
        <f>VLOOKUP(A145,'[1]Nebris 11.28.23'!E:I,5,FALSE)</f>
        <v>614</v>
      </c>
      <c r="D145" s="56">
        <f t="shared" si="25"/>
        <v>-6</v>
      </c>
      <c r="E145" s="18">
        <f t="shared" si="24"/>
        <v>611</v>
      </c>
      <c r="F145" s="4">
        <v>2</v>
      </c>
      <c r="G145" s="4">
        <v>3</v>
      </c>
      <c r="H145" s="4">
        <v>0.1447208552156638</v>
      </c>
      <c r="I145" s="4">
        <v>302</v>
      </c>
      <c r="J145" s="4" t="str">
        <f t="shared" si="26"/>
        <v>25% MDGS Variable</v>
      </c>
      <c r="K145" s="18">
        <f>VLOOKUP(A145,'[1]Interim '!E:I,5,FALSE)*0.96</f>
        <v>802.56</v>
      </c>
      <c r="L145" s="31">
        <f t="shared" si="27"/>
        <v>3.3027586206896542</v>
      </c>
      <c r="M145" s="19">
        <f t="shared" si="28"/>
        <v>18.146163789943504</v>
      </c>
      <c r="N145" s="57">
        <f t="shared" si="29"/>
        <v>0.18200864154659638</v>
      </c>
    </row>
    <row r="146" spans="1:14" x14ac:dyDescent="0.2">
      <c r="A146" s="16">
        <v>4621</v>
      </c>
      <c r="B146" s="17">
        <f>VLOOKUP(A146,'[1]Nebris 11.27'!E:I,5,FALSE)</f>
        <v>606</v>
      </c>
      <c r="C146" s="4">
        <f>VLOOKUP(A146,'[1]Nebris 11.28.23'!E:I,5,FALSE)</f>
        <v>608</v>
      </c>
      <c r="D146" s="56">
        <f t="shared" si="25"/>
        <v>-2</v>
      </c>
      <c r="E146" s="18">
        <f t="shared" si="24"/>
        <v>607</v>
      </c>
      <c r="F146" s="4">
        <v>2</v>
      </c>
      <c r="G146" s="4">
        <v>3</v>
      </c>
      <c r="H146" s="4">
        <v>0.28928262603253563</v>
      </c>
      <c r="I146" s="4">
        <v>303</v>
      </c>
      <c r="J146" s="4" t="str">
        <f t="shared" si="26"/>
        <v>Control</v>
      </c>
      <c r="K146" s="18">
        <f>VLOOKUP(A146,'[1]Interim '!E:I,5,FALSE)*0.96</f>
        <v>783.36</v>
      </c>
      <c r="L146" s="31">
        <f t="shared" si="27"/>
        <v>3.0406896551724141</v>
      </c>
      <c r="M146" s="19">
        <f t="shared" si="28"/>
        <v>18.063320037796611</v>
      </c>
      <c r="N146" s="57">
        <f t="shared" si="29"/>
        <v>0.16833503745767223</v>
      </c>
    </row>
    <row r="147" spans="1:14" x14ac:dyDescent="0.2">
      <c r="A147" s="16">
        <v>4550</v>
      </c>
      <c r="B147" s="17">
        <f>VLOOKUP(A147,'[1]Nebris 11.27'!E:I,5,FALSE)</f>
        <v>612</v>
      </c>
      <c r="C147" s="4">
        <f>VLOOKUP(A147,'[1]Nebris 11.28.23'!E:I,5,FALSE)</f>
        <v>612</v>
      </c>
      <c r="D147" s="56">
        <f t="shared" si="25"/>
        <v>0</v>
      </c>
      <c r="E147" s="18">
        <f t="shared" si="24"/>
        <v>612</v>
      </c>
      <c r="F147" s="4">
        <v>2</v>
      </c>
      <c r="G147" s="4">
        <v>3</v>
      </c>
      <c r="H147" s="4">
        <v>0.30218401929346705</v>
      </c>
      <c r="I147" s="4">
        <v>304</v>
      </c>
      <c r="J147" s="4" t="str">
        <f t="shared" si="26"/>
        <v>10% MDGS Variable</v>
      </c>
      <c r="K147" s="18">
        <f>VLOOKUP(A147,'[1]Interim '!E:I,5,FALSE)*0.96</f>
        <v>773.76</v>
      </c>
      <c r="L147" s="31">
        <f t="shared" si="27"/>
        <v>2.7889655172413792</v>
      </c>
      <c r="M147" s="19">
        <f t="shared" si="28"/>
        <v>18.555515762033892</v>
      </c>
      <c r="N147" s="57">
        <f t="shared" si="29"/>
        <v>0.1503038532050848</v>
      </c>
    </row>
    <row r="148" spans="1:14" x14ac:dyDescent="0.2">
      <c r="A148" s="16">
        <v>4750</v>
      </c>
      <c r="B148" s="17">
        <f>VLOOKUP(A148,'[1]Nebris 11.27'!E:I,5,FALSE)</f>
        <v>608</v>
      </c>
      <c r="C148" s="4">
        <f>VLOOKUP(A148,'[1]Nebris 11.28.23'!E:I,5,FALSE)</f>
        <v>614</v>
      </c>
      <c r="D148" s="56">
        <f t="shared" si="25"/>
        <v>-6</v>
      </c>
      <c r="E148" s="18">
        <f t="shared" si="24"/>
        <v>611</v>
      </c>
      <c r="F148" s="4">
        <v>2</v>
      </c>
      <c r="G148" s="4">
        <v>3</v>
      </c>
      <c r="H148" s="4">
        <v>0.31631466551789233</v>
      </c>
      <c r="I148" s="4">
        <v>305</v>
      </c>
      <c r="J148" s="4" t="str">
        <f t="shared" si="26"/>
        <v xml:space="preserve">10% MDGS Constant </v>
      </c>
      <c r="K148" s="18">
        <f>VLOOKUP(A148,'[1]Interim '!E:I,5,FALSE)*0.96</f>
        <v>779.52</v>
      </c>
      <c r="L148" s="31">
        <f t="shared" si="27"/>
        <v>2.90551724137931</v>
      </c>
      <c r="M148" s="19">
        <f t="shared" si="28"/>
        <v>18.368632711016947</v>
      </c>
      <c r="N148" s="57">
        <f t="shared" si="29"/>
        <v>0.15817819905760699</v>
      </c>
    </row>
    <row r="149" spans="1:14" x14ac:dyDescent="0.2">
      <c r="A149" s="16">
        <v>4466</v>
      </c>
      <c r="B149" s="17">
        <f>VLOOKUP(A149,'[1]Nebris 11.27'!E:I,5,FALSE)</f>
        <v>608</v>
      </c>
      <c r="C149" s="4">
        <f>VLOOKUP(A149,'[1]Nebris 11.28.23'!E:I,5,FALSE)</f>
        <v>600</v>
      </c>
      <c r="D149" s="56">
        <f t="shared" si="25"/>
        <v>8</v>
      </c>
      <c r="E149" s="18">
        <f t="shared" si="24"/>
        <v>604</v>
      </c>
      <c r="F149" s="4">
        <v>2</v>
      </c>
      <c r="G149" s="4">
        <v>3</v>
      </c>
      <c r="H149" s="4">
        <v>0.36155796035502963</v>
      </c>
      <c r="I149" s="4">
        <v>306</v>
      </c>
      <c r="J149" s="4" t="str">
        <f t="shared" si="26"/>
        <v>Control</v>
      </c>
      <c r="K149" s="18">
        <f>VLOOKUP(A149,'[1]Interim '!E:I,5,FALSE)*0.96</f>
        <v>706.56</v>
      </c>
      <c r="L149" s="31">
        <f t="shared" si="27"/>
        <v>1.7682758620689645</v>
      </c>
      <c r="M149" s="19">
        <f t="shared" si="28"/>
        <v>19.337783459491533</v>
      </c>
      <c r="N149" s="57">
        <f t="shared" si="29"/>
        <v>9.1441496683067086E-2</v>
      </c>
    </row>
    <row r="150" spans="1:14" x14ac:dyDescent="0.2">
      <c r="A150" s="16">
        <v>4512</v>
      </c>
      <c r="B150" s="17">
        <f>VLOOKUP(A150,'[1]Nebris 11.27'!E:I,5,FALSE)</f>
        <v>608</v>
      </c>
      <c r="C150" s="4">
        <f>VLOOKUP(A150,'[1]Nebris 11.28.23'!E:I,5,FALSE)</f>
        <v>624</v>
      </c>
      <c r="D150" s="56">
        <f t="shared" si="25"/>
        <v>-16</v>
      </c>
      <c r="E150" s="18">
        <f t="shared" si="24"/>
        <v>616</v>
      </c>
      <c r="F150" s="4">
        <v>2</v>
      </c>
      <c r="G150" s="4">
        <v>3</v>
      </c>
      <c r="H150" s="4">
        <v>0.40027242266934737</v>
      </c>
      <c r="I150" s="4">
        <v>307</v>
      </c>
      <c r="J150" s="4" t="str">
        <f t="shared" si="26"/>
        <v>25% MDGS Variable</v>
      </c>
      <c r="K150" s="18">
        <f>VLOOKUP(A150,'[1]Interim '!E:I,5,FALSE)*0.96</f>
        <v>785.28</v>
      </c>
      <c r="L150" s="31">
        <f t="shared" si="27"/>
        <v>2.9186206896551719</v>
      </c>
      <c r="M150" s="19">
        <f t="shared" si="28"/>
        <v>19.036105591355938</v>
      </c>
      <c r="N150" s="57">
        <f t="shared" si="29"/>
        <v>0.15332026162853823</v>
      </c>
    </row>
    <row r="151" spans="1:14" x14ac:dyDescent="0.2">
      <c r="A151" s="16">
        <v>4726</v>
      </c>
      <c r="B151" s="17">
        <f>VLOOKUP(A151,'[1]Nebris 11.27'!E:I,5,FALSE)</f>
        <v>608</v>
      </c>
      <c r="C151" s="4">
        <f>VLOOKUP(A151,'[1]Nebris 11.28.23'!E:I,5,FALSE)</f>
        <v>638</v>
      </c>
      <c r="D151" s="43">
        <f t="shared" si="25"/>
        <v>-30</v>
      </c>
      <c r="E151" s="18">
        <f t="shared" si="24"/>
        <v>623</v>
      </c>
      <c r="F151" s="4">
        <v>2</v>
      </c>
      <c r="G151" s="4">
        <v>3</v>
      </c>
      <c r="H151" s="4">
        <v>0.43072127101176361</v>
      </c>
      <c r="I151" s="4">
        <v>308</v>
      </c>
      <c r="J151" s="4" t="str">
        <f t="shared" si="26"/>
        <v xml:space="preserve">25% MDGS Constant </v>
      </c>
      <c r="K151" s="18">
        <f>VLOOKUP(A151,'[1]Interim '!E:I,5,FALSE)*0.96</f>
        <v>794.88</v>
      </c>
      <c r="L151" s="31">
        <f t="shared" si="27"/>
        <v>2.9634482758620688</v>
      </c>
      <c r="M151" s="19">
        <f t="shared" si="28"/>
        <v>19.826311333050853</v>
      </c>
      <c r="N151" s="57">
        <f t="shared" si="29"/>
        <v>0.1494704802159513</v>
      </c>
    </row>
    <row r="152" spans="1:14" x14ac:dyDescent="0.2">
      <c r="A152" s="16">
        <v>4589</v>
      </c>
      <c r="B152" s="17">
        <f>VLOOKUP(A152,'[1]Nebris 11.27'!E:I,5,FALSE)</f>
        <v>608</v>
      </c>
      <c r="C152" s="4">
        <f>VLOOKUP(A152,'[1]Nebris 11.28.23'!E:I,5,FALSE)</f>
        <v>614</v>
      </c>
      <c r="D152" s="56">
        <f t="shared" si="25"/>
        <v>-6</v>
      </c>
      <c r="E152" s="18">
        <f t="shared" si="24"/>
        <v>611</v>
      </c>
      <c r="F152" s="4">
        <v>2</v>
      </c>
      <c r="G152" s="4">
        <v>3</v>
      </c>
      <c r="H152" s="4">
        <v>0.44842709350639398</v>
      </c>
      <c r="I152" s="4">
        <v>309</v>
      </c>
      <c r="J152" s="4" t="str">
        <f t="shared" si="26"/>
        <v>Control</v>
      </c>
      <c r="K152" s="18">
        <f>VLOOKUP(A152,'[1]Interim '!E:I,5,FALSE)*0.96</f>
        <v>798.72</v>
      </c>
      <c r="L152" s="31">
        <f t="shared" si="27"/>
        <v>3.2365517241379314</v>
      </c>
      <c r="M152" s="19">
        <f t="shared" si="28"/>
        <v>19.729599065254234</v>
      </c>
      <c r="N152" s="57">
        <f t="shared" si="29"/>
        <v>0.16404548888364476</v>
      </c>
    </row>
    <row r="153" spans="1:14" x14ac:dyDescent="0.2">
      <c r="A153" s="16">
        <v>4343</v>
      </c>
      <c r="B153" s="17">
        <f>VLOOKUP(A153,'[1]Nebris 11.27'!E:I,5,FALSE)</f>
        <v>616</v>
      </c>
      <c r="C153" s="4">
        <f>VLOOKUP(A153,'[1]Nebris 11.28.23'!E:I,5,FALSE)</f>
        <v>622</v>
      </c>
      <c r="D153" s="56">
        <f t="shared" si="25"/>
        <v>-6</v>
      </c>
      <c r="E153" s="18">
        <f t="shared" si="24"/>
        <v>619</v>
      </c>
      <c r="F153" s="4">
        <v>2</v>
      </c>
      <c r="G153" s="4">
        <v>3</v>
      </c>
      <c r="H153" s="4">
        <v>0.48540968391453032</v>
      </c>
      <c r="I153" s="4">
        <v>310</v>
      </c>
      <c r="J153" s="4" t="str">
        <f t="shared" si="26"/>
        <v>10% MDGS Variable</v>
      </c>
      <c r="K153" s="18">
        <f>VLOOKUP(A153,'[1]Interim '!E:I,5,FALSE)*0.96</f>
        <v>802.56</v>
      </c>
      <c r="L153" s="31">
        <f t="shared" si="27"/>
        <v>3.1648275862068957</v>
      </c>
      <c r="M153" s="19">
        <f t="shared" si="28"/>
        <v>20.764816593728806</v>
      </c>
      <c r="N153" s="57">
        <f t="shared" si="29"/>
        <v>0.15241298048173982</v>
      </c>
    </row>
    <row r="154" spans="1:14" x14ac:dyDescent="0.2">
      <c r="A154" s="16">
        <v>4332</v>
      </c>
      <c r="B154" s="17">
        <f>VLOOKUP(A154,'[1]Nebris 11.27'!E:I,5,FALSE)</f>
        <v>608</v>
      </c>
      <c r="C154" s="4">
        <f>VLOOKUP(A154,'[1]Nebris 11.28.23'!E:I,5,FALSE)</f>
        <v>604</v>
      </c>
      <c r="D154" s="56">
        <f t="shared" si="25"/>
        <v>4</v>
      </c>
      <c r="E154" s="18">
        <f t="shared" si="24"/>
        <v>606</v>
      </c>
      <c r="F154" s="4">
        <v>2</v>
      </c>
      <c r="G154" s="4">
        <v>3</v>
      </c>
      <c r="H154" s="4">
        <v>0.54924753049393005</v>
      </c>
      <c r="I154" s="4">
        <v>311</v>
      </c>
      <c r="J154" s="4" t="str">
        <f t="shared" si="26"/>
        <v xml:space="preserve">10% MDGS Constant </v>
      </c>
      <c r="K154" s="18">
        <f>VLOOKUP(A154,'[1]Interim '!E:I,5,FALSE)*0.96</f>
        <v>789.12</v>
      </c>
      <c r="L154" s="31">
        <f t="shared" si="27"/>
        <v>3.1572413793103449</v>
      </c>
      <c r="M154" s="19">
        <f t="shared" si="28"/>
        <v>21.070004804237286</v>
      </c>
      <c r="N154" s="57">
        <f t="shared" si="29"/>
        <v>0.14984530894247389</v>
      </c>
    </row>
    <row r="155" spans="1:14" x14ac:dyDescent="0.2">
      <c r="A155" s="16">
        <v>4318</v>
      </c>
      <c r="B155" s="17">
        <f>VLOOKUP(A155,'[1]Nebris 11.27'!E:I,5,FALSE)</f>
        <v>608</v>
      </c>
      <c r="C155" s="4">
        <f>VLOOKUP(A155,'[1]Nebris 11.28.23'!E:I,5,FALSE)</f>
        <v>616</v>
      </c>
      <c r="D155" s="56">
        <f t="shared" si="25"/>
        <v>-8</v>
      </c>
      <c r="E155" s="18">
        <f t="shared" si="24"/>
        <v>612</v>
      </c>
      <c r="F155" s="4">
        <v>2</v>
      </c>
      <c r="G155" s="4">
        <v>3</v>
      </c>
      <c r="H155" s="4">
        <v>0.56113255637133708</v>
      </c>
      <c r="I155" s="4">
        <v>312</v>
      </c>
      <c r="J155" s="4" t="str">
        <f t="shared" si="26"/>
        <v xml:space="preserve">25% MDGS Constant </v>
      </c>
      <c r="K155" s="18">
        <f>VLOOKUP(A155,'[1]Interim '!E:I,5,FALSE)*0.96</f>
        <v>804.48</v>
      </c>
      <c r="L155" s="31">
        <f t="shared" si="27"/>
        <v>3.3186206896551727</v>
      </c>
      <c r="M155" s="19">
        <f t="shared" si="28"/>
        <v>20.726410488305085</v>
      </c>
      <c r="N155" s="57">
        <f t="shared" si="29"/>
        <v>0.16011555360865359</v>
      </c>
    </row>
    <row r="156" spans="1:14" x14ac:dyDescent="0.2">
      <c r="A156" s="16">
        <v>4320</v>
      </c>
      <c r="B156" s="17">
        <f>VLOOKUP(A156,'[1]Nebris 11.27'!E:I,5,FALSE)</f>
        <v>616</v>
      </c>
      <c r="C156" s="4">
        <f>VLOOKUP(A156,'[1]Nebris 11.28.23'!E:I,5,FALSE)</f>
        <v>624</v>
      </c>
      <c r="D156" s="56">
        <f t="shared" si="25"/>
        <v>-8</v>
      </c>
      <c r="E156" s="18">
        <f t="shared" si="24"/>
        <v>620</v>
      </c>
      <c r="F156" s="4">
        <v>2</v>
      </c>
      <c r="G156" s="4">
        <v>3</v>
      </c>
      <c r="H156" s="4">
        <v>0.77818061835944197</v>
      </c>
      <c r="I156" s="4">
        <v>313</v>
      </c>
      <c r="J156" s="4" t="str">
        <f t="shared" si="26"/>
        <v>25% MDGS Variable</v>
      </c>
      <c r="K156" s="18">
        <f>VLOOKUP(A156,'[1]Interim '!E:I,5,FALSE)*0.96</f>
        <v>808.31999999999994</v>
      </c>
      <c r="L156" s="31">
        <f t="shared" si="27"/>
        <v>3.246896551724137</v>
      </c>
      <c r="M156" s="19">
        <f t="shared" si="28"/>
        <v>20.372524565423721</v>
      </c>
      <c r="N156" s="57">
        <f t="shared" si="29"/>
        <v>0.15937624918782892</v>
      </c>
    </row>
    <row r="157" spans="1:14" x14ac:dyDescent="0.2">
      <c r="A157" s="16">
        <v>4456</v>
      </c>
      <c r="B157" s="17">
        <f>VLOOKUP(A157,'[1]Nebris 11.27'!E:I,5,FALSE)</f>
        <v>614</v>
      </c>
      <c r="C157" s="4">
        <f>VLOOKUP(A157,'[1]Nebris 11.28.23'!E:I,5,FALSE)</f>
        <v>630</v>
      </c>
      <c r="D157" s="56">
        <f t="shared" si="25"/>
        <v>-16</v>
      </c>
      <c r="E157" s="18">
        <f t="shared" si="24"/>
        <v>622</v>
      </c>
      <c r="F157" s="4">
        <v>2</v>
      </c>
      <c r="G157" s="4">
        <v>3</v>
      </c>
      <c r="H157" s="4">
        <v>0.78690572570848216</v>
      </c>
      <c r="I157" s="4">
        <v>314</v>
      </c>
      <c r="J157" s="4" t="str">
        <f t="shared" si="26"/>
        <v>25% MDGS Variable</v>
      </c>
      <c r="K157" s="18">
        <f>VLOOKUP(A157,'[1]Interim '!E:I,5,FALSE)*0.96</f>
        <v>817.92</v>
      </c>
      <c r="L157" s="31">
        <f t="shared" si="27"/>
        <v>3.3779310344827578</v>
      </c>
      <c r="M157" s="19">
        <f t="shared" si="28"/>
        <v>21.54037682898305</v>
      </c>
      <c r="N157" s="57">
        <f t="shared" si="29"/>
        <v>0.15681856734918756</v>
      </c>
    </row>
    <row r="158" spans="1:14" x14ac:dyDescent="0.2">
      <c r="A158" s="16">
        <v>4517</v>
      </c>
      <c r="B158" s="17">
        <f>VLOOKUP(A158,'[1]Nebris 11.27'!E:I,5,FALSE)</f>
        <v>610</v>
      </c>
      <c r="C158" s="4">
        <f>VLOOKUP(A158,'[1]Nebris 11.28.23'!E:I,5,FALSE)</f>
        <v>600</v>
      </c>
      <c r="D158" s="56">
        <f t="shared" si="25"/>
        <v>10</v>
      </c>
      <c r="E158" s="18">
        <f t="shared" si="24"/>
        <v>605</v>
      </c>
      <c r="F158" s="4">
        <v>2</v>
      </c>
      <c r="G158" s="4">
        <v>3</v>
      </c>
      <c r="H158" s="4">
        <v>0.83125431983748366</v>
      </c>
      <c r="I158" s="4">
        <v>315</v>
      </c>
      <c r="J158" s="4" t="str">
        <f t="shared" si="26"/>
        <v xml:space="preserve">25% MDGS Constant </v>
      </c>
      <c r="K158" s="18">
        <f>VLOOKUP(A158,'[1]Interim '!E:I,5,FALSE)*0.96</f>
        <v>781.43999999999994</v>
      </c>
      <c r="L158" s="31">
        <f t="shared" si="27"/>
        <v>3.0420689655172404</v>
      </c>
      <c r="M158" s="19">
        <f t="shared" si="28"/>
        <v>20.610381563389829</v>
      </c>
      <c r="N158" s="57">
        <f t="shared" si="29"/>
        <v>0.14759886691864357</v>
      </c>
    </row>
    <row r="159" spans="1:14" x14ac:dyDescent="0.2">
      <c r="A159" s="16">
        <v>4411</v>
      </c>
      <c r="B159" s="17">
        <f>VLOOKUP(A159,'[1]Nebris 11.27'!E:I,5,FALSE)</f>
        <v>608</v>
      </c>
      <c r="C159" s="4">
        <f>VLOOKUP(A159,'[1]Nebris 11.28.23'!E:I,5,FALSE)</f>
        <v>604</v>
      </c>
      <c r="D159" s="56">
        <f t="shared" si="25"/>
        <v>4</v>
      </c>
      <c r="E159" s="18">
        <f t="shared" si="24"/>
        <v>606</v>
      </c>
      <c r="F159" s="4">
        <v>2</v>
      </c>
      <c r="G159" s="4">
        <v>3</v>
      </c>
      <c r="H159" s="4">
        <v>0.89111247230312951</v>
      </c>
      <c r="I159" s="4">
        <v>316</v>
      </c>
      <c r="J159" s="4" t="str">
        <f t="shared" si="26"/>
        <v xml:space="preserve">10% MDGS Constant </v>
      </c>
      <c r="K159" s="18">
        <f>VLOOKUP(A159,'[1]Interim '!E:I,5,FALSE)*0.96</f>
        <v>800.64</v>
      </c>
      <c r="L159" s="31">
        <f t="shared" si="27"/>
        <v>3.355862068965517</v>
      </c>
      <c r="M159" s="19">
        <f t="shared" si="28"/>
        <v>20.102195246101697</v>
      </c>
      <c r="N159" s="57">
        <f t="shared" si="29"/>
        <v>0.16694007932373953</v>
      </c>
    </row>
    <row r="160" spans="1:14" x14ac:dyDescent="0.2">
      <c r="A160" s="16">
        <v>4344</v>
      </c>
      <c r="B160" s="17">
        <f>VLOOKUP(A160,'[1]Nebris 11.27'!E:I,5,FALSE)</f>
        <v>612</v>
      </c>
      <c r="C160" s="4">
        <f>VLOOKUP(A160,'[1]Nebris 11.28.23'!E:I,5,FALSE)</f>
        <v>608</v>
      </c>
      <c r="D160" s="56">
        <f t="shared" si="25"/>
        <v>4</v>
      </c>
      <c r="E160" s="18">
        <f t="shared" si="24"/>
        <v>610</v>
      </c>
      <c r="F160" s="4">
        <v>2</v>
      </c>
      <c r="G160" s="4">
        <v>3</v>
      </c>
      <c r="H160" s="4">
        <v>0.90186397215938519</v>
      </c>
      <c r="I160" s="4">
        <v>317</v>
      </c>
      <c r="J160" s="4" t="str">
        <f t="shared" si="26"/>
        <v>Control</v>
      </c>
      <c r="K160" s="18">
        <f>VLOOKUP(A160,'[1]Interim '!E:I,5,FALSE)*0.96</f>
        <v>652.79999999999995</v>
      </c>
      <c r="L160" s="31">
        <f t="shared" si="27"/>
        <v>0.73793103448275787</v>
      </c>
      <c r="M160" s="19">
        <f t="shared" si="28"/>
        <v>19.655293186271191</v>
      </c>
      <c r="N160" s="57">
        <f t="shared" si="29"/>
        <v>3.7543628959866508E-2</v>
      </c>
    </row>
    <row r="161" spans="1:14" x14ac:dyDescent="0.2">
      <c r="A161" s="16">
        <v>4353</v>
      </c>
      <c r="B161" s="17">
        <f>VLOOKUP(A161,'[1]Nebris 11.27'!E:I,5,FALSE)</f>
        <v>610</v>
      </c>
      <c r="C161" s="4">
        <f>VLOOKUP(A161,'[1]Nebris 11.28.23'!E:I,5,FALSE)</f>
        <v>616</v>
      </c>
      <c r="D161" s="56">
        <f t="shared" si="25"/>
        <v>-6</v>
      </c>
      <c r="E161" s="18">
        <f t="shared" si="24"/>
        <v>613</v>
      </c>
      <c r="F161" s="4">
        <v>2</v>
      </c>
      <c r="G161" s="4">
        <v>3</v>
      </c>
      <c r="H161" s="4">
        <v>0.9489271115018546</v>
      </c>
      <c r="I161" s="4">
        <v>318</v>
      </c>
      <c r="J161" s="4" t="str">
        <f t="shared" si="26"/>
        <v>10% MDGS Variable</v>
      </c>
      <c r="K161" s="18">
        <f>VLOOKUP(A161,'[1]Interim '!E:I,5,FALSE)*0.96</f>
        <v>766.07999999999993</v>
      </c>
      <c r="L161" s="31">
        <f t="shared" si="27"/>
        <v>2.6393103448275848</v>
      </c>
      <c r="M161" s="19">
        <f t="shared" si="28"/>
        <v>20.764816593728806</v>
      </c>
      <c r="N161" s="57">
        <f t="shared" si="29"/>
        <v>0.12710491965648685</v>
      </c>
    </row>
    <row r="162" spans="1:14" x14ac:dyDescent="0.2">
      <c r="A162" s="16">
        <v>4622</v>
      </c>
      <c r="B162" s="17">
        <f>VLOOKUP(A162,'[1]Nebris 11.27'!E:I,5,FALSE)</f>
        <v>616</v>
      </c>
      <c r="C162" s="4">
        <f>VLOOKUP(A162,'[1]Nebris 11.28.23'!E:I,5,FALSE)</f>
        <v>618</v>
      </c>
      <c r="D162" s="56">
        <f t="shared" si="25"/>
        <v>-2</v>
      </c>
      <c r="E162" s="18">
        <f t="shared" si="24"/>
        <v>617</v>
      </c>
      <c r="F162" s="4">
        <v>2</v>
      </c>
      <c r="G162" s="4">
        <v>4</v>
      </c>
      <c r="H162" s="4">
        <v>5.733643807814226E-2</v>
      </c>
      <c r="I162" s="4">
        <v>215</v>
      </c>
      <c r="J162" s="4" t="str">
        <f t="shared" si="26"/>
        <v>10% MDGS Variable</v>
      </c>
      <c r="K162" s="18">
        <f>VLOOKUP(A162,'[1]Interim '!E:I,5,FALSE)*0.96</f>
        <v>821.76</v>
      </c>
      <c r="L162" s="31">
        <f t="shared" si="27"/>
        <v>3.5303448275862066</v>
      </c>
      <c r="M162" s="19">
        <f t="shared" si="28"/>
        <v>19.107699350338986</v>
      </c>
      <c r="N162" s="57">
        <f t="shared" si="29"/>
        <v>0.18476032948066956</v>
      </c>
    </row>
    <row r="163" spans="1:14" x14ac:dyDescent="0.2">
      <c r="A163" s="16">
        <v>4703</v>
      </c>
      <c r="B163" s="17">
        <f>VLOOKUP(A163,'[1]Nebris 11.27'!E:I,5,FALSE)</f>
        <v>618</v>
      </c>
      <c r="C163" s="4">
        <f>VLOOKUP(A163,'[1]Nebris 11.28.23'!E:I,5,FALSE)</f>
        <v>640</v>
      </c>
      <c r="D163" s="56">
        <f t="shared" si="25"/>
        <v>-22</v>
      </c>
      <c r="E163" s="18">
        <f t="shared" si="24"/>
        <v>629</v>
      </c>
      <c r="F163" s="4">
        <v>2</v>
      </c>
      <c r="G163" s="4">
        <v>4</v>
      </c>
      <c r="H163" s="4">
        <v>8.2459893026937237E-2</v>
      </c>
      <c r="I163" s="4">
        <v>216</v>
      </c>
      <c r="J163" s="4" t="str">
        <f t="shared" si="26"/>
        <v xml:space="preserve">10% MDGS Constant </v>
      </c>
      <c r="K163" s="18">
        <f>VLOOKUP(A163,'[1]Interim '!E:I,5,FALSE)*0.96</f>
        <v>831.36</v>
      </c>
      <c r="L163" s="31">
        <f t="shared" si="27"/>
        <v>3.4889655172413794</v>
      </c>
      <c r="M163" s="19">
        <f t="shared" si="28"/>
        <v>20.398789655593223</v>
      </c>
      <c r="N163" s="57">
        <f t="shared" si="29"/>
        <v>0.17103786921420244</v>
      </c>
    </row>
    <row r="164" spans="1:14" x14ac:dyDescent="0.2">
      <c r="A164" s="16">
        <v>4617</v>
      </c>
      <c r="B164" s="17">
        <f>VLOOKUP(A164,'[1]Nebris 11.27'!E:I,5,FALSE)</f>
        <v>618</v>
      </c>
      <c r="C164" s="4">
        <f>VLOOKUP(A164,'[1]Nebris 11.28.23'!E:I,5,FALSE)</f>
        <v>618</v>
      </c>
      <c r="D164" s="56">
        <f t="shared" si="25"/>
        <v>0</v>
      </c>
      <c r="E164" s="18">
        <f t="shared" si="24"/>
        <v>618</v>
      </c>
      <c r="F164" s="4">
        <v>2</v>
      </c>
      <c r="G164" s="4">
        <v>4</v>
      </c>
      <c r="H164" s="4">
        <v>0.16280348963078828</v>
      </c>
      <c r="I164" s="4">
        <v>301</v>
      </c>
      <c r="J164" s="4" t="str">
        <f t="shared" si="26"/>
        <v xml:space="preserve">25% MDGS Constant </v>
      </c>
      <c r="K164" s="18">
        <f>VLOOKUP(A164,'[1]Interim '!E:I,5,FALSE)*0.96</f>
        <v>766.07999999999993</v>
      </c>
      <c r="L164" s="31">
        <f t="shared" si="27"/>
        <v>2.553103448275861</v>
      </c>
      <c r="M164" s="19">
        <f t="shared" si="28"/>
        <v>19.764340823559323</v>
      </c>
      <c r="N164" s="57">
        <f t="shared" si="29"/>
        <v>0.12917726278189517</v>
      </c>
    </row>
    <row r="165" spans="1:14" x14ac:dyDescent="0.2">
      <c r="A165" s="16">
        <v>4522</v>
      </c>
      <c r="B165" s="17">
        <f>VLOOKUP(A165,'[1]Nebris 11.27'!E:I,5,FALSE)</f>
        <v>618</v>
      </c>
      <c r="C165" s="4">
        <f>VLOOKUP(A165,'[1]Nebris 11.28.23'!E:I,5,FALSE)</f>
        <v>634</v>
      </c>
      <c r="D165" s="56">
        <f t="shared" si="25"/>
        <v>-16</v>
      </c>
      <c r="E165" s="18">
        <f t="shared" si="24"/>
        <v>626</v>
      </c>
      <c r="F165" s="4">
        <v>2</v>
      </c>
      <c r="G165" s="4">
        <v>4</v>
      </c>
      <c r="H165" s="4">
        <v>0.28590952818832549</v>
      </c>
      <c r="I165" s="4">
        <v>302</v>
      </c>
      <c r="J165" s="4" t="str">
        <f t="shared" si="26"/>
        <v>25% MDGS Variable</v>
      </c>
      <c r="K165" s="18">
        <f>VLOOKUP(A165,'[1]Interim '!E:I,5,FALSE)*0.96</f>
        <v>741.12</v>
      </c>
      <c r="L165" s="31">
        <f t="shared" si="27"/>
        <v>1.9848275862068967</v>
      </c>
      <c r="M165" s="19">
        <f t="shared" si="28"/>
        <v>18.146163789943504</v>
      </c>
      <c r="N165" s="57">
        <f t="shared" si="29"/>
        <v>0.10938001051808406</v>
      </c>
    </row>
    <row r="166" spans="1:14" x14ac:dyDescent="0.2">
      <c r="A166" s="16">
        <v>4547</v>
      </c>
      <c r="B166" s="17">
        <f>VLOOKUP(A166,'[1]Nebris 11.27'!E:I,5,FALSE)</f>
        <v>618</v>
      </c>
      <c r="C166" s="4">
        <f>VLOOKUP(A166,'[1]Nebris 11.28.23'!E:I,5,FALSE)</f>
        <v>624</v>
      </c>
      <c r="D166" s="56">
        <f t="shared" si="25"/>
        <v>-6</v>
      </c>
      <c r="E166" s="18">
        <f t="shared" si="24"/>
        <v>621</v>
      </c>
      <c r="F166" s="4">
        <v>2</v>
      </c>
      <c r="G166" s="4">
        <v>4</v>
      </c>
      <c r="H166" s="4">
        <v>0.30104179988679158</v>
      </c>
      <c r="I166" s="4">
        <v>303</v>
      </c>
      <c r="J166" s="4" t="str">
        <f t="shared" si="26"/>
        <v>Control</v>
      </c>
      <c r="K166" s="18">
        <f>VLOOKUP(A166,'[1]Interim '!E:I,5,FALSE)*0.96</f>
        <v>739.19999999999993</v>
      </c>
      <c r="L166" s="31">
        <f t="shared" si="27"/>
        <v>2.0379310344827575</v>
      </c>
      <c r="M166" s="19">
        <f t="shared" si="28"/>
        <v>18.063320037796611</v>
      </c>
      <c r="N166" s="57">
        <f t="shared" si="29"/>
        <v>0.11282150956847838</v>
      </c>
    </row>
    <row r="167" spans="1:14" x14ac:dyDescent="0.2">
      <c r="A167" s="16">
        <v>4665</v>
      </c>
      <c r="B167" s="17">
        <f>VLOOKUP(A167,'[1]Nebris 11.27'!E:I,5,FALSE)</f>
        <v>618</v>
      </c>
      <c r="C167" s="4">
        <f>VLOOKUP(A167,'[1]Nebris 11.28.23'!E:I,5,FALSE)</f>
        <v>612</v>
      </c>
      <c r="D167" s="56">
        <f t="shared" si="25"/>
        <v>6</v>
      </c>
      <c r="E167" s="18">
        <f t="shared" si="24"/>
        <v>615</v>
      </c>
      <c r="F167" s="4">
        <v>2</v>
      </c>
      <c r="G167" s="4">
        <v>4</v>
      </c>
      <c r="H167" s="4">
        <v>0.30487644486653886</v>
      </c>
      <c r="I167" s="4">
        <v>304</v>
      </c>
      <c r="J167" s="4" t="str">
        <f t="shared" si="26"/>
        <v>10% MDGS Variable</v>
      </c>
      <c r="K167" s="18">
        <f>VLOOKUP(A167,'[1]Interim '!E:I,5,FALSE)*0.96</f>
        <v>766.07999999999993</v>
      </c>
      <c r="L167" s="31">
        <f t="shared" si="27"/>
        <v>2.6048275862068953</v>
      </c>
      <c r="M167" s="19">
        <f t="shared" si="28"/>
        <v>18.555515762033892</v>
      </c>
      <c r="N167" s="57">
        <f t="shared" si="29"/>
        <v>0.14038023084955614</v>
      </c>
    </row>
    <row r="168" spans="1:14" x14ac:dyDescent="0.2">
      <c r="A168" s="16">
        <v>4350</v>
      </c>
      <c r="B168" s="17">
        <f>VLOOKUP(A168,'[1]Nebris 11.27'!E:I,5,FALSE)</f>
        <v>616</v>
      </c>
      <c r="C168" s="4">
        <f>VLOOKUP(A168,'[1]Nebris 11.28.23'!E:I,5,FALSE)</f>
        <v>620</v>
      </c>
      <c r="D168" s="56">
        <f t="shared" si="25"/>
        <v>-4</v>
      </c>
      <c r="E168" s="18">
        <f t="shared" si="24"/>
        <v>618</v>
      </c>
      <c r="F168" s="4">
        <v>2</v>
      </c>
      <c r="G168" s="4">
        <v>4</v>
      </c>
      <c r="H168" s="4">
        <v>0.32071294474505885</v>
      </c>
      <c r="I168" s="4">
        <v>305</v>
      </c>
      <c r="J168" s="4" t="str">
        <f t="shared" si="26"/>
        <v xml:space="preserve">10% MDGS Constant </v>
      </c>
      <c r="K168" s="18">
        <f>VLOOKUP(A168,'[1]Interim '!E:I,5,FALSE)*0.96</f>
        <v>791.04</v>
      </c>
      <c r="L168" s="31">
        <f t="shared" si="27"/>
        <v>2.9834482758620684</v>
      </c>
      <c r="M168" s="19">
        <f t="shared" si="28"/>
        <v>18.368632711016947</v>
      </c>
      <c r="N168" s="57">
        <f t="shared" si="29"/>
        <v>0.16242081393857297</v>
      </c>
    </row>
    <row r="169" spans="1:14" x14ac:dyDescent="0.2">
      <c r="A169" s="16">
        <v>4465</v>
      </c>
      <c r="B169" s="17">
        <f>VLOOKUP(A169,'[1]Nebris 11.27'!E:I,5,FALSE)</f>
        <v>618</v>
      </c>
      <c r="C169" s="4">
        <f>VLOOKUP(A169,'[1]Nebris 11.28.23'!E:I,5,FALSE)</f>
        <v>608</v>
      </c>
      <c r="D169" s="56">
        <f t="shared" si="25"/>
        <v>10</v>
      </c>
      <c r="E169" s="18">
        <f t="shared" si="24"/>
        <v>613</v>
      </c>
      <c r="F169" s="4">
        <v>2</v>
      </c>
      <c r="G169" s="4">
        <v>4</v>
      </c>
      <c r="H169" s="4">
        <v>0.33869633887564754</v>
      </c>
      <c r="I169" s="4" t="s">
        <v>42</v>
      </c>
      <c r="J169" s="4" t="e">
        <f t="shared" si="26"/>
        <v>#N/A</v>
      </c>
      <c r="K169" s="22"/>
      <c r="L169" s="31" t="s">
        <v>43</v>
      </c>
      <c r="M169" s="19" t="e">
        <f t="shared" si="28"/>
        <v>#N/A</v>
      </c>
      <c r="N169" s="57" t="e">
        <f t="shared" si="29"/>
        <v>#VALUE!</v>
      </c>
    </row>
    <row r="170" spans="1:14" x14ac:dyDescent="0.2">
      <c r="A170" s="16">
        <v>4704</v>
      </c>
      <c r="B170" s="17">
        <f>VLOOKUP(A170,'[1]Nebris 11.27'!E:I,5,FALSE)</f>
        <v>616</v>
      </c>
      <c r="C170" s="4">
        <f>VLOOKUP(A170,'[1]Nebris 11.28.23'!E:I,5,FALSE)</f>
        <v>602</v>
      </c>
      <c r="D170" s="56">
        <f t="shared" si="25"/>
        <v>14</v>
      </c>
      <c r="E170" s="18">
        <f t="shared" si="24"/>
        <v>609</v>
      </c>
      <c r="F170" s="4">
        <v>2</v>
      </c>
      <c r="G170" s="4">
        <v>4</v>
      </c>
      <c r="H170" s="4">
        <v>0.46427678305234998</v>
      </c>
      <c r="I170" s="4">
        <v>307</v>
      </c>
      <c r="J170" s="4" t="str">
        <f t="shared" si="26"/>
        <v>25% MDGS Variable</v>
      </c>
      <c r="K170" s="18">
        <f>VLOOKUP(A170,'[1]Interim '!E:I,5,FALSE)*0.96</f>
        <v>842.88</v>
      </c>
      <c r="L170" s="31">
        <f t="shared" si="27"/>
        <v>4.0324137931034478</v>
      </c>
      <c r="M170" s="19">
        <f t="shared" si="28"/>
        <v>19.036105591355938</v>
      </c>
      <c r="N170" s="57">
        <f t="shared" si="29"/>
        <v>0.21182976600710376</v>
      </c>
    </row>
    <row r="171" spans="1:14" x14ac:dyDescent="0.2">
      <c r="A171" s="16">
        <v>4378</v>
      </c>
      <c r="B171" s="17">
        <f>VLOOKUP(A171,'[1]Nebris 11.27'!E:I,5,FALSE)</f>
        <v>618</v>
      </c>
      <c r="C171" s="4">
        <f>VLOOKUP(A171,'[1]Nebris 11.28.23'!E:I,5,FALSE)</f>
        <v>614</v>
      </c>
      <c r="D171" s="56">
        <f t="shared" si="25"/>
        <v>4</v>
      </c>
      <c r="E171" s="18">
        <f t="shared" si="24"/>
        <v>616</v>
      </c>
      <c r="F171" s="4">
        <v>2</v>
      </c>
      <c r="G171" s="4">
        <v>4</v>
      </c>
      <c r="H171" s="4">
        <v>0.53482409763612193</v>
      </c>
      <c r="I171" s="4">
        <v>308</v>
      </c>
      <c r="J171" s="4" t="str">
        <f t="shared" si="26"/>
        <v xml:space="preserve">25% MDGS Constant </v>
      </c>
      <c r="K171" s="18">
        <f>VLOOKUP(A171,'[1]Interim '!E:I,5,FALSE)*0.96</f>
        <v>779.52</v>
      </c>
      <c r="L171" s="31">
        <f t="shared" si="27"/>
        <v>2.8193103448275858</v>
      </c>
      <c r="M171" s="19">
        <f t="shared" si="28"/>
        <v>19.826311333050853</v>
      </c>
      <c r="N171" s="57">
        <f t="shared" si="29"/>
        <v>0.1422004475501068</v>
      </c>
    </row>
    <row r="172" spans="1:14" x14ac:dyDescent="0.2">
      <c r="A172" s="16">
        <v>4406</v>
      </c>
      <c r="B172" s="17">
        <f>VLOOKUP(A172,'[1]Nebris 11.27'!E:I,5,FALSE)</f>
        <v>618</v>
      </c>
      <c r="C172" s="4">
        <f>VLOOKUP(A172,'[1]Nebris 11.28.23'!E:I,5,FALSE)</f>
        <v>626</v>
      </c>
      <c r="D172" s="56">
        <f t="shared" si="25"/>
        <v>-8</v>
      </c>
      <c r="E172" s="18">
        <f t="shared" si="24"/>
        <v>622</v>
      </c>
      <c r="F172" s="4">
        <v>2</v>
      </c>
      <c r="G172" s="4">
        <v>4</v>
      </c>
      <c r="H172" s="4">
        <v>0.60587619116932179</v>
      </c>
      <c r="I172" s="4">
        <v>309</v>
      </c>
      <c r="J172" s="4" t="str">
        <f t="shared" si="26"/>
        <v>Control</v>
      </c>
      <c r="K172" s="18">
        <f>VLOOKUP(A172,'[1]Interim '!E:I,5,FALSE)*0.96</f>
        <v>887.04</v>
      </c>
      <c r="L172" s="31">
        <f t="shared" si="27"/>
        <v>4.5696551724137926</v>
      </c>
      <c r="M172" s="19">
        <f t="shared" si="28"/>
        <v>19.729599065254234</v>
      </c>
      <c r="N172" s="57">
        <f t="shared" si="29"/>
        <v>0.23161419333966118</v>
      </c>
    </row>
    <row r="173" spans="1:14" x14ac:dyDescent="0.2">
      <c r="A173" s="16">
        <v>4368</v>
      </c>
      <c r="B173" s="17">
        <f>VLOOKUP(A173,'[1]Nebris 11.27'!E:I,5,FALSE)</f>
        <v>616</v>
      </c>
      <c r="C173" s="4">
        <f>VLOOKUP(A173,'[1]Nebris 11.28.23'!E:I,5,FALSE)</f>
        <v>618</v>
      </c>
      <c r="D173" s="56">
        <f t="shared" si="25"/>
        <v>-2</v>
      </c>
      <c r="E173" s="18">
        <f t="shared" si="24"/>
        <v>617</v>
      </c>
      <c r="F173" s="4">
        <v>2</v>
      </c>
      <c r="G173" s="4">
        <v>4</v>
      </c>
      <c r="H173" s="4">
        <v>0.66601219518790045</v>
      </c>
      <c r="I173" s="4">
        <v>310</v>
      </c>
      <c r="J173" s="4" t="str">
        <f t="shared" si="26"/>
        <v>10% MDGS Variable</v>
      </c>
      <c r="K173" s="18">
        <f>VLOOKUP(A173,'[1]Interim '!E:I,5,FALSE)*0.96</f>
        <v>794.88</v>
      </c>
      <c r="L173" s="31">
        <f t="shared" si="27"/>
        <v>3.0668965517241378</v>
      </c>
      <c r="M173" s="19">
        <f t="shared" si="28"/>
        <v>20.764816593728806</v>
      </c>
      <c r="N173" s="57">
        <f t="shared" si="29"/>
        <v>0.14769678017047225</v>
      </c>
    </row>
    <row r="174" spans="1:14" x14ac:dyDescent="0.2">
      <c r="A174" s="16">
        <v>4472</v>
      </c>
      <c r="B174" s="17">
        <f>VLOOKUP(A174,'[1]Nebris 11.27'!E:I,5,FALSE)</f>
        <v>618</v>
      </c>
      <c r="C174" s="4">
        <f>VLOOKUP(A174,'[1]Nebris 11.28.23'!E:I,5,FALSE)</f>
        <v>604</v>
      </c>
      <c r="D174" s="56">
        <f t="shared" si="25"/>
        <v>14</v>
      </c>
      <c r="E174" s="18">
        <f t="shared" si="24"/>
        <v>611</v>
      </c>
      <c r="F174" s="4">
        <v>2</v>
      </c>
      <c r="G174" s="4">
        <v>4</v>
      </c>
      <c r="H174" s="4">
        <v>0.66733532273463292</v>
      </c>
      <c r="I174" s="4">
        <v>311</v>
      </c>
      <c r="J174" s="4" t="str">
        <f t="shared" si="26"/>
        <v xml:space="preserve">10% MDGS Constant </v>
      </c>
      <c r="K174" s="18">
        <f>VLOOKUP(A174,'[1]Interim '!E:I,5,FALSE)*0.96</f>
        <v>771.83999999999992</v>
      </c>
      <c r="L174" s="31">
        <f t="shared" si="27"/>
        <v>2.7731034482758607</v>
      </c>
      <c r="M174" s="19" t="s">
        <v>44</v>
      </c>
      <c r="N174" s="57" t="s">
        <v>45</v>
      </c>
    </row>
    <row r="175" spans="1:14" x14ac:dyDescent="0.2">
      <c r="A175" s="16">
        <v>4481</v>
      </c>
      <c r="B175" s="17">
        <f>VLOOKUP(A175,'[1]Nebris 11.27'!E:I,5,FALSE)</f>
        <v>618</v>
      </c>
      <c r="C175" s="4">
        <f>VLOOKUP(A175,'[1]Nebris 11.28.23'!E:I,5,FALSE)</f>
        <v>630</v>
      </c>
      <c r="D175" s="56">
        <f t="shared" si="25"/>
        <v>-12</v>
      </c>
      <c r="E175" s="18">
        <f t="shared" si="24"/>
        <v>624</v>
      </c>
      <c r="F175" s="4">
        <v>2</v>
      </c>
      <c r="G175" s="4">
        <v>4</v>
      </c>
      <c r="H175" s="4">
        <v>0.72287182065362676</v>
      </c>
      <c r="I175" s="4">
        <v>312</v>
      </c>
      <c r="J175" s="4" t="str">
        <f t="shared" si="26"/>
        <v xml:space="preserve">25% MDGS Constant </v>
      </c>
      <c r="K175" s="18">
        <f>VLOOKUP(A175,'[1]Interim '!E:I,5,FALSE)*0.96</f>
        <v>794.88</v>
      </c>
      <c r="L175" s="31">
        <f t="shared" si="27"/>
        <v>2.9462068965517241</v>
      </c>
      <c r="M175" s="19">
        <f t="shared" si="28"/>
        <v>20.726410488305085</v>
      </c>
      <c r="N175" s="57">
        <f t="shared" si="29"/>
        <v>0.14214747402663508</v>
      </c>
    </row>
    <row r="176" spans="1:14" x14ac:dyDescent="0.2">
      <c r="A176" s="16">
        <v>4488</v>
      </c>
      <c r="B176" s="17">
        <f>VLOOKUP(A176,'[1]Nebris 11.27'!E:I,5,FALSE)</f>
        <v>618</v>
      </c>
      <c r="C176" s="4">
        <f>VLOOKUP(A176,'[1]Nebris 11.28.23'!E:I,5,FALSE)</f>
        <v>608</v>
      </c>
      <c r="D176" s="56">
        <f t="shared" si="25"/>
        <v>10</v>
      </c>
      <c r="E176" s="18">
        <f t="shared" si="24"/>
        <v>613</v>
      </c>
      <c r="F176" s="4">
        <v>2</v>
      </c>
      <c r="G176" s="4">
        <v>4</v>
      </c>
      <c r="H176" s="4">
        <v>0.72476465156168768</v>
      </c>
      <c r="I176" s="4">
        <v>313</v>
      </c>
      <c r="J176" s="4" t="str">
        <f t="shared" si="26"/>
        <v>25% MDGS Variable</v>
      </c>
      <c r="K176" s="18">
        <f>VLOOKUP(A176,'[1]Interim '!E:I,5,FALSE)*0.96</f>
        <v>764.16</v>
      </c>
      <c r="L176" s="31" t="s">
        <v>46</v>
      </c>
      <c r="M176" s="19">
        <f t="shared" si="28"/>
        <v>20.372524565423721</v>
      </c>
      <c r="N176" s="57" t="e">
        <f t="shared" si="29"/>
        <v>#VALUE!</v>
      </c>
    </row>
    <row r="177" spans="1:14" x14ac:dyDescent="0.2">
      <c r="A177" s="16">
        <v>4351</v>
      </c>
      <c r="B177" s="17">
        <f>VLOOKUP(A177,'[1]Nebris 11.27'!E:I,5,FALSE)</f>
        <v>616</v>
      </c>
      <c r="C177" s="4">
        <f>VLOOKUP(A177,'[1]Nebris 11.28.23'!E:I,5,FALSE)</f>
        <v>612</v>
      </c>
      <c r="D177" s="56">
        <f t="shared" si="25"/>
        <v>4</v>
      </c>
      <c r="E177" s="18">
        <f t="shared" si="24"/>
        <v>614</v>
      </c>
      <c r="F177" s="4">
        <v>2</v>
      </c>
      <c r="G177" s="4">
        <v>4</v>
      </c>
      <c r="H177" s="4">
        <v>0.77649215864800014</v>
      </c>
      <c r="I177" s="4">
        <v>314</v>
      </c>
      <c r="J177" s="4" t="str">
        <f t="shared" si="26"/>
        <v>25% MDGS Variable</v>
      </c>
      <c r="K177" s="18">
        <f>VLOOKUP(A177,'[1]Interim '!E:I,5,FALSE)*0.96</f>
        <v>808.31999999999994</v>
      </c>
      <c r="L177" s="31">
        <f t="shared" si="27"/>
        <v>3.350344827586206</v>
      </c>
      <c r="M177" s="19">
        <f t="shared" si="28"/>
        <v>21.54037682898305</v>
      </c>
      <c r="N177" s="57">
        <f t="shared" si="29"/>
        <v>0.15553789305478832</v>
      </c>
    </row>
    <row r="178" spans="1:14" x14ac:dyDescent="0.2">
      <c r="A178" s="16">
        <v>4323</v>
      </c>
      <c r="B178" s="17">
        <f>VLOOKUP(A178,'[1]Nebris 11.27'!E:I,5,FALSE)</f>
        <v>618</v>
      </c>
      <c r="C178" s="4">
        <f>VLOOKUP(A178,'[1]Nebris 11.28.23'!E:I,5,FALSE)</f>
        <v>626</v>
      </c>
      <c r="D178" s="56">
        <f t="shared" si="25"/>
        <v>-8</v>
      </c>
      <c r="E178" s="18">
        <f t="shared" si="24"/>
        <v>622</v>
      </c>
      <c r="F178" s="4">
        <v>2</v>
      </c>
      <c r="G178" s="4">
        <v>4</v>
      </c>
      <c r="H178" s="4">
        <v>0.8698331700404125</v>
      </c>
      <c r="I178" s="4">
        <v>315</v>
      </c>
      <c r="J178" s="4" t="str">
        <f t="shared" si="26"/>
        <v xml:space="preserve">25% MDGS Constant </v>
      </c>
      <c r="K178" s="18">
        <f>VLOOKUP(A178,'[1]Interim '!E:I,5,FALSE)*0.96</f>
        <v>802.56</v>
      </c>
      <c r="L178" s="31">
        <f t="shared" si="27"/>
        <v>3.1131034482758611</v>
      </c>
      <c r="M178" s="19">
        <f t="shared" si="28"/>
        <v>20.610381563389829</v>
      </c>
      <c r="N178" s="57">
        <f t="shared" si="29"/>
        <v>0.15104540586505488</v>
      </c>
    </row>
    <row r="179" spans="1:14" x14ac:dyDescent="0.2">
      <c r="A179" s="16">
        <v>4642</v>
      </c>
      <c r="B179" s="17">
        <f>VLOOKUP(A179,'[1]Nebris 11.27'!E:I,5,FALSE)</f>
        <v>618</v>
      </c>
      <c r="C179" s="4">
        <f>VLOOKUP(A179,'[1]Nebris 11.28.23'!E:I,5,FALSE)</f>
        <v>618</v>
      </c>
      <c r="D179" s="56">
        <f t="shared" si="25"/>
        <v>0</v>
      </c>
      <c r="E179" s="18">
        <f t="shared" si="24"/>
        <v>618</v>
      </c>
      <c r="F179" s="4">
        <v>2</v>
      </c>
      <c r="G179" s="4">
        <v>4</v>
      </c>
      <c r="H179" s="4">
        <v>0.88389775283968552</v>
      </c>
      <c r="I179" s="4">
        <v>316</v>
      </c>
      <c r="J179" s="4" t="str">
        <f t="shared" si="26"/>
        <v xml:space="preserve">10% MDGS Constant </v>
      </c>
      <c r="K179" s="18">
        <f>VLOOKUP(A179,'[1]Interim '!E:I,5,FALSE)*0.96</f>
        <v>783.36</v>
      </c>
      <c r="L179" s="31">
        <f t="shared" si="27"/>
        <v>2.8510344827586209</v>
      </c>
      <c r="M179" s="19">
        <f t="shared" si="28"/>
        <v>20.102195246101697</v>
      </c>
      <c r="N179" s="57">
        <f t="shared" si="29"/>
        <v>0.14182702176825715</v>
      </c>
    </row>
    <row r="180" spans="1:14" x14ac:dyDescent="0.2">
      <c r="A180" s="16">
        <v>4413</v>
      </c>
      <c r="B180" s="17">
        <f>VLOOKUP(A180,'[1]Nebris 11.27'!E:I,5,FALSE)</f>
        <v>618</v>
      </c>
      <c r="C180" s="4">
        <f>VLOOKUP(A180,'[1]Nebris 11.28.23'!E:I,5,FALSE)</f>
        <v>626</v>
      </c>
      <c r="D180" s="56">
        <f t="shared" si="25"/>
        <v>-8</v>
      </c>
      <c r="E180" s="18">
        <f t="shared" si="24"/>
        <v>622</v>
      </c>
      <c r="F180" s="4">
        <v>2</v>
      </c>
      <c r="G180" s="4">
        <v>4</v>
      </c>
      <c r="H180" s="4">
        <v>0.91919560669742761</v>
      </c>
      <c r="I180" s="4">
        <v>317</v>
      </c>
      <c r="J180" s="4" t="str">
        <f t="shared" si="26"/>
        <v>Control</v>
      </c>
      <c r="K180" s="18">
        <f>VLOOKUP(A180,'[1]Interim '!E:I,5,FALSE)*0.96</f>
        <v>833.28</v>
      </c>
      <c r="L180" s="31">
        <f t="shared" si="27"/>
        <v>3.6427586206896545</v>
      </c>
      <c r="M180" s="19">
        <f t="shared" si="28"/>
        <v>19.655293186271191</v>
      </c>
      <c r="N180" s="57">
        <f t="shared" si="29"/>
        <v>0.1853321945476776</v>
      </c>
    </row>
    <row r="181" spans="1:14" x14ac:dyDescent="0.2">
      <c r="A181" s="16">
        <v>4559</v>
      </c>
      <c r="B181" s="17">
        <f>VLOOKUP(A181,'[1]Nebris 11.27'!E:I,5,FALSE)</f>
        <v>616</v>
      </c>
      <c r="C181" s="4">
        <f>VLOOKUP(A181,'[1]Nebris 11.28.23'!E:I,5,FALSE)</f>
        <v>620</v>
      </c>
      <c r="D181" s="56">
        <f t="shared" si="25"/>
        <v>-4</v>
      </c>
      <c r="E181" s="18">
        <f t="shared" si="24"/>
        <v>618</v>
      </c>
      <c r="F181" s="4">
        <v>2</v>
      </c>
      <c r="G181" s="4">
        <v>4</v>
      </c>
      <c r="H181" s="4">
        <v>0.98343248675091532</v>
      </c>
      <c r="I181" s="4">
        <v>318</v>
      </c>
      <c r="J181" s="4" t="str">
        <f t="shared" si="26"/>
        <v>10% MDGS Variable</v>
      </c>
      <c r="K181" s="18">
        <f>VLOOKUP(A181,'[1]Interim '!E:I,5,FALSE)*0.96</f>
        <v>804.48</v>
      </c>
      <c r="L181" s="31">
        <f t="shared" si="27"/>
        <v>3.2151724137931037</v>
      </c>
      <c r="M181" s="19">
        <f t="shared" si="28"/>
        <v>20.764816593728806</v>
      </c>
      <c r="N181" s="57">
        <f t="shared" si="29"/>
        <v>0.15483750599387042</v>
      </c>
    </row>
    <row r="182" spans="1:14" x14ac:dyDescent="0.2">
      <c r="A182" s="16">
        <v>4531</v>
      </c>
      <c r="B182" s="17">
        <f>VLOOKUP(A182,'[1]Nebris 11.27'!E:I,5,FALSE)</f>
        <v>624</v>
      </c>
      <c r="C182" s="4">
        <f>VLOOKUP(A182,'[1]Nebris 11.28.23'!E:I,5,FALSE)</f>
        <v>636</v>
      </c>
      <c r="D182" s="56">
        <f t="shared" si="25"/>
        <v>-12</v>
      </c>
      <c r="E182" s="18">
        <f t="shared" si="24"/>
        <v>630</v>
      </c>
      <c r="F182" s="4">
        <v>2</v>
      </c>
      <c r="G182" s="4">
        <v>5</v>
      </c>
      <c r="H182" s="4">
        <v>6.8033846188889635E-3</v>
      </c>
      <c r="I182" s="4">
        <v>215</v>
      </c>
      <c r="J182" s="4" t="str">
        <f t="shared" si="26"/>
        <v>10% MDGS Variable</v>
      </c>
      <c r="K182" s="18">
        <f>VLOOKUP(A182,'[1]Interim '!E:I,5,FALSE)*0.96</f>
        <v>645.12</v>
      </c>
      <c r="L182" s="31">
        <f t="shared" si="27"/>
        <v>0.26068965517241388</v>
      </c>
      <c r="M182" s="19">
        <f t="shared" si="28"/>
        <v>19.107699350338986</v>
      </c>
      <c r="N182" s="57">
        <f t="shared" si="29"/>
        <v>1.3643173382241282E-2</v>
      </c>
    </row>
    <row r="183" spans="1:14" x14ac:dyDescent="0.2">
      <c r="A183" s="16">
        <v>4511</v>
      </c>
      <c r="B183" s="17">
        <f>VLOOKUP(A183,'[1]Nebris 11.27'!E:I,5,FALSE)</f>
        <v>620</v>
      </c>
      <c r="C183" s="4">
        <f>VLOOKUP(A183,'[1]Nebris 11.28.23'!E:I,5,FALSE)</f>
        <v>602</v>
      </c>
      <c r="D183" s="56">
        <f t="shared" si="25"/>
        <v>18</v>
      </c>
      <c r="E183" s="18">
        <f t="shared" si="24"/>
        <v>611</v>
      </c>
      <c r="F183" s="4">
        <v>2</v>
      </c>
      <c r="G183" s="4">
        <v>5</v>
      </c>
      <c r="H183" s="4">
        <v>1.4701750534922731E-2</v>
      </c>
      <c r="I183" s="4">
        <v>216</v>
      </c>
      <c r="J183" s="4" t="str">
        <f t="shared" si="26"/>
        <v xml:space="preserve">10% MDGS Constant </v>
      </c>
      <c r="K183" s="18">
        <f>VLOOKUP(A183,'[1]Interim '!E:I,5,FALSE)*0.96</f>
        <v>771.83999999999992</v>
      </c>
      <c r="L183" s="31">
        <f t="shared" si="27"/>
        <v>2.7731034482758607</v>
      </c>
      <c r="M183" s="19">
        <f t="shared" si="28"/>
        <v>20.398789655593223</v>
      </c>
      <c r="N183" s="57">
        <f t="shared" si="29"/>
        <v>0.13594450921334408</v>
      </c>
    </row>
    <row r="184" spans="1:14" x14ac:dyDescent="0.2">
      <c r="A184" s="16">
        <v>4646</v>
      </c>
      <c r="B184" s="17">
        <f>VLOOKUP(A184,'[1]Nebris 11.27'!E:I,5,FALSE)</f>
        <v>624</v>
      </c>
      <c r="C184" s="4">
        <f>VLOOKUP(A184,'[1]Nebris 11.28.23'!E:I,5,FALSE)</f>
        <v>640</v>
      </c>
      <c r="D184" s="56">
        <f t="shared" si="25"/>
        <v>-16</v>
      </c>
      <c r="E184" s="18">
        <f t="shared" si="24"/>
        <v>632</v>
      </c>
      <c r="F184" s="4">
        <v>2</v>
      </c>
      <c r="G184" s="4">
        <v>5</v>
      </c>
      <c r="H184" s="4">
        <v>2.7485194967023618E-2</v>
      </c>
      <c r="I184" s="4">
        <v>301</v>
      </c>
      <c r="J184" s="4" t="str">
        <f t="shared" si="26"/>
        <v xml:space="preserve">25% MDGS Constant </v>
      </c>
      <c r="K184" s="18">
        <f>VLOOKUP(A184,'[1]Interim '!E:I,5,FALSE)*0.96</f>
        <v>837.12</v>
      </c>
      <c r="L184" s="31">
        <f t="shared" si="27"/>
        <v>3.5365517241379312</v>
      </c>
      <c r="M184" s="19">
        <f t="shared" si="28"/>
        <v>19.764340823559323</v>
      </c>
      <c r="N184" s="57">
        <f t="shared" si="29"/>
        <v>0.17893598150879489</v>
      </c>
    </row>
    <row r="185" spans="1:14" x14ac:dyDescent="0.2">
      <c r="A185" s="16">
        <v>4500</v>
      </c>
      <c r="B185" s="17">
        <f>VLOOKUP(A185,'[1]Nebris 11.27'!E:I,5,FALSE)</f>
        <v>622</v>
      </c>
      <c r="C185" s="4">
        <f>VLOOKUP(A185,'[1]Nebris 11.28.23'!E:I,5,FALSE)</f>
        <v>612</v>
      </c>
      <c r="D185" s="56">
        <f t="shared" si="25"/>
        <v>10</v>
      </c>
      <c r="E185" s="18">
        <f t="shared" si="24"/>
        <v>617</v>
      </c>
      <c r="F185" s="4">
        <v>2</v>
      </c>
      <c r="G185" s="4">
        <v>5</v>
      </c>
      <c r="H185" s="4">
        <v>3.4243381876801426E-2</v>
      </c>
      <c r="I185" s="4">
        <v>302</v>
      </c>
      <c r="J185" s="4" t="str">
        <f t="shared" si="26"/>
        <v>25% MDGS Variable</v>
      </c>
      <c r="K185" s="18">
        <f>VLOOKUP(A185,'[1]Interim '!E:I,5,FALSE)*0.96</f>
        <v>721.92</v>
      </c>
      <c r="L185" s="31">
        <f t="shared" si="27"/>
        <v>1.8089655172413786</v>
      </c>
      <c r="M185" s="19">
        <f t="shared" si="28"/>
        <v>18.146163789943504</v>
      </c>
      <c r="N185" s="57">
        <f t="shared" si="29"/>
        <v>9.9688591935001514E-2</v>
      </c>
    </row>
    <row r="186" spans="1:14" x14ac:dyDescent="0.2">
      <c r="A186" s="16">
        <v>4321</v>
      </c>
      <c r="B186" s="17">
        <f>VLOOKUP(A186,'[1]Nebris 11.27'!E:I,5,FALSE)</f>
        <v>626</v>
      </c>
      <c r="C186" s="4">
        <f>VLOOKUP(A186,'[1]Nebris 11.28.23'!E:I,5,FALSE)</f>
        <v>640</v>
      </c>
      <c r="D186" s="56">
        <f t="shared" si="25"/>
        <v>-14</v>
      </c>
      <c r="E186" s="18">
        <f t="shared" si="24"/>
        <v>633</v>
      </c>
      <c r="F186" s="4">
        <v>2</v>
      </c>
      <c r="G186" s="4">
        <v>5</v>
      </c>
      <c r="H186" s="4">
        <v>0.12680060964484752</v>
      </c>
      <c r="I186" s="4">
        <v>303</v>
      </c>
      <c r="J186" s="4" t="str">
        <f t="shared" si="26"/>
        <v>Control</v>
      </c>
      <c r="K186" s="18">
        <f>VLOOKUP(A186,'[1]Interim '!E:I,5,FALSE)*0.96</f>
        <v>856.31999999999994</v>
      </c>
      <c r="L186" s="31">
        <f t="shared" si="27"/>
        <v>3.850344827586206</v>
      </c>
      <c r="M186" s="19">
        <f t="shared" si="28"/>
        <v>18.063320037796611</v>
      </c>
      <c r="N186" s="57">
        <f t="shared" si="29"/>
        <v>0.21315820234206936</v>
      </c>
    </row>
    <row r="187" spans="1:14" x14ac:dyDescent="0.2">
      <c r="A187" s="16">
        <v>4527</v>
      </c>
      <c r="B187" s="17">
        <f>VLOOKUP(A187,'[1]Nebris 11.27'!E:I,5,FALSE)</f>
        <v>620</v>
      </c>
      <c r="C187" s="4">
        <f>VLOOKUP(A187,'[1]Nebris 11.28.23'!E:I,5,FALSE)</f>
        <v>624</v>
      </c>
      <c r="D187" s="56">
        <f t="shared" si="25"/>
        <v>-4</v>
      </c>
      <c r="E187" s="18">
        <f t="shared" si="24"/>
        <v>622</v>
      </c>
      <c r="F187" s="4">
        <v>2</v>
      </c>
      <c r="G187" s="4">
        <v>5</v>
      </c>
      <c r="H187" s="4">
        <v>0.31973530945024509</v>
      </c>
      <c r="I187" s="4">
        <v>304</v>
      </c>
      <c r="J187" s="4" t="str">
        <f t="shared" si="26"/>
        <v>10% MDGS Variable</v>
      </c>
      <c r="K187" s="18">
        <f>VLOOKUP(A187,'[1]Interim '!E:I,5,FALSE)*0.96</f>
        <v>781.43999999999994</v>
      </c>
      <c r="L187" s="31">
        <f t="shared" si="27"/>
        <v>2.7489655172413783</v>
      </c>
      <c r="M187" s="19">
        <f t="shared" si="28"/>
        <v>18.555515762033892</v>
      </c>
      <c r="N187" s="57">
        <f t="shared" si="29"/>
        <v>0.14814815995931449</v>
      </c>
    </row>
    <row r="188" spans="1:14" x14ac:dyDescent="0.2">
      <c r="A188" s="16">
        <v>4513</v>
      </c>
      <c r="B188" s="17">
        <f>VLOOKUP(A188,'[1]Nebris 11.27'!E:I,5,FALSE)</f>
        <v>626</v>
      </c>
      <c r="C188" s="4">
        <f>VLOOKUP(A188,'[1]Nebris 11.28.23'!E:I,5,FALSE)</f>
        <v>630</v>
      </c>
      <c r="D188" s="56">
        <f t="shared" si="25"/>
        <v>-4</v>
      </c>
      <c r="E188" s="18">
        <f t="shared" si="24"/>
        <v>628</v>
      </c>
      <c r="F188" s="4">
        <v>2</v>
      </c>
      <c r="G188" s="4">
        <v>5</v>
      </c>
      <c r="H188" s="4">
        <v>0.40609950488640101</v>
      </c>
      <c r="I188" s="4">
        <v>305</v>
      </c>
      <c r="J188" s="4" t="str">
        <f t="shared" si="26"/>
        <v xml:space="preserve">10% MDGS Constant </v>
      </c>
      <c r="K188" s="18">
        <f>VLOOKUP(A188,'[1]Interim '!E:I,5,FALSE)*0.96</f>
        <v>791.04</v>
      </c>
      <c r="L188" s="31">
        <f t="shared" si="27"/>
        <v>2.81103448275862</v>
      </c>
      <c r="M188" s="19">
        <f t="shared" si="28"/>
        <v>18.368632711016947</v>
      </c>
      <c r="N188" s="57">
        <f t="shared" si="29"/>
        <v>0.15303449783024117</v>
      </c>
    </row>
    <row r="189" spans="1:14" x14ac:dyDescent="0.2">
      <c r="A189" s="16">
        <v>4385</v>
      </c>
      <c r="B189" s="17">
        <f>VLOOKUP(A189,'[1]Nebris 11.27'!E:I,5,FALSE)</f>
        <v>620</v>
      </c>
      <c r="C189" s="4">
        <f>VLOOKUP(A189,'[1]Nebris 11.28.23'!E:I,5,FALSE)</f>
        <v>608</v>
      </c>
      <c r="D189" s="56">
        <f t="shared" si="25"/>
        <v>12</v>
      </c>
      <c r="E189" s="18">
        <f t="shared" si="24"/>
        <v>614</v>
      </c>
      <c r="F189" s="4">
        <v>2</v>
      </c>
      <c r="G189" s="4">
        <v>5</v>
      </c>
      <c r="H189" s="4">
        <v>0.45995677669159007</v>
      </c>
      <c r="I189" s="4">
        <v>306</v>
      </c>
      <c r="J189" s="4" t="str">
        <f t="shared" si="26"/>
        <v>Control</v>
      </c>
      <c r="K189" s="18">
        <f>VLOOKUP(A189,'[1]Interim '!E:I,5,FALSE)*0.96</f>
        <v>781.43999999999994</v>
      </c>
      <c r="L189" s="31">
        <f t="shared" si="27"/>
        <v>2.8868965517241367</v>
      </c>
      <c r="M189" s="19">
        <f t="shared" si="28"/>
        <v>19.337783459491533</v>
      </c>
      <c r="N189" s="57">
        <f t="shared" si="29"/>
        <v>0.14928787250987474</v>
      </c>
    </row>
    <row r="190" spans="1:14" x14ac:dyDescent="0.2">
      <c r="A190" s="16">
        <v>4410</v>
      </c>
      <c r="B190" s="17">
        <f>VLOOKUP(A190,'[1]Nebris 11.27'!E:I,5,FALSE)</f>
        <v>622</v>
      </c>
      <c r="C190" s="4">
        <f>VLOOKUP(A190,'[1]Nebris 11.28.23'!E:I,5,FALSE)</f>
        <v>636</v>
      </c>
      <c r="D190" s="56">
        <f t="shared" si="25"/>
        <v>-14</v>
      </c>
      <c r="E190" s="18">
        <f t="shared" si="24"/>
        <v>629</v>
      </c>
      <c r="F190" s="4">
        <v>2</v>
      </c>
      <c r="G190" s="4">
        <v>5</v>
      </c>
      <c r="H190" s="4">
        <v>0.46350334329507203</v>
      </c>
      <c r="I190" s="4">
        <v>307</v>
      </c>
      <c r="J190" s="4" t="str">
        <f t="shared" si="26"/>
        <v>25% MDGS Variable</v>
      </c>
      <c r="K190" s="18">
        <f>VLOOKUP(A190,'[1]Interim '!E:I,5,FALSE)*0.96</f>
        <v>773.76</v>
      </c>
      <c r="L190" s="31">
        <f t="shared" si="27"/>
        <v>2.4958620689655171</v>
      </c>
      <c r="M190" s="19">
        <f t="shared" si="28"/>
        <v>19.036105591355938</v>
      </c>
      <c r="N190" s="57">
        <f t="shared" si="29"/>
        <v>0.13111201012137993</v>
      </c>
    </row>
    <row r="191" spans="1:14" x14ac:dyDescent="0.2">
      <c r="A191" s="16">
        <v>4681</v>
      </c>
      <c r="B191" s="17">
        <f>VLOOKUP(A191,'[1]Nebris 11.27'!E:I,5,FALSE)</f>
        <v>624</v>
      </c>
      <c r="C191" s="4">
        <f>VLOOKUP(A191,'[1]Nebris 11.28.23'!E:I,5,FALSE)</f>
        <v>622</v>
      </c>
      <c r="D191" s="56">
        <f t="shared" si="25"/>
        <v>2</v>
      </c>
      <c r="E191" s="18">
        <f t="shared" si="24"/>
        <v>623</v>
      </c>
      <c r="F191" s="4">
        <v>2</v>
      </c>
      <c r="G191" s="4">
        <v>5</v>
      </c>
      <c r="H191" s="4">
        <v>0.49266880427212456</v>
      </c>
      <c r="I191" s="4">
        <v>308</v>
      </c>
      <c r="J191" s="4" t="str">
        <f t="shared" si="26"/>
        <v xml:space="preserve">25% MDGS Constant </v>
      </c>
      <c r="K191" s="18">
        <f>VLOOKUP(A191,'[1]Interim '!E:I,5,FALSE)*0.96</f>
        <v>758.4</v>
      </c>
      <c r="L191" s="31">
        <f t="shared" si="27"/>
        <v>2.3344827586206893</v>
      </c>
      <c r="M191" s="19">
        <f t="shared" si="28"/>
        <v>19.826311333050853</v>
      </c>
      <c r="N191" s="57">
        <f t="shared" si="29"/>
        <v>0.11774670131044802</v>
      </c>
    </row>
    <row r="192" spans="1:14" x14ac:dyDescent="0.2">
      <c r="A192" s="16">
        <v>4587</v>
      </c>
      <c r="B192" s="17">
        <f>VLOOKUP(A192,'[1]Nebris 11.27'!E:I,5,FALSE)</f>
        <v>626</v>
      </c>
      <c r="C192" s="4">
        <f>VLOOKUP(A192,'[1]Nebris 11.28.23'!E:I,5,FALSE)</f>
        <v>638</v>
      </c>
      <c r="D192" s="56">
        <f t="shared" si="25"/>
        <v>-12</v>
      </c>
      <c r="E192" s="18">
        <f t="shared" si="24"/>
        <v>632</v>
      </c>
      <c r="F192" s="4">
        <v>2</v>
      </c>
      <c r="G192" s="4">
        <v>5</v>
      </c>
      <c r="H192" s="4">
        <v>0.52364762067651993</v>
      </c>
      <c r="I192" s="4">
        <v>309</v>
      </c>
      <c r="J192" s="4" t="str">
        <f t="shared" si="26"/>
        <v>Control</v>
      </c>
      <c r="K192" s="18">
        <f>VLOOKUP(A192,'[1]Interim '!E:I,5,FALSE)*0.96</f>
        <v>896.64</v>
      </c>
      <c r="L192" s="31">
        <f t="shared" si="27"/>
        <v>4.5627586206896549</v>
      </c>
      <c r="M192" s="19">
        <f t="shared" si="28"/>
        <v>19.729599065254234</v>
      </c>
      <c r="N192" s="57">
        <f t="shared" si="29"/>
        <v>0.23126463977289441</v>
      </c>
    </row>
    <row r="193" spans="1:14" x14ac:dyDescent="0.2">
      <c r="A193" s="16">
        <v>4528</v>
      </c>
      <c r="B193" s="17">
        <f>VLOOKUP(A193,'[1]Nebris 11.27'!E:I,5,FALSE)</f>
        <v>626</v>
      </c>
      <c r="C193" s="4">
        <f>VLOOKUP(A193,'[1]Nebris 11.28.23'!E:I,5,FALSE)</f>
        <v>636</v>
      </c>
      <c r="D193" s="56">
        <f t="shared" si="25"/>
        <v>-10</v>
      </c>
      <c r="E193" s="18">
        <f t="shared" si="24"/>
        <v>631</v>
      </c>
      <c r="F193" s="4">
        <v>2</v>
      </c>
      <c r="G193" s="4">
        <v>5</v>
      </c>
      <c r="H193" s="4">
        <v>0.6068074412951</v>
      </c>
      <c r="I193" s="4">
        <v>310</v>
      </c>
      <c r="J193" s="4" t="str">
        <f t="shared" si="26"/>
        <v>10% MDGS Variable</v>
      </c>
      <c r="K193" s="18">
        <f>VLOOKUP(A193,'[1]Interim '!E:I,5,FALSE)*0.96</f>
        <v>823.68</v>
      </c>
      <c r="L193" s="31">
        <f t="shared" si="27"/>
        <v>3.3220689655172406</v>
      </c>
      <c r="M193" s="19">
        <f t="shared" si="28"/>
        <v>20.764816593728806</v>
      </c>
      <c r="N193" s="57">
        <f t="shared" si="29"/>
        <v>0.15998547112236669</v>
      </c>
    </row>
    <row r="194" spans="1:14" x14ac:dyDescent="0.2">
      <c r="A194" s="16">
        <v>4742</v>
      </c>
      <c r="B194" s="17">
        <f>VLOOKUP(A194,'[1]Nebris 11.27'!E:I,5,FALSE)</f>
        <v>626</v>
      </c>
      <c r="C194" s="4">
        <f>VLOOKUP(A194,'[1]Nebris 11.28.23'!E:I,5,FALSE)</f>
        <v>626</v>
      </c>
      <c r="D194" s="56">
        <f t="shared" si="25"/>
        <v>0</v>
      </c>
      <c r="E194" s="18">
        <f t="shared" ref="E194:E257" si="30">AVERAGE(B194:C194)</f>
        <v>626</v>
      </c>
      <c r="F194" s="4">
        <v>2</v>
      </c>
      <c r="G194" s="4">
        <v>5</v>
      </c>
      <c r="H194" s="4">
        <v>0.61851410388864037</v>
      </c>
      <c r="I194" s="4">
        <v>311</v>
      </c>
      <c r="J194" s="4" t="str">
        <f t="shared" si="26"/>
        <v xml:space="preserve">10% MDGS Constant </v>
      </c>
      <c r="K194" s="18">
        <f>VLOOKUP(A194,'[1]Interim '!E:I,5,FALSE)*0.96</f>
        <v>773.76</v>
      </c>
      <c r="L194" s="31">
        <f t="shared" si="27"/>
        <v>2.5475862068965514</v>
      </c>
      <c r="M194" s="19">
        <f t="shared" si="28"/>
        <v>21.070004804237286</v>
      </c>
      <c r="N194" s="57">
        <f t="shared" si="29"/>
        <v>0.12091056601867593</v>
      </c>
    </row>
    <row r="195" spans="1:14" x14ac:dyDescent="0.2">
      <c r="A195" s="16">
        <v>4560</v>
      </c>
      <c r="B195" s="17">
        <f>VLOOKUP(A195,'[1]Nebris 11.27'!E:I,5,FALSE)</f>
        <v>626</v>
      </c>
      <c r="C195" s="4">
        <f>VLOOKUP(A195,'[1]Nebris 11.28.23'!E:I,5,FALSE)</f>
        <v>614</v>
      </c>
      <c r="D195" s="56">
        <f t="shared" ref="D195:D258" si="31">B195-C195</f>
        <v>12</v>
      </c>
      <c r="E195" s="18">
        <f t="shared" si="30"/>
        <v>620</v>
      </c>
      <c r="F195" s="4">
        <v>2</v>
      </c>
      <c r="G195" s="4">
        <v>5</v>
      </c>
      <c r="H195" s="4">
        <v>0.65901743596973761</v>
      </c>
      <c r="I195" s="4">
        <v>312</v>
      </c>
      <c r="J195" s="4" t="str">
        <f t="shared" ref="J195:J258" si="32">VLOOKUP(I195,$T$2:$X$57,5,FALSE)</f>
        <v xml:space="preserve">25% MDGS Constant </v>
      </c>
      <c r="K195" s="18">
        <f>VLOOKUP(A195,'[1]Interim '!E:I,5,FALSE)*0.96</f>
        <v>854.4</v>
      </c>
      <c r="L195" s="31">
        <f t="shared" ref="L195:L258" si="33">(K195-E195)/58</f>
        <v>4.0413793103448272</v>
      </c>
      <c r="M195" s="19">
        <f t="shared" ref="M195:M258" si="34">VLOOKUP(I195,$AL$1:$AM$40,2,FALSE)</f>
        <v>20.726410488305085</v>
      </c>
      <c r="N195" s="57">
        <f t="shared" ref="N195:N258" si="35">L195/M195</f>
        <v>0.19498693768634867</v>
      </c>
    </row>
    <row r="196" spans="1:14" x14ac:dyDescent="0.2">
      <c r="A196" s="16">
        <v>4523</v>
      </c>
      <c r="B196" s="17">
        <f>VLOOKUP(A196,'[1]Nebris 11.27'!E:I,5,FALSE)</f>
        <v>620</v>
      </c>
      <c r="C196" s="4">
        <f>VLOOKUP(A196,'[1]Nebris 11.28.23'!E:I,5,FALSE)</f>
        <v>644</v>
      </c>
      <c r="D196" s="56">
        <f t="shared" si="31"/>
        <v>-24</v>
      </c>
      <c r="E196" s="18">
        <f t="shared" si="30"/>
        <v>632</v>
      </c>
      <c r="F196" s="4">
        <v>2</v>
      </c>
      <c r="G196" s="4">
        <v>5</v>
      </c>
      <c r="H196" s="4">
        <v>0.67548121295803676</v>
      </c>
      <c r="I196" s="4">
        <v>313</v>
      </c>
      <c r="J196" s="4" t="str">
        <f t="shared" si="32"/>
        <v>25% MDGS Variable</v>
      </c>
      <c r="K196" s="18">
        <f>VLOOKUP(A196,'[1]Interim '!E:I,5,FALSE)*0.96</f>
        <v>835.19999999999993</v>
      </c>
      <c r="L196" s="31">
        <f t="shared" si="33"/>
        <v>3.503448275862068</v>
      </c>
      <c r="M196" s="19">
        <f t="shared" si="34"/>
        <v>20.372524565423721</v>
      </c>
      <c r="N196" s="57">
        <f t="shared" si="35"/>
        <v>0.17196927482459026</v>
      </c>
    </row>
    <row r="197" spans="1:14" x14ac:dyDescent="0.2">
      <c r="A197" s="16">
        <v>4548</v>
      </c>
      <c r="B197" s="17">
        <f>VLOOKUP(A197,'[1]Nebris 11.27'!E:I,5,FALSE)</f>
        <v>626</v>
      </c>
      <c r="C197" s="4">
        <f>VLOOKUP(A197,'[1]Nebris 11.28.23'!E:I,5,FALSE)</f>
        <v>614</v>
      </c>
      <c r="D197" s="56">
        <f t="shared" si="31"/>
        <v>12</v>
      </c>
      <c r="E197" s="18">
        <f t="shared" si="30"/>
        <v>620</v>
      </c>
      <c r="F197" s="4">
        <v>2</v>
      </c>
      <c r="G197" s="4">
        <v>5</v>
      </c>
      <c r="H197" s="4">
        <v>0.74897909639592319</v>
      </c>
      <c r="I197" s="4">
        <v>314</v>
      </c>
      <c r="J197" s="4" t="str">
        <f t="shared" si="32"/>
        <v>25% MDGS Variable</v>
      </c>
      <c r="K197" s="18">
        <f>VLOOKUP(A197,'[1]Interim '!E:I,5,FALSE)*0.96</f>
        <v>798.72</v>
      </c>
      <c r="L197" s="31">
        <f t="shared" si="33"/>
        <v>3.0813793103448281</v>
      </c>
      <c r="M197" s="19">
        <f t="shared" si="34"/>
        <v>21.54037682898305</v>
      </c>
      <c r="N197" s="57">
        <f t="shared" si="35"/>
        <v>0.14305131868439575</v>
      </c>
    </row>
    <row r="198" spans="1:14" x14ac:dyDescent="0.2">
      <c r="A198" s="16">
        <v>4575</v>
      </c>
      <c r="B198" s="17">
        <f>VLOOKUP(A198,'[1]Nebris 11.27'!E:I,5,FALSE)</f>
        <v>622</v>
      </c>
      <c r="C198" s="4">
        <f>VLOOKUP(A198,'[1]Nebris 11.28.23'!E:I,5,FALSE)</f>
        <v>608</v>
      </c>
      <c r="D198" s="56">
        <f t="shared" si="31"/>
        <v>14</v>
      </c>
      <c r="E198" s="18">
        <f t="shared" si="30"/>
        <v>615</v>
      </c>
      <c r="F198" s="4">
        <v>2</v>
      </c>
      <c r="G198" s="4">
        <v>5</v>
      </c>
      <c r="H198" s="4">
        <v>0.83499027036862827</v>
      </c>
      <c r="I198" s="4">
        <v>315</v>
      </c>
      <c r="J198" s="4" t="str">
        <f t="shared" si="32"/>
        <v xml:space="preserve">25% MDGS Constant </v>
      </c>
      <c r="K198" s="18">
        <f>VLOOKUP(A198,'[1]Interim '!E:I,5,FALSE)*0.96</f>
        <v>796.8</v>
      </c>
      <c r="L198" s="31">
        <f t="shared" si="33"/>
        <v>3.1344827586206887</v>
      </c>
      <c r="M198" s="19">
        <f t="shared" si="34"/>
        <v>20.610381563389829</v>
      </c>
      <c r="N198" s="57">
        <f t="shared" si="35"/>
        <v>0.15208271370329518</v>
      </c>
    </row>
    <row r="199" spans="1:14" x14ac:dyDescent="0.2">
      <c r="A199" s="16">
        <v>4711</v>
      </c>
      <c r="B199" s="17">
        <f>VLOOKUP(A199,'[1]Nebris 11.27'!E:I,5,FALSE)</f>
        <v>624</v>
      </c>
      <c r="C199" s="4">
        <f>VLOOKUP(A199,'[1]Nebris 11.28.23'!E:I,5,FALSE)</f>
        <v>618</v>
      </c>
      <c r="D199" s="56">
        <f t="shared" si="31"/>
        <v>6</v>
      </c>
      <c r="E199" s="18">
        <f t="shared" si="30"/>
        <v>621</v>
      </c>
      <c r="F199" s="4">
        <v>2</v>
      </c>
      <c r="G199" s="4">
        <v>5</v>
      </c>
      <c r="H199" s="4">
        <v>0.87451670835624939</v>
      </c>
      <c r="I199" s="4">
        <v>316</v>
      </c>
      <c r="J199" s="4" t="str">
        <f t="shared" si="32"/>
        <v xml:space="preserve">10% MDGS Constant </v>
      </c>
      <c r="K199" s="18">
        <f>VLOOKUP(A199,'[1]Interim '!E:I,5,FALSE)*0.96</f>
        <v>883.19999999999993</v>
      </c>
      <c r="L199" s="31">
        <f t="shared" si="33"/>
        <v>4.5206896551724123</v>
      </c>
      <c r="M199" s="19">
        <f t="shared" si="34"/>
        <v>20.102195246101697</v>
      </c>
      <c r="N199" s="57">
        <f t="shared" si="35"/>
        <v>0.22488537196200417</v>
      </c>
    </row>
    <row r="200" spans="1:14" x14ac:dyDescent="0.2">
      <c r="A200" s="16">
        <v>4666</v>
      </c>
      <c r="B200" s="17">
        <f>VLOOKUP(A200,'[1]Nebris 11.27'!E:I,5,FALSE)</f>
        <v>626</v>
      </c>
      <c r="C200" s="4">
        <f>VLOOKUP(A200,'[1]Nebris 11.28.23'!E:I,5,FALSE)</f>
        <v>630</v>
      </c>
      <c r="D200" s="56">
        <f t="shared" si="31"/>
        <v>-4</v>
      </c>
      <c r="E200" s="18">
        <f t="shared" si="30"/>
        <v>628</v>
      </c>
      <c r="F200" s="4">
        <v>2</v>
      </c>
      <c r="G200" s="4">
        <v>5</v>
      </c>
      <c r="H200" s="4">
        <v>0.94258506194435365</v>
      </c>
      <c r="I200" s="4">
        <v>317</v>
      </c>
      <c r="J200" s="4" t="str">
        <f t="shared" si="32"/>
        <v>Control</v>
      </c>
      <c r="K200" s="18">
        <f>VLOOKUP(A200,'[1]Interim '!E:I,5,FALSE)*0.96</f>
        <v>827.52</v>
      </c>
      <c r="L200" s="31">
        <f t="shared" si="33"/>
        <v>3.4399999999999995</v>
      </c>
      <c r="M200" s="19">
        <f t="shared" si="34"/>
        <v>19.655293186271191</v>
      </c>
      <c r="N200" s="57">
        <f t="shared" si="35"/>
        <v>0.17501646845963953</v>
      </c>
    </row>
    <row r="201" spans="1:14" x14ac:dyDescent="0.2">
      <c r="A201" s="16">
        <v>4543</v>
      </c>
      <c r="B201" s="17">
        <f>VLOOKUP(A201,'[1]Nebris 11.27'!E:I,5,FALSE)</f>
        <v>624</v>
      </c>
      <c r="C201" s="4">
        <f>VLOOKUP(A201,'[1]Nebris 11.28.23'!E:I,5,FALSE)</f>
        <v>632</v>
      </c>
      <c r="D201" s="56">
        <f t="shared" si="31"/>
        <v>-8</v>
      </c>
      <c r="E201" s="18">
        <f t="shared" si="30"/>
        <v>628</v>
      </c>
      <c r="F201" s="4">
        <v>2</v>
      </c>
      <c r="G201" s="4">
        <v>5</v>
      </c>
      <c r="H201" s="4">
        <v>0.99977494214263873</v>
      </c>
      <c r="I201" s="4">
        <v>318</v>
      </c>
      <c r="J201" s="4" t="str">
        <f t="shared" si="32"/>
        <v>10% MDGS Variable</v>
      </c>
      <c r="K201" s="18">
        <f>VLOOKUP(A201,'[1]Interim '!E:I,5,FALSE)*0.96</f>
        <v>794.88</v>
      </c>
      <c r="L201" s="31">
        <f t="shared" si="33"/>
        <v>2.8772413793103446</v>
      </c>
      <c r="M201" s="19">
        <f t="shared" si="34"/>
        <v>20.764816593728806</v>
      </c>
      <c r="N201" s="57">
        <f t="shared" si="35"/>
        <v>0.13856329365217229</v>
      </c>
    </row>
    <row r="202" spans="1:14" x14ac:dyDescent="0.2">
      <c r="A202" s="16">
        <v>4370</v>
      </c>
      <c r="B202" s="17">
        <f>VLOOKUP(A202,'[1]Nebris 11.27'!E:I,5,FALSE)</f>
        <v>628</v>
      </c>
      <c r="C202" s="4">
        <f>VLOOKUP(A202,'[1]Nebris 11.28.23'!E:I,5,FALSE)</f>
        <v>630</v>
      </c>
      <c r="D202" s="56">
        <f t="shared" si="31"/>
        <v>-2</v>
      </c>
      <c r="E202" s="18">
        <f t="shared" si="30"/>
        <v>629</v>
      </c>
      <c r="F202" s="4">
        <v>2</v>
      </c>
      <c r="G202" s="4">
        <v>6</v>
      </c>
      <c r="H202" s="4">
        <v>6.1625891784457987E-2</v>
      </c>
      <c r="I202" s="4">
        <v>215</v>
      </c>
      <c r="J202" s="4" t="str">
        <f t="shared" si="32"/>
        <v>10% MDGS Variable</v>
      </c>
      <c r="K202" s="18">
        <f>VLOOKUP(A202,'[1]Interim '!E:I,5,FALSE)*0.96</f>
        <v>796.8</v>
      </c>
      <c r="L202" s="31">
        <f t="shared" si="33"/>
        <v>2.8931034482758613</v>
      </c>
      <c r="M202" s="19">
        <f t="shared" si="34"/>
        <v>19.107699350338986</v>
      </c>
      <c r="N202" s="57">
        <f t="shared" si="35"/>
        <v>0.15141035010185752</v>
      </c>
    </row>
    <row r="203" spans="1:14" x14ac:dyDescent="0.2">
      <c r="A203" s="16">
        <v>4740</v>
      </c>
      <c r="B203" s="17">
        <f>VLOOKUP(A203,'[1]Nebris 11.27'!E:I,5,FALSE)</f>
        <v>628</v>
      </c>
      <c r="C203" s="4">
        <f>VLOOKUP(A203,'[1]Nebris 11.28.23'!E:I,5,FALSE)</f>
        <v>618</v>
      </c>
      <c r="D203" s="56">
        <f t="shared" si="31"/>
        <v>10</v>
      </c>
      <c r="E203" s="18">
        <f t="shared" si="30"/>
        <v>623</v>
      </c>
      <c r="F203" s="4">
        <v>2</v>
      </c>
      <c r="G203" s="4">
        <v>6</v>
      </c>
      <c r="H203" s="4">
        <v>0.2480001241741665</v>
      </c>
      <c r="I203" s="4">
        <v>216</v>
      </c>
      <c r="J203" s="4" t="str">
        <f t="shared" si="32"/>
        <v xml:space="preserve">10% MDGS Constant </v>
      </c>
      <c r="K203" s="18">
        <f>VLOOKUP(A203,'[1]Interim '!E:I,5,FALSE)*0.96</f>
        <v>877.43999999999994</v>
      </c>
      <c r="L203" s="31">
        <f t="shared" si="33"/>
        <v>4.3868965517241367</v>
      </c>
      <c r="M203" s="19">
        <f t="shared" si="34"/>
        <v>20.398789655593223</v>
      </c>
      <c r="N203" s="57">
        <f t="shared" si="35"/>
        <v>0.21505670805920962</v>
      </c>
    </row>
    <row r="204" spans="1:14" x14ac:dyDescent="0.2">
      <c r="A204" s="16">
        <v>4708</v>
      </c>
      <c r="B204" s="17">
        <f>VLOOKUP(A204,'[1]Nebris 11.27'!E:I,5,FALSE)</f>
        <v>632</v>
      </c>
      <c r="C204" s="4">
        <f>VLOOKUP(A204,'[1]Nebris 11.28.23'!E:I,5,FALSE)</f>
        <v>618</v>
      </c>
      <c r="D204" s="56">
        <f t="shared" si="31"/>
        <v>14</v>
      </c>
      <c r="E204" s="18">
        <f t="shared" si="30"/>
        <v>625</v>
      </c>
      <c r="F204" s="4">
        <v>2</v>
      </c>
      <c r="G204" s="4">
        <v>6</v>
      </c>
      <c r="H204" s="4">
        <v>0.24935754226075002</v>
      </c>
      <c r="I204" s="4">
        <v>301</v>
      </c>
      <c r="J204" s="4" t="str">
        <f t="shared" si="32"/>
        <v xml:space="preserve">25% MDGS Constant </v>
      </c>
      <c r="K204" s="18">
        <f>VLOOKUP(A204,'[1]Interim '!E:I,5,FALSE)*0.96</f>
        <v>810.24</v>
      </c>
      <c r="L204" s="31">
        <f t="shared" si="33"/>
        <v>3.193793103448276</v>
      </c>
      <c r="M204" s="19">
        <f t="shared" si="34"/>
        <v>19.764340823559323</v>
      </c>
      <c r="N204" s="57">
        <f t="shared" si="35"/>
        <v>0.16159370716989649</v>
      </c>
    </row>
    <row r="205" spans="1:14" x14ac:dyDescent="0.2">
      <c r="A205" s="16">
        <v>4644</v>
      </c>
      <c r="B205" s="17">
        <f>VLOOKUP(A205,'[1]Nebris 11.27'!E:I,5,FALSE)</f>
        <v>632</v>
      </c>
      <c r="C205" s="4">
        <f>VLOOKUP(A205,'[1]Nebris 11.28.23'!E:I,5,FALSE)</f>
        <v>624</v>
      </c>
      <c r="D205" s="56">
        <f t="shared" si="31"/>
        <v>8</v>
      </c>
      <c r="E205" s="18">
        <f t="shared" si="30"/>
        <v>628</v>
      </c>
      <c r="F205" s="4">
        <v>2</v>
      </c>
      <c r="G205" s="4">
        <v>6</v>
      </c>
      <c r="H205" s="4">
        <v>0.25749064834239555</v>
      </c>
      <c r="I205" s="4">
        <v>302</v>
      </c>
      <c r="J205" s="4" t="str">
        <f t="shared" si="32"/>
        <v>25% MDGS Variable</v>
      </c>
      <c r="K205" s="18">
        <f>VLOOKUP(A205,'[1]Interim '!E:I,5,FALSE)*0.96</f>
        <v>723.83999999999992</v>
      </c>
      <c r="L205" s="31">
        <f t="shared" si="33"/>
        <v>1.6524137931034468</v>
      </c>
      <c r="M205" s="19">
        <f t="shared" si="34"/>
        <v>18.146163789943504</v>
      </c>
      <c r="N205" s="57">
        <f t="shared" si="35"/>
        <v>9.1061329117904502E-2</v>
      </c>
    </row>
    <row r="206" spans="1:14" x14ac:dyDescent="0.2">
      <c r="A206" s="16">
        <v>4400</v>
      </c>
      <c r="B206" s="17">
        <f>VLOOKUP(A206,'[1]Nebris 11.27'!E:I,5,FALSE)</f>
        <v>634</v>
      </c>
      <c r="C206" s="4">
        <f>VLOOKUP(A206,'[1]Nebris 11.28.23'!E:I,5,FALSE)</f>
        <v>628</v>
      </c>
      <c r="D206" s="56">
        <f t="shared" si="31"/>
        <v>6</v>
      </c>
      <c r="E206" s="18">
        <f t="shared" si="30"/>
        <v>631</v>
      </c>
      <c r="F206" s="4">
        <v>2</v>
      </c>
      <c r="G206" s="4">
        <v>6</v>
      </c>
      <c r="H206" s="4">
        <v>0.33744033405263896</v>
      </c>
      <c r="I206" s="4">
        <v>303</v>
      </c>
      <c r="J206" s="4" t="str">
        <f t="shared" si="32"/>
        <v>Control</v>
      </c>
      <c r="K206" s="18">
        <f>VLOOKUP(A206,'[1]Interim '!E:I,5,FALSE)*0.96</f>
        <v>802.56</v>
      </c>
      <c r="L206" s="31">
        <f t="shared" si="33"/>
        <v>2.9579310344827578</v>
      </c>
      <c r="M206" s="19">
        <f t="shared" si="34"/>
        <v>18.063320037796611</v>
      </c>
      <c r="N206" s="57">
        <f t="shared" si="35"/>
        <v>0.16375345331275934</v>
      </c>
    </row>
    <row r="207" spans="1:14" x14ac:dyDescent="0.2">
      <c r="A207" s="16">
        <v>4540</v>
      </c>
      <c r="B207" s="17">
        <f>VLOOKUP(A207,'[1]Nebris 11.27'!E:I,5,FALSE)</f>
        <v>630</v>
      </c>
      <c r="C207" s="4">
        <f>VLOOKUP(A207,'[1]Nebris 11.28.23'!E:I,5,FALSE)</f>
        <v>610</v>
      </c>
      <c r="D207" s="56">
        <f t="shared" si="31"/>
        <v>20</v>
      </c>
      <c r="E207" s="18">
        <f t="shared" si="30"/>
        <v>620</v>
      </c>
      <c r="F207" s="4">
        <v>2</v>
      </c>
      <c r="G207" s="4">
        <v>6</v>
      </c>
      <c r="H207" s="4">
        <v>0.42197828319337827</v>
      </c>
      <c r="I207" s="4">
        <v>304</v>
      </c>
      <c r="J207" s="4" t="str">
        <f t="shared" si="32"/>
        <v>10% MDGS Variable</v>
      </c>
      <c r="K207" s="18">
        <f>VLOOKUP(A207,'[1]Interim '!E:I,5,FALSE)*0.96</f>
        <v>733.43999999999994</v>
      </c>
      <c r="L207" s="31">
        <f t="shared" si="33"/>
        <v>1.9558620689655162</v>
      </c>
      <c r="M207" s="19">
        <f t="shared" si="34"/>
        <v>18.555515762033892</v>
      </c>
      <c r="N207" s="57">
        <f t="shared" si="35"/>
        <v>0.10540596629318008</v>
      </c>
    </row>
    <row r="208" spans="1:14" x14ac:dyDescent="0.2">
      <c r="A208" s="16">
        <v>4396</v>
      </c>
      <c r="B208" s="17">
        <f>VLOOKUP(A208,'[1]Nebris 11.27'!E:I,5,FALSE)</f>
        <v>634</v>
      </c>
      <c r="C208" s="4">
        <f>VLOOKUP(A208,'[1]Nebris 11.28.23'!E:I,5,FALSE)</f>
        <v>632</v>
      </c>
      <c r="D208" s="56">
        <f t="shared" si="31"/>
        <v>2</v>
      </c>
      <c r="E208" s="18">
        <f t="shared" si="30"/>
        <v>633</v>
      </c>
      <c r="F208" s="4">
        <v>2</v>
      </c>
      <c r="G208" s="4">
        <v>6</v>
      </c>
      <c r="H208" s="4">
        <v>0.42308318039694293</v>
      </c>
      <c r="I208" s="4">
        <v>305</v>
      </c>
      <c r="J208" s="4" t="str">
        <f t="shared" si="32"/>
        <v xml:space="preserve">10% MDGS Constant </v>
      </c>
      <c r="K208" s="18">
        <f>VLOOKUP(A208,'[1]Interim '!E:I,5,FALSE)*0.96</f>
        <v>821.76</v>
      </c>
      <c r="L208" s="31">
        <f t="shared" si="33"/>
        <v>3.2544827586206897</v>
      </c>
      <c r="M208" s="19">
        <f t="shared" si="34"/>
        <v>18.368632711016947</v>
      </c>
      <c r="N208" s="57">
        <f t="shared" si="35"/>
        <v>0.17717610286087054</v>
      </c>
    </row>
    <row r="209" spans="1:14" x14ac:dyDescent="0.2">
      <c r="A209" s="16">
        <v>4384</v>
      </c>
      <c r="B209" s="17">
        <f>VLOOKUP(A209,'[1]Nebris 11.27'!E:I,5,FALSE)</f>
        <v>628</v>
      </c>
      <c r="C209" s="4">
        <f>VLOOKUP(A209,'[1]Nebris 11.28.23'!E:I,5,FALSE)</f>
        <v>636</v>
      </c>
      <c r="D209" s="56">
        <f t="shared" si="31"/>
        <v>-8</v>
      </c>
      <c r="E209" s="18">
        <f t="shared" si="30"/>
        <v>632</v>
      </c>
      <c r="F209" s="4">
        <v>2</v>
      </c>
      <c r="G209" s="4">
        <v>6</v>
      </c>
      <c r="H209" s="4">
        <v>0.45778744738743726</v>
      </c>
      <c r="I209" s="4">
        <v>306</v>
      </c>
      <c r="J209" s="4" t="str">
        <f t="shared" si="32"/>
        <v>Control</v>
      </c>
      <c r="K209" s="18">
        <f>VLOOKUP(A209,'[1]Interim '!E:I,5,FALSE)*0.96</f>
        <v>816</v>
      </c>
      <c r="L209" s="31">
        <f t="shared" si="33"/>
        <v>3.1724137931034484</v>
      </c>
      <c r="M209" s="19">
        <f t="shared" si="34"/>
        <v>19.337783459491533</v>
      </c>
      <c r="N209" s="57">
        <f t="shared" si="35"/>
        <v>0.16405260715370859</v>
      </c>
    </row>
    <row r="210" spans="1:14" x14ac:dyDescent="0.2">
      <c r="A210" s="16">
        <v>4647</v>
      </c>
      <c r="B210" s="17">
        <f>VLOOKUP(A210,'[1]Nebris 11.27'!E:I,5,FALSE)</f>
        <v>628</v>
      </c>
      <c r="C210" s="4">
        <f>VLOOKUP(A210,'[1]Nebris 11.28.23'!E:I,5,FALSE)</f>
        <v>612</v>
      </c>
      <c r="D210" s="56">
        <f t="shared" si="31"/>
        <v>16</v>
      </c>
      <c r="E210" s="18">
        <f t="shared" si="30"/>
        <v>620</v>
      </c>
      <c r="F210" s="4">
        <v>2</v>
      </c>
      <c r="G210" s="4">
        <v>6</v>
      </c>
      <c r="H210" s="4">
        <v>0.46318418025960706</v>
      </c>
      <c r="I210" s="4">
        <v>307</v>
      </c>
      <c r="J210" s="4" t="str">
        <f t="shared" si="32"/>
        <v>25% MDGS Variable</v>
      </c>
      <c r="K210" s="18">
        <f>VLOOKUP(A210,'[1]Interim '!E:I,5,FALSE)*0.96</f>
        <v>810.24</v>
      </c>
      <c r="L210" s="31">
        <f t="shared" si="33"/>
        <v>3.2800000000000002</v>
      </c>
      <c r="M210" s="19">
        <f t="shared" si="34"/>
        <v>19.036105591355938</v>
      </c>
      <c r="N210" s="57">
        <f t="shared" si="35"/>
        <v>0.17230415035570132</v>
      </c>
    </row>
    <row r="211" spans="1:14" x14ac:dyDescent="0.2">
      <c r="A211" s="16">
        <v>4359</v>
      </c>
      <c r="B211" s="17">
        <f>VLOOKUP(A211,'[1]Nebris 11.27'!E:I,5,FALSE)</f>
        <v>628</v>
      </c>
      <c r="C211" s="4">
        <f>VLOOKUP(A211,'[1]Nebris 11.28.23'!E:I,5,FALSE)</f>
        <v>620</v>
      </c>
      <c r="D211" s="56">
        <f t="shared" si="31"/>
        <v>8</v>
      </c>
      <c r="E211" s="18">
        <f t="shared" si="30"/>
        <v>624</v>
      </c>
      <c r="F211" s="4">
        <v>2</v>
      </c>
      <c r="G211" s="4">
        <v>6</v>
      </c>
      <c r="H211" s="4">
        <v>0.47345901006423285</v>
      </c>
      <c r="I211" s="4">
        <v>308</v>
      </c>
      <c r="J211" s="4" t="str">
        <f t="shared" si="32"/>
        <v xml:space="preserve">25% MDGS Constant </v>
      </c>
      <c r="K211" s="18">
        <f>VLOOKUP(A211,'[1]Interim '!E:I,5,FALSE)*0.96</f>
        <v>792.95999999999992</v>
      </c>
      <c r="L211" s="31">
        <f t="shared" si="33"/>
        <v>2.9131034482758609</v>
      </c>
      <c r="M211" s="19">
        <f t="shared" si="34"/>
        <v>19.826311333050853</v>
      </c>
      <c r="N211" s="57">
        <f t="shared" si="35"/>
        <v>0.14693118650969936</v>
      </c>
    </row>
    <row r="212" spans="1:14" x14ac:dyDescent="0.2">
      <c r="A212" s="16">
        <v>4619</v>
      </c>
      <c r="B212" s="17">
        <f>VLOOKUP(A212,'[1]Nebris 11.27'!E:I,5,FALSE)</f>
        <v>632</v>
      </c>
      <c r="C212" s="4">
        <f>VLOOKUP(A212,'[1]Nebris 11.28.23'!E:I,5,FALSE)</f>
        <v>640</v>
      </c>
      <c r="D212" s="56">
        <f t="shared" si="31"/>
        <v>-8</v>
      </c>
      <c r="E212" s="18">
        <f t="shared" si="30"/>
        <v>636</v>
      </c>
      <c r="F212" s="4">
        <v>2</v>
      </c>
      <c r="G212" s="4">
        <v>6</v>
      </c>
      <c r="H212" s="4">
        <v>0.57026828435846699</v>
      </c>
      <c r="I212" s="4">
        <v>309</v>
      </c>
      <c r="J212" s="4" t="str">
        <f t="shared" si="32"/>
        <v>Control</v>
      </c>
      <c r="K212" s="18">
        <f>VLOOKUP(A212,'[1]Interim '!E:I,5,FALSE)*0.96</f>
        <v>840.95999999999992</v>
      </c>
      <c r="L212" s="31">
        <f t="shared" si="33"/>
        <v>3.5337931034482746</v>
      </c>
      <c r="M212" s="19">
        <f t="shared" si="34"/>
        <v>19.729599065254234</v>
      </c>
      <c r="N212" s="57">
        <f t="shared" si="35"/>
        <v>0.17911124761129241</v>
      </c>
    </row>
    <row r="213" spans="1:14" x14ac:dyDescent="0.2">
      <c r="A213" s="16">
        <v>4698</v>
      </c>
      <c r="B213" s="17">
        <f>VLOOKUP(A213,'[1]Nebris 11.27'!E:I,5,FALSE)</f>
        <v>632</v>
      </c>
      <c r="C213" s="4">
        <f>VLOOKUP(A213,'[1]Nebris 11.28.23'!E:I,5,FALSE)</f>
        <v>636</v>
      </c>
      <c r="D213" s="56">
        <f t="shared" si="31"/>
        <v>-4</v>
      </c>
      <c r="E213" s="18">
        <f t="shared" si="30"/>
        <v>634</v>
      </c>
      <c r="F213" s="4">
        <v>2</v>
      </c>
      <c r="G213" s="4">
        <v>6</v>
      </c>
      <c r="H213" s="4">
        <v>0.58657417667037448</v>
      </c>
      <c r="I213" s="4">
        <v>310</v>
      </c>
      <c r="J213" s="4" t="str">
        <f t="shared" si="32"/>
        <v>10% MDGS Variable</v>
      </c>
      <c r="K213" s="18">
        <f>VLOOKUP(A213,'[1]Interim '!E:I,5,FALSE)*0.96</f>
        <v>842.88</v>
      </c>
      <c r="L213" s="31">
        <f t="shared" si="33"/>
        <v>3.6013793103448277</v>
      </c>
      <c r="M213" s="19">
        <f t="shared" si="34"/>
        <v>20.764816593728806</v>
      </c>
      <c r="N213" s="57">
        <f t="shared" si="35"/>
        <v>0.17343660581295392</v>
      </c>
    </row>
    <row r="214" spans="1:14" x14ac:dyDescent="0.2">
      <c r="A214" s="16">
        <v>4475</v>
      </c>
      <c r="B214" s="17">
        <f>VLOOKUP(A214,'[1]Nebris 11.27'!E:I,5,FALSE)</f>
        <v>630</v>
      </c>
      <c r="C214" s="4">
        <f>VLOOKUP(A214,'[1]Nebris 11.28.23'!E:I,5,FALSE)</f>
        <v>650</v>
      </c>
      <c r="D214" s="56">
        <f t="shared" si="31"/>
        <v>-20</v>
      </c>
      <c r="E214" s="18">
        <f t="shared" si="30"/>
        <v>640</v>
      </c>
      <c r="F214" s="4">
        <v>2</v>
      </c>
      <c r="G214" s="4">
        <v>6</v>
      </c>
      <c r="H214" s="4">
        <v>0.65793407414717975</v>
      </c>
      <c r="I214" s="4">
        <v>311</v>
      </c>
      <c r="J214" s="4" t="str">
        <f t="shared" si="32"/>
        <v xml:space="preserve">10% MDGS Constant </v>
      </c>
      <c r="K214" s="18">
        <f>VLOOKUP(A214,'[1]Interim '!E:I,5,FALSE)*0.96</f>
        <v>796.8</v>
      </c>
      <c r="L214" s="31">
        <f t="shared" si="33"/>
        <v>2.7034482758620682</v>
      </c>
      <c r="M214" s="19">
        <f t="shared" si="34"/>
        <v>21.070004804237286</v>
      </c>
      <c r="N214" s="57">
        <f t="shared" si="35"/>
        <v>0.12830790979783691</v>
      </c>
    </row>
    <row r="215" spans="1:14" x14ac:dyDescent="0.2">
      <c r="A215" s="16">
        <v>4713</v>
      </c>
      <c r="B215" s="17">
        <f>VLOOKUP(A215,'[1]Nebris 11.27'!E:I,5,FALSE)</f>
        <v>632</v>
      </c>
      <c r="C215" s="4">
        <f>VLOOKUP(A215,'[1]Nebris 11.28.23'!E:I,5,FALSE)</f>
        <v>636</v>
      </c>
      <c r="D215" s="56">
        <f t="shared" si="31"/>
        <v>-4</v>
      </c>
      <c r="E215" s="18">
        <f t="shared" si="30"/>
        <v>634</v>
      </c>
      <c r="F215" s="4">
        <v>2</v>
      </c>
      <c r="G215" s="4">
        <v>6</v>
      </c>
      <c r="H215" s="4">
        <v>0.67420013228306486</v>
      </c>
      <c r="I215" s="4">
        <v>312</v>
      </c>
      <c r="J215" s="4" t="str">
        <f t="shared" si="32"/>
        <v xml:space="preserve">25% MDGS Constant </v>
      </c>
      <c r="K215" s="18">
        <f>VLOOKUP(A215,'[1]Interim '!E:I,5,FALSE)*0.96</f>
        <v>854.4</v>
      </c>
      <c r="L215" s="31">
        <f t="shared" si="33"/>
        <v>3.8</v>
      </c>
      <c r="M215" s="19">
        <f t="shared" si="34"/>
        <v>20.726410488305085</v>
      </c>
      <c r="N215" s="57">
        <f t="shared" si="35"/>
        <v>0.18334096017948487</v>
      </c>
    </row>
    <row r="216" spans="1:14" x14ac:dyDescent="0.2">
      <c r="A216" s="16">
        <v>4661</v>
      </c>
      <c r="B216" s="17">
        <f>VLOOKUP(A216,'[1]Nebris 11.27'!E:I,5,FALSE)</f>
        <v>628</v>
      </c>
      <c r="C216" s="4">
        <f>VLOOKUP(A216,'[1]Nebris 11.28.23'!E:I,5,FALSE)</f>
        <v>600</v>
      </c>
      <c r="D216" s="56">
        <f t="shared" si="31"/>
        <v>28</v>
      </c>
      <c r="E216" s="18">
        <f t="shared" si="30"/>
        <v>614</v>
      </c>
      <c r="F216" s="4">
        <v>2</v>
      </c>
      <c r="G216" s="4">
        <v>6</v>
      </c>
      <c r="H216" s="4">
        <v>0.74957150450271082</v>
      </c>
      <c r="I216" s="4">
        <v>313</v>
      </c>
      <c r="J216" s="4" t="str">
        <f t="shared" si="32"/>
        <v>25% MDGS Variable</v>
      </c>
      <c r="K216" s="18">
        <f>VLOOKUP(A216,'[1]Interim '!E:I,5,FALSE)*0.96</f>
        <v>783.36</v>
      </c>
      <c r="L216" s="31">
        <f t="shared" si="33"/>
        <v>2.9200000000000004</v>
      </c>
      <c r="M216" s="19">
        <f t="shared" si="34"/>
        <v>20.372524565423721</v>
      </c>
      <c r="N216" s="57">
        <f t="shared" si="35"/>
        <v>0.14333029716679438</v>
      </c>
    </row>
    <row r="217" spans="1:14" x14ac:dyDescent="0.2">
      <c r="A217" s="16">
        <v>4738</v>
      </c>
      <c r="B217" s="17">
        <f>VLOOKUP(A217,'[1]Nebris 11.27'!E:I,5,FALSE)</f>
        <v>632</v>
      </c>
      <c r="C217" s="4">
        <f>VLOOKUP(A217,'[1]Nebris 11.28.23'!E:I,5,FALSE)</f>
        <v>636</v>
      </c>
      <c r="D217" s="56">
        <f t="shared" si="31"/>
        <v>-4</v>
      </c>
      <c r="E217" s="18">
        <f t="shared" si="30"/>
        <v>634</v>
      </c>
      <c r="F217" s="4">
        <v>2</v>
      </c>
      <c r="G217" s="4">
        <v>6</v>
      </c>
      <c r="H217" s="4">
        <v>0.7552394581720473</v>
      </c>
      <c r="I217" s="4">
        <v>314</v>
      </c>
      <c r="J217" s="4" t="str">
        <f t="shared" si="32"/>
        <v>25% MDGS Variable</v>
      </c>
      <c r="K217" s="18">
        <f>VLOOKUP(A217,'[1]Interim '!E:I,5,FALSE)*0.96</f>
        <v>877.43999999999994</v>
      </c>
      <c r="L217" s="31">
        <f t="shared" si="33"/>
        <v>4.197241379310344</v>
      </c>
      <c r="M217" s="19">
        <f t="shared" si="34"/>
        <v>21.54037682898305</v>
      </c>
      <c r="N217" s="57">
        <f t="shared" si="35"/>
        <v>0.19485459389284515</v>
      </c>
    </row>
    <row r="218" spans="1:14" x14ac:dyDescent="0.2">
      <c r="A218" s="16">
        <v>4380</v>
      </c>
      <c r="B218" s="17">
        <f>VLOOKUP(A218,'[1]Nebris 11.27'!E:I,5,FALSE)</f>
        <v>632</v>
      </c>
      <c r="C218" s="4">
        <f>VLOOKUP(A218,'[1]Nebris 11.28.23'!E:I,5,FALSE)</f>
        <v>602</v>
      </c>
      <c r="D218" s="43">
        <f t="shared" si="31"/>
        <v>30</v>
      </c>
      <c r="E218" s="18">
        <f t="shared" si="30"/>
        <v>617</v>
      </c>
      <c r="F218" s="4">
        <v>2</v>
      </c>
      <c r="G218" s="4">
        <v>6</v>
      </c>
      <c r="H218" s="4">
        <v>0.80858249518515612</v>
      </c>
      <c r="I218" s="4">
        <v>315</v>
      </c>
      <c r="J218" s="4" t="str">
        <f t="shared" si="32"/>
        <v xml:space="preserve">25% MDGS Constant </v>
      </c>
      <c r="K218" s="18">
        <f>VLOOKUP(A218,'[1]Interim '!E:I,5,FALSE)*0.96</f>
        <v>791.04</v>
      </c>
      <c r="L218" s="31">
        <f t="shared" si="33"/>
        <v>3.0006896551724132</v>
      </c>
      <c r="M218" s="19">
        <f t="shared" si="34"/>
        <v>20.610381563389829</v>
      </c>
      <c r="N218" s="57">
        <f t="shared" si="35"/>
        <v>0.14559117432850108</v>
      </c>
    </row>
    <row r="219" spans="1:14" x14ac:dyDescent="0.2">
      <c r="A219" s="16">
        <v>4314</v>
      </c>
      <c r="B219" s="17">
        <f>VLOOKUP(A219,'[1]Nebris 11.27'!E:I,5,FALSE)</f>
        <v>634</v>
      </c>
      <c r="C219" s="4">
        <f>VLOOKUP(A219,'[1]Nebris 11.28.23'!E:I,5,FALSE)</f>
        <v>630</v>
      </c>
      <c r="D219" s="56">
        <f t="shared" si="31"/>
        <v>4</v>
      </c>
      <c r="E219" s="18">
        <f t="shared" si="30"/>
        <v>632</v>
      </c>
      <c r="F219" s="4">
        <v>2</v>
      </c>
      <c r="G219" s="4">
        <v>6</v>
      </c>
      <c r="H219" s="4">
        <v>0.86984261120337147</v>
      </c>
      <c r="I219" s="4">
        <v>316</v>
      </c>
      <c r="J219" s="4" t="str">
        <f t="shared" si="32"/>
        <v xml:space="preserve">10% MDGS Constant </v>
      </c>
      <c r="K219" s="18">
        <f>VLOOKUP(A219,'[1]Interim '!E:I,5,FALSE)*0.96</f>
        <v>835.19999999999993</v>
      </c>
      <c r="L219" s="31">
        <f t="shared" si="33"/>
        <v>3.503448275862068</v>
      </c>
      <c r="M219" s="19">
        <f t="shared" si="34"/>
        <v>20.102195246101697</v>
      </c>
      <c r="N219" s="57">
        <f t="shared" si="35"/>
        <v>0.17428187483859364</v>
      </c>
    </row>
    <row r="220" spans="1:14" x14ac:dyDescent="0.2">
      <c r="A220" s="16">
        <v>4608</v>
      </c>
      <c r="B220" s="17">
        <f>VLOOKUP(A220,'[1]Nebris 11.27'!E:I,5,FALSE)</f>
        <v>628</v>
      </c>
      <c r="C220" s="4">
        <f>VLOOKUP(A220,'[1]Nebris 11.28.23'!E:I,5,FALSE)</f>
        <v>628</v>
      </c>
      <c r="D220" s="56">
        <f t="shared" si="31"/>
        <v>0</v>
      </c>
      <c r="E220" s="18">
        <f t="shared" si="30"/>
        <v>628</v>
      </c>
      <c r="F220" s="4">
        <v>2</v>
      </c>
      <c r="G220" s="4">
        <v>6</v>
      </c>
      <c r="H220" s="4">
        <v>0.88858289671865798</v>
      </c>
      <c r="I220" s="4">
        <v>317</v>
      </c>
      <c r="J220" s="4" t="str">
        <f t="shared" si="32"/>
        <v>Control</v>
      </c>
      <c r="K220" s="18">
        <f>VLOOKUP(A220,'[1]Interim '!E:I,5,FALSE)*0.96</f>
        <v>814.07999999999993</v>
      </c>
      <c r="L220" s="31">
        <f t="shared" si="33"/>
        <v>3.2082758620689642</v>
      </c>
      <c r="M220" s="19">
        <f t="shared" si="34"/>
        <v>19.655293186271191</v>
      </c>
      <c r="N220" s="57">
        <f t="shared" si="35"/>
        <v>0.16322706721616737</v>
      </c>
    </row>
    <row r="221" spans="1:14" x14ac:dyDescent="0.2">
      <c r="A221" s="16">
        <v>4374</v>
      </c>
      <c r="B221" s="17">
        <f>VLOOKUP(A221,'[1]Nebris 11.27'!E:I,5,FALSE)</f>
        <v>634</v>
      </c>
      <c r="C221" s="4">
        <f>VLOOKUP(A221,'[1]Nebris 11.28.23'!E:I,5,FALSE)</f>
        <v>640</v>
      </c>
      <c r="D221" s="56">
        <f t="shared" si="31"/>
        <v>-6</v>
      </c>
      <c r="E221" s="18">
        <f t="shared" si="30"/>
        <v>637</v>
      </c>
      <c r="F221" s="4">
        <v>2</v>
      </c>
      <c r="G221" s="4">
        <v>6</v>
      </c>
      <c r="H221" s="4">
        <v>0.9067748353531403</v>
      </c>
      <c r="I221" s="4">
        <v>318</v>
      </c>
      <c r="J221" s="4" t="str">
        <f t="shared" si="32"/>
        <v>10% MDGS Variable</v>
      </c>
      <c r="K221" s="18">
        <f>VLOOKUP(A221,'[1]Interim '!E:I,5,FALSE)*0.96</f>
        <v>862.07999999999993</v>
      </c>
      <c r="L221" s="31">
        <f t="shared" si="33"/>
        <v>3.8806896551724126</v>
      </c>
      <c r="M221" s="19">
        <f t="shared" si="34"/>
        <v>20.764816593728806</v>
      </c>
      <c r="N221" s="57">
        <f t="shared" si="35"/>
        <v>0.18688774050354107</v>
      </c>
    </row>
    <row r="222" spans="1:14" x14ac:dyDescent="0.2">
      <c r="A222" s="16">
        <v>4541</v>
      </c>
      <c r="B222" s="17">
        <f>VLOOKUP(A222,'[1]Nebris 11.27'!E:I,5,FALSE)</f>
        <v>636</v>
      </c>
      <c r="C222" s="4">
        <f>VLOOKUP(A222,'[1]Nebris 11.28.23'!E:I,5,FALSE)</f>
        <v>634</v>
      </c>
      <c r="D222" s="56">
        <f t="shared" si="31"/>
        <v>2</v>
      </c>
      <c r="E222" s="18">
        <f t="shared" si="30"/>
        <v>635</v>
      </c>
      <c r="F222" s="4">
        <v>2</v>
      </c>
      <c r="G222" s="4">
        <v>7</v>
      </c>
      <c r="H222" s="4">
        <v>1.6361780520034008E-2</v>
      </c>
      <c r="I222" s="4">
        <v>215</v>
      </c>
      <c r="J222" s="4" t="str">
        <f t="shared" si="32"/>
        <v>10% MDGS Variable</v>
      </c>
      <c r="K222" s="18">
        <f>VLOOKUP(A222,'[1]Interim '!E:I,5,FALSE)*0.96</f>
        <v>812.16</v>
      </c>
      <c r="L222" s="31">
        <f t="shared" si="33"/>
        <v>3.0544827586206891</v>
      </c>
      <c r="M222" s="19">
        <f t="shared" si="34"/>
        <v>19.107699350338986</v>
      </c>
      <c r="N222" s="57">
        <f t="shared" si="35"/>
        <v>0.15985612410038783</v>
      </c>
    </row>
    <row r="223" spans="1:14" x14ac:dyDescent="0.2">
      <c r="A223" s="16">
        <v>4630</v>
      </c>
      <c r="B223" s="17">
        <f>VLOOKUP(A223,'[1]Nebris 11.27'!E:I,5,FALSE)</f>
        <v>634</v>
      </c>
      <c r="C223" s="4">
        <f>VLOOKUP(A223,'[1]Nebris 11.28.23'!E:I,5,FALSE)</f>
        <v>638</v>
      </c>
      <c r="D223" s="56">
        <f t="shared" si="31"/>
        <v>-4</v>
      </c>
      <c r="E223" s="18">
        <f t="shared" si="30"/>
        <v>636</v>
      </c>
      <c r="F223" s="4">
        <v>2</v>
      </c>
      <c r="G223" s="4">
        <v>7</v>
      </c>
      <c r="H223" s="4">
        <v>3.6419150762423635E-2</v>
      </c>
      <c r="I223" s="4">
        <v>216</v>
      </c>
      <c r="J223" s="4" t="str">
        <f t="shared" si="32"/>
        <v xml:space="preserve">10% MDGS Constant </v>
      </c>
      <c r="K223" s="18">
        <f>VLOOKUP(A223,'[1]Interim '!E:I,5,FALSE)*0.96</f>
        <v>856.31999999999994</v>
      </c>
      <c r="L223" s="31">
        <f t="shared" si="33"/>
        <v>3.7986206896551713</v>
      </c>
      <c r="M223" s="19">
        <f t="shared" si="34"/>
        <v>20.398789655593223</v>
      </c>
      <c r="N223" s="57">
        <f t="shared" si="35"/>
        <v>0.18621794497565264</v>
      </c>
    </row>
    <row r="224" spans="1:14" x14ac:dyDescent="0.2">
      <c r="A224" s="16">
        <v>4673</v>
      </c>
      <c r="B224" s="17">
        <f>VLOOKUP(A224,'[1]Nebris 11.27'!E:I,5,FALSE)</f>
        <v>636</v>
      </c>
      <c r="C224" s="4">
        <f>VLOOKUP(A224,'[1]Nebris 11.28.23'!E:I,5,FALSE)</f>
        <v>636</v>
      </c>
      <c r="D224" s="56">
        <f t="shared" si="31"/>
        <v>0</v>
      </c>
      <c r="E224" s="18">
        <f t="shared" si="30"/>
        <v>636</v>
      </c>
      <c r="F224" s="4">
        <v>2</v>
      </c>
      <c r="G224" s="4">
        <v>7</v>
      </c>
      <c r="H224" s="4">
        <v>6.6503652804393742E-2</v>
      </c>
      <c r="I224" s="4">
        <v>301</v>
      </c>
      <c r="J224" s="4" t="str">
        <f t="shared" si="32"/>
        <v xml:space="preserve">25% MDGS Constant </v>
      </c>
      <c r="K224" s="18">
        <f>VLOOKUP(A224,'[1]Interim '!E:I,5,FALSE)*0.96</f>
        <v>827.52</v>
      </c>
      <c r="L224" s="31">
        <f t="shared" si="33"/>
        <v>3.3020689655172411</v>
      </c>
      <c r="M224" s="19">
        <f t="shared" si="34"/>
        <v>19.764340823559323</v>
      </c>
      <c r="N224" s="57">
        <f t="shared" si="35"/>
        <v>0.16707205137755651</v>
      </c>
    </row>
    <row r="225" spans="1:14" x14ac:dyDescent="0.2">
      <c r="A225" s="16">
        <v>4633</v>
      </c>
      <c r="B225" s="17">
        <f>VLOOKUP(A225,'[1]Nebris 11.27'!E:I,5,FALSE)</f>
        <v>634</v>
      </c>
      <c r="C225" s="4">
        <f>VLOOKUP(A225,'[1]Nebris 11.28.23'!E:I,5,FALSE)</f>
        <v>650</v>
      </c>
      <c r="D225" s="56">
        <f t="shared" si="31"/>
        <v>-16</v>
      </c>
      <c r="E225" s="18">
        <f t="shared" si="30"/>
        <v>642</v>
      </c>
      <c r="F225" s="4">
        <v>2</v>
      </c>
      <c r="G225" s="4">
        <v>7</v>
      </c>
      <c r="H225" s="4">
        <v>0.10477043325720292</v>
      </c>
      <c r="I225" s="4" t="s">
        <v>47</v>
      </c>
      <c r="J225" s="4" t="e">
        <f t="shared" si="32"/>
        <v>#N/A</v>
      </c>
      <c r="K225" s="22"/>
      <c r="L225" s="31" t="s">
        <v>43</v>
      </c>
      <c r="M225" s="19" t="e">
        <f t="shared" si="34"/>
        <v>#N/A</v>
      </c>
      <c r="N225" s="57" t="e">
        <f t="shared" si="35"/>
        <v>#VALUE!</v>
      </c>
    </row>
    <row r="226" spans="1:14" x14ac:dyDescent="0.2">
      <c r="A226" s="16">
        <v>4487</v>
      </c>
      <c r="B226" s="17">
        <f>VLOOKUP(A226,'[1]Nebris 11.27'!E:I,5,FALSE)</f>
        <v>634</v>
      </c>
      <c r="C226" s="4">
        <f>VLOOKUP(A226,'[1]Nebris 11.28.23'!E:I,5,FALSE)</f>
        <v>634</v>
      </c>
      <c r="D226" s="56">
        <f t="shared" si="31"/>
        <v>0</v>
      </c>
      <c r="E226" s="18">
        <f t="shared" si="30"/>
        <v>634</v>
      </c>
      <c r="F226" s="4">
        <v>2</v>
      </c>
      <c r="G226" s="4">
        <v>7</v>
      </c>
      <c r="H226" s="4">
        <v>0.12394927416353607</v>
      </c>
      <c r="I226" s="4">
        <v>303</v>
      </c>
      <c r="J226" s="4" t="str">
        <f t="shared" si="32"/>
        <v>Control</v>
      </c>
      <c r="K226" s="18">
        <f>VLOOKUP(A226,'[1]Interim '!E:I,5,FALSE)*0.96</f>
        <v>783.36</v>
      </c>
      <c r="L226" s="31">
        <f t="shared" si="33"/>
        <v>2.5751724137931036</v>
      </c>
      <c r="M226" s="19">
        <f t="shared" si="34"/>
        <v>18.063320037796611</v>
      </c>
      <c r="N226" s="57">
        <f t="shared" si="35"/>
        <v>0.14256362664253755</v>
      </c>
    </row>
    <row r="227" spans="1:14" x14ac:dyDescent="0.2">
      <c r="A227" s="16">
        <v>4369</v>
      </c>
      <c r="B227" s="17">
        <f>VLOOKUP(A227,'[1]Nebris 11.27'!E:I,5,FALSE)</f>
        <v>636</v>
      </c>
      <c r="C227" s="4">
        <f>VLOOKUP(A227,'[1]Nebris 11.28.23'!E:I,5,FALSE)</f>
        <v>660</v>
      </c>
      <c r="D227" s="56">
        <f t="shared" si="31"/>
        <v>-24</v>
      </c>
      <c r="E227" s="18">
        <f t="shared" si="30"/>
        <v>648</v>
      </c>
      <c r="F227" s="4">
        <v>2</v>
      </c>
      <c r="G227" s="4">
        <v>7</v>
      </c>
      <c r="H227" s="4">
        <v>0.15909750920594623</v>
      </c>
      <c r="I227" s="4">
        <v>304</v>
      </c>
      <c r="J227" s="4" t="str">
        <f t="shared" si="32"/>
        <v>10% MDGS Variable</v>
      </c>
      <c r="K227" s="18">
        <f>VLOOKUP(A227,'[1]Interim '!E:I,5,FALSE)*0.96</f>
        <v>787.19999999999993</v>
      </c>
      <c r="L227" s="31">
        <f t="shared" si="33"/>
        <v>2.399999999999999</v>
      </c>
      <c r="M227" s="19">
        <f t="shared" si="34"/>
        <v>18.555515762033892</v>
      </c>
      <c r="N227" s="57">
        <f t="shared" si="35"/>
        <v>0.12934159474621534</v>
      </c>
    </row>
    <row r="228" spans="1:14" x14ac:dyDescent="0.2">
      <c r="A228" s="16">
        <v>4430</v>
      </c>
      <c r="B228" s="17">
        <f>VLOOKUP(A228,'[1]Nebris 11.27'!E:I,5,FALSE)</f>
        <v>636</v>
      </c>
      <c r="C228" s="4">
        <f>VLOOKUP(A228,'[1]Nebris 11.28.23'!E:I,5,FALSE)</f>
        <v>638</v>
      </c>
      <c r="D228" s="56">
        <f t="shared" si="31"/>
        <v>-2</v>
      </c>
      <c r="E228" s="18">
        <f t="shared" si="30"/>
        <v>637</v>
      </c>
      <c r="F228" s="4">
        <v>2</v>
      </c>
      <c r="G228" s="4">
        <v>7</v>
      </c>
      <c r="H228" s="4">
        <v>0.26274818039795567</v>
      </c>
      <c r="I228" s="4">
        <v>305</v>
      </c>
      <c r="J228" s="4" t="str">
        <f t="shared" si="32"/>
        <v xml:space="preserve">10% MDGS Constant </v>
      </c>
      <c r="K228" s="18">
        <f>VLOOKUP(A228,'[1]Interim '!E:I,5,FALSE)*0.96</f>
        <v>735.36</v>
      </c>
      <c r="L228" s="31">
        <f t="shared" si="33"/>
        <v>1.6958620689655175</v>
      </c>
      <c r="M228" s="19">
        <f t="shared" si="34"/>
        <v>18.368632711016947</v>
      </c>
      <c r="N228" s="57">
        <f t="shared" si="35"/>
        <v>9.2323805241551329E-2</v>
      </c>
    </row>
    <row r="229" spans="1:14" x14ac:dyDescent="0.2">
      <c r="A229" s="16">
        <v>4417</v>
      </c>
      <c r="B229" s="17">
        <f>VLOOKUP(A229,'[1]Nebris 11.27'!E:I,5,FALSE)</f>
        <v>636</v>
      </c>
      <c r="C229" s="4">
        <f>VLOOKUP(A229,'[1]Nebris 11.28.23'!E:I,5,FALSE)</f>
        <v>632</v>
      </c>
      <c r="D229" s="56">
        <f t="shared" si="31"/>
        <v>4</v>
      </c>
      <c r="E229" s="18">
        <f t="shared" si="30"/>
        <v>634</v>
      </c>
      <c r="F229" s="4">
        <v>2</v>
      </c>
      <c r="G229" s="4">
        <v>7</v>
      </c>
      <c r="H229" s="4">
        <v>0.29915721759852687</v>
      </c>
      <c r="I229" s="4">
        <v>306</v>
      </c>
      <c r="J229" s="4" t="str">
        <f t="shared" si="32"/>
        <v>Control</v>
      </c>
      <c r="K229" s="18">
        <f>VLOOKUP(A229,'[1]Interim '!E:I,5,FALSE)*0.96</f>
        <v>858.24</v>
      </c>
      <c r="L229" s="31">
        <f t="shared" si="33"/>
        <v>3.8662068965517244</v>
      </c>
      <c r="M229" s="19">
        <f t="shared" si="34"/>
        <v>19.337783459491533</v>
      </c>
      <c r="N229" s="57">
        <f t="shared" si="35"/>
        <v>0.19993019906601966</v>
      </c>
    </row>
    <row r="230" spans="1:14" x14ac:dyDescent="0.2">
      <c r="A230" s="16">
        <v>4597</v>
      </c>
      <c r="B230" s="17">
        <f>VLOOKUP(A230,'[1]Nebris 11.27'!E:I,5,FALSE)</f>
        <v>634</v>
      </c>
      <c r="C230" s="4">
        <f>VLOOKUP(A230,'[1]Nebris 11.28.23'!E:I,5,FALSE)</f>
        <v>620</v>
      </c>
      <c r="D230" s="56">
        <f t="shared" si="31"/>
        <v>14</v>
      </c>
      <c r="E230" s="18">
        <f t="shared" si="30"/>
        <v>627</v>
      </c>
      <c r="F230" s="4">
        <v>2</v>
      </c>
      <c r="G230" s="4">
        <v>7</v>
      </c>
      <c r="H230" s="4">
        <v>0.32107701921841525</v>
      </c>
      <c r="I230" s="4">
        <v>307</v>
      </c>
      <c r="J230" s="4" t="str">
        <f t="shared" si="32"/>
        <v>25% MDGS Variable</v>
      </c>
      <c r="K230" s="18">
        <f>VLOOKUP(A230,'[1]Interim '!E:I,5,FALSE)*0.96</f>
        <v>762.24</v>
      </c>
      <c r="L230" s="31">
        <f t="shared" si="33"/>
        <v>2.3317241379310345</v>
      </c>
      <c r="M230" s="19">
        <f t="shared" si="34"/>
        <v>19.036105591355938</v>
      </c>
      <c r="N230" s="57">
        <f t="shared" si="35"/>
        <v>0.12248955684453872</v>
      </c>
    </row>
    <row r="231" spans="1:14" x14ac:dyDescent="0.2">
      <c r="A231" s="16">
        <v>4429</v>
      </c>
      <c r="B231" s="17">
        <f>VLOOKUP(A231,'[1]Nebris 11.27'!E:I,5,FALSE)</f>
        <v>636</v>
      </c>
      <c r="C231" s="4">
        <f>VLOOKUP(A231,'[1]Nebris 11.28.23'!E:I,5,FALSE)</f>
        <v>638</v>
      </c>
      <c r="D231" s="56">
        <f t="shared" si="31"/>
        <v>-2</v>
      </c>
      <c r="E231" s="18">
        <f t="shared" si="30"/>
        <v>637</v>
      </c>
      <c r="F231" s="4">
        <v>2</v>
      </c>
      <c r="G231" s="4">
        <v>7</v>
      </c>
      <c r="H231" s="4">
        <v>0.36711200468667959</v>
      </c>
      <c r="I231" s="4">
        <v>308</v>
      </c>
      <c r="J231" s="4" t="str">
        <f t="shared" si="32"/>
        <v xml:space="preserve">25% MDGS Constant </v>
      </c>
      <c r="K231" s="18">
        <f>VLOOKUP(A231,'[1]Interim '!E:I,5,FALSE)*0.96</f>
        <v>819.83999999999992</v>
      </c>
      <c r="L231" s="31">
        <f t="shared" si="33"/>
        <v>3.152413793103447</v>
      </c>
      <c r="M231" s="19">
        <f t="shared" si="34"/>
        <v>19.826311333050853</v>
      </c>
      <c r="N231" s="57">
        <f t="shared" si="35"/>
        <v>0.15900152782571869</v>
      </c>
    </row>
    <row r="232" spans="1:14" x14ac:dyDescent="0.2">
      <c r="A232" s="16">
        <v>4393</v>
      </c>
      <c r="B232" s="17">
        <f>VLOOKUP(A232,'[1]Nebris 11.27'!E:I,5,FALSE)</f>
        <v>636</v>
      </c>
      <c r="C232" s="4">
        <f>VLOOKUP(A232,'[1]Nebris 11.28.23'!E:I,5,FALSE)</f>
        <v>626</v>
      </c>
      <c r="D232" s="56">
        <f t="shared" si="31"/>
        <v>10</v>
      </c>
      <c r="E232" s="18">
        <f t="shared" si="30"/>
        <v>631</v>
      </c>
      <c r="F232" s="4">
        <v>2</v>
      </c>
      <c r="G232" s="4">
        <v>7</v>
      </c>
      <c r="H232" s="4">
        <v>0.37686400122695018</v>
      </c>
      <c r="I232" s="4">
        <v>309</v>
      </c>
      <c r="J232" s="4" t="str">
        <f t="shared" si="32"/>
        <v>Control</v>
      </c>
      <c r="K232" s="18">
        <f>VLOOKUP(A232,'[1]Interim '!E:I,5,FALSE)*0.96</f>
        <v>885.12</v>
      </c>
      <c r="L232" s="31">
        <f t="shared" si="33"/>
        <v>4.381379310344828</v>
      </c>
      <c r="M232" s="19">
        <f t="shared" si="34"/>
        <v>19.729599065254234</v>
      </c>
      <c r="N232" s="57">
        <f t="shared" si="35"/>
        <v>0.22207138096692841</v>
      </c>
    </row>
    <row r="233" spans="1:14" x14ac:dyDescent="0.2">
      <c r="A233" s="16">
        <v>4440</v>
      </c>
      <c r="B233" s="17">
        <f>VLOOKUP(A233,'[1]Nebris 11.27'!E:I,5,FALSE)</f>
        <v>636</v>
      </c>
      <c r="C233" s="4">
        <f>VLOOKUP(A233,'[1]Nebris 11.28.23'!E:I,5,FALSE)</f>
        <v>650</v>
      </c>
      <c r="D233" s="56">
        <f t="shared" si="31"/>
        <v>-14</v>
      </c>
      <c r="E233" s="18">
        <f t="shared" si="30"/>
        <v>643</v>
      </c>
      <c r="F233" s="4">
        <v>2</v>
      </c>
      <c r="G233" s="4">
        <v>7</v>
      </c>
      <c r="H233" s="4">
        <v>0.40945202089975485</v>
      </c>
      <c r="I233" s="4">
        <v>310</v>
      </c>
      <c r="J233" s="4" t="str">
        <f t="shared" si="32"/>
        <v>10% MDGS Variable</v>
      </c>
      <c r="K233" s="18">
        <f>VLOOKUP(A233,'[1]Interim '!E:I,5,FALSE)*0.96</f>
        <v>896.64</v>
      </c>
      <c r="L233" s="31">
        <f t="shared" si="33"/>
        <v>4.3731034482758622</v>
      </c>
      <c r="M233" s="19">
        <f t="shared" si="34"/>
        <v>20.764816593728806</v>
      </c>
      <c r="N233" s="57">
        <f t="shared" si="35"/>
        <v>0.21060159277287263</v>
      </c>
    </row>
    <row r="234" spans="1:14" x14ac:dyDescent="0.2">
      <c r="A234" s="16">
        <v>4452</v>
      </c>
      <c r="B234" s="17">
        <f>VLOOKUP(A234,'[1]Nebris 11.27'!E:I,5,FALSE)</f>
        <v>636</v>
      </c>
      <c r="C234" s="4">
        <f>VLOOKUP(A234,'[1]Nebris 11.28.23'!E:I,5,FALSE)</f>
        <v>650</v>
      </c>
      <c r="D234" s="56">
        <f t="shared" si="31"/>
        <v>-14</v>
      </c>
      <c r="E234" s="18">
        <f t="shared" si="30"/>
        <v>643</v>
      </c>
      <c r="F234" s="4">
        <v>2</v>
      </c>
      <c r="G234" s="4">
        <v>7</v>
      </c>
      <c r="H234" s="4">
        <v>0.46769112593226836</v>
      </c>
      <c r="I234" s="4">
        <v>311</v>
      </c>
      <c r="J234" s="4" t="str">
        <f t="shared" si="32"/>
        <v xml:space="preserve">10% MDGS Constant </v>
      </c>
      <c r="K234" s="18">
        <f>VLOOKUP(A234,'[1]Interim '!E:I,5,FALSE)*0.96</f>
        <v>835.19999999999993</v>
      </c>
      <c r="L234" s="31">
        <f t="shared" si="33"/>
        <v>3.3137931034482748</v>
      </c>
      <c r="M234" s="19">
        <f t="shared" si="34"/>
        <v>21.070004804237286</v>
      </c>
      <c r="N234" s="57">
        <f t="shared" si="35"/>
        <v>0.15727538433127713</v>
      </c>
    </row>
    <row r="235" spans="1:14" x14ac:dyDescent="0.2">
      <c r="A235" s="16">
        <v>4672</v>
      </c>
      <c r="B235" s="17">
        <f>VLOOKUP(A235,'[1]Nebris 11.27'!E:I,5,FALSE)</f>
        <v>636</v>
      </c>
      <c r="C235" s="4">
        <f>VLOOKUP(A235,'[1]Nebris 11.28.23'!E:I,5,FALSE)</f>
        <v>638</v>
      </c>
      <c r="D235" s="56">
        <f t="shared" si="31"/>
        <v>-2</v>
      </c>
      <c r="E235" s="18">
        <f t="shared" si="30"/>
        <v>637</v>
      </c>
      <c r="F235" s="4">
        <v>2</v>
      </c>
      <c r="G235" s="4">
        <v>7</v>
      </c>
      <c r="H235" s="4">
        <v>0.55927023133768916</v>
      </c>
      <c r="I235" s="4">
        <v>312</v>
      </c>
      <c r="J235" s="4" t="str">
        <f t="shared" si="32"/>
        <v xml:space="preserve">25% MDGS Constant </v>
      </c>
      <c r="K235" s="18">
        <f>VLOOKUP(A235,'[1]Interim '!E:I,5,FALSE)*0.96</f>
        <v>768</v>
      </c>
      <c r="L235" s="31">
        <f t="shared" si="33"/>
        <v>2.2586206896551726</v>
      </c>
      <c r="M235" s="19">
        <f t="shared" si="34"/>
        <v>20.726410488305085</v>
      </c>
      <c r="N235" s="57">
        <f t="shared" si="35"/>
        <v>0.10897307524279727</v>
      </c>
    </row>
    <row r="236" spans="1:14" x14ac:dyDescent="0.2">
      <c r="A236" s="16">
        <v>4596</v>
      </c>
      <c r="B236" s="17">
        <f>VLOOKUP(A236,'[1]Nebris 11.27'!E:I,5,FALSE)</f>
        <v>636</v>
      </c>
      <c r="C236" s="4">
        <f>VLOOKUP(A236,'[1]Nebris 11.28.23'!E:I,5,FALSE)</f>
        <v>656</v>
      </c>
      <c r="D236" s="56">
        <f t="shared" si="31"/>
        <v>-20</v>
      </c>
      <c r="E236" s="18">
        <f t="shared" si="30"/>
        <v>646</v>
      </c>
      <c r="F236" s="4">
        <v>2</v>
      </c>
      <c r="G236" s="4">
        <v>7</v>
      </c>
      <c r="H236" s="4">
        <v>0.55946420855368917</v>
      </c>
      <c r="I236" s="4">
        <v>313</v>
      </c>
      <c r="J236" s="4" t="str">
        <f t="shared" si="32"/>
        <v>25% MDGS Variable</v>
      </c>
      <c r="K236" s="18">
        <f>VLOOKUP(A236,'[1]Interim '!E:I,5,FALSE)*0.96</f>
        <v>794.88</v>
      </c>
      <c r="L236" s="31">
        <f t="shared" si="33"/>
        <v>2.5668965517241378</v>
      </c>
      <c r="M236" s="19">
        <f t="shared" si="34"/>
        <v>20.372524565423721</v>
      </c>
      <c r="N236" s="57">
        <f t="shared" si="35"/>
        <v>0.12599796080652068</v>
      </c>
    </row>
    <row r="237" spans="1:14" x14ac:dyDescent="0.2">
      <c r="A237" s="16">
        <v>4693</v>
      </c>
      <c r="B237" s="17">
        <f>VLOOKUP(A237,'[1]Nebris 11.27'!E:I,5,FALSE)</f>
        <v>636</v>
      </c>
      <c r="C237" s="4">
        <f>VLOOKUP(A237,'[1]Nebris 11.28.23'!E:I,5,FALSE)</f>
        <v>656</v>
      </c>
      <c r="D237" s="56">
        <f t="shared" si="31"/>
        <v>-20</v>
      </c>
      <c r="E237" s="18">
        <f t="shared" si="30"/>
        <v>646</v>
      </c>
      <c r="F237" s="4">
        <v>2</v>
      </c>
      <c r="G237" s="4">
        <v>7</v>
      </c>
      <c r="H237" s="4">
        <v>0.66454971431494503</v>
      </c>
      <c r="I237" s="4">
        <v>314</v>
      </c>
      <c r="J237" s="4" t="str">
        <f t="shared" si="32"/>
        <v>25% MDGS Variable</v>
      </c>
      <c r="K237" s="18">
        <f>VLOOKUP(A237,'[1]Interim '!E:I,5,FALSE)*0.96</f>
        <v>871.68</v>
      </c>
      <c r="L237" s="31">
        <f t="shared" si="33"/>
        <v>3.8910344827586196</v>
      </c>
      <c r="M237" s="19">
        <f t="shared" si="34"/>
        <v>21.54037682898305</v>
      </c>
      <c r="N237" s="57">
        <f t="shared" si="35"/>
        <v>0.18063910922501353</v>
      </c>
    </row>
    <row r="238" spans="1:14" x14ac:dyDescent="0.2">
      <c r="A238" s="16">
        <v>4604</v>
      </c>
      <c r="B238" s="17">
        <f>VLOOKUP(A238,'[1]Nebris 11.27'!E:I,5,FALSE)</f>
        <v>634</v>
      </c>
      <c r="C238" s="4">
        <f>VLOOKUP(A238,'[1]Nebris 11.28.23'!E:I,5,FALSE)</f>
        <v>630</v>
      </c>
      <c r="D238" s="56">
        <f t="shared" si="31"/>
        <v>4</v>
      </c>
      <c r="E238" s="18">
        <f t="shared" si="30"/>
        <v>632</v>
      </c>
      <c r="F238" s="4">
        <v>2</v>
      </c>
      <c r="G238" s="4">
        <v>7</v>
      </c>
      <c r="H238" s="4">
        <v>0.66491261169906279</v>
      </c>
      <c r="I238" s="4">
        <v>315</v>
      </c>
      <c r="J238" s="4" t="str">
        <f t="shared" si="32"/>
        <v xml:space="preserve">25% MDGS Constant </v>
      </c>
      <c r="K238" s="18">
        <f>VLOOKUP(A238,'[1]Interim '!E:I,5,FALSE)*0.96</f>
        <v>823.68</v>
      </c>
      <c r="L238" s="31">
        <f t="shared" si="33"/>
        <v>3.3048275862068959</v>
      </c>
      <c r="M238" s="19">
        <f t="shared" si="34"/>
        <v>20.610381563389829</v>
      </c>
      <c r="N238" s="57">
        <f t="shared" si="35"/>
        <v>0.16034771486604854</v>
      </c>
    </row>
    <row r="239" spans="1:14" x14ac:dyDescent="0.2">
      <c r="A239" s="16">
        <v>4732</v>
      </c>
      <c r="B239" s="17">
        <f>VLOOKUP(A239,'[1]Nebris 11.27'!E:I,5,FALSE)</f>
        <v>636</v>
      </c>
      <c r="C239" s="4">
        <f>VLOOKUP(A239,'[1]Nebris 11.28.23'!E:I,5,FALSE)</f>
        <v>632</v>
      </c>
      <c r="D239" s="56">
        <f t="shared" si="31"/>
        <v>4</v>
      </c>
      <c r="E239" s="18">
        <f t="shared" si="30"/>
        <v>634</v>
      </c>
      <c r="F239" s="4">
        <v>2</v>
      </c>
      <c r="G239" s="4">
        <v>7</v>
      </c>
      <c r="H239" s="4">
        <v>0.76016382012336081</v>
      </c>
      <c r="I239" s="4">
        <v>316</v>
      </c>
      <c r="J239" s="4" t="str">
        <f t="shared" si="32"/>
        <v xml:space="preserve">10% MDGS Constant </v>
      </c>
      <c r="K239" s="18">
        <f>VLOOKUP(A239,'[1]Interim '!E:I,5,FALSE)*0.96</f>
        <v>917.76</v>
      </c>
      <c r="L239" s="31">
        <f t="shared" si="33"/>
        <v>4.8924137931034481</v>
      </c>
      <c r="M239" s="19">
        <f t="shared" si="34"/>
        <v>20.102195246101697</v>
      </c>
      <c r="N239" s="57">
        <f t="shared" si="35"/>
        <v>0.24337709057184717</v>
      </c>
    </row>
    <row r="240" spans="1:14" x14ac:dyDescent="0.2">
      <c r="A240" s="16">
        <v>4556</v>
      </c>
      <c r="B240" s="17">
        <f>VLOOKUP(A240,'[1]Nebris 11.27'!E:I,5,FALSE)</f>
        <v>636</v>
      </c>
      <c r="C240" s="4">
        <f>VLOOKUP(A240,'[1]Nebris 11.28.23'!E:I,5,FALSE)</f>
        <v>624</v>
      </c>
      <c r="D240" s="56">
        <f t="shared" si="31"/>
        <v>12</v>
      </c>
      <c r="E240" s="18">
        <f t="shared" si="30"/>
        <v>630</v>
      </c>
      <c r="F240" s="4">
        <v>2</v>
      </c>
      <c r="G240" s="4">
        <v>7</v>
      </c>
      <c r="H240" s="4">
        <v>0.91868338669885408</v>
      </c>
      <c r="I240" s="4">
        <v>317</v>
      </c>
      <c r="J240" s="4" t="str">
        <f t="shared" si="32"/>
        <v>Control</v>
      </c>
      <c r="K240" s="18">
        <f>VLOOKUP(A240,'[1]Interim '!E:I,5,FALSE)*0.96</f>
        <v>775.68</v>
      </c>
      <c r="L240" s="31">
        <f t="shared" si="33"/>
        <v>2.5117241379310338</v>
      </c>
      <c r="M240" s="19">
        <f t="shared" si="34"/>
        <v>19.655293186271191</v>
      </c>
      <c r="N240" s="57">
        <f t="shared" si="35"/>
        <v>0.12778868847834945</v>
      </c>
    </row>
    <row r="241" spans="1:14" x14ac:dyDescent="0.2">
      <c r="A241" s="16">
        <v>4416</v>
      </c>
      <c r="B241" s="17">
        <f>VLOOKUP(A241,'[1]Nebris 11.27'!E:I,5,FALSE)</f>
        <v>636</v>
      </c>
      <c r="C241" s="4">
        <f>VLOOKUP(A241,'[1]Nebris 11.28.23'!E:I,5,FALSE)</f>
        <v>650</v>
      </c>
      <c r="D241" s="56">
        <f t="shared" si="31"/>
        <v>-14</v>
      </c>
      <c r="E241" s="18">
        <f t="shared" si="30"/>
        <v>643</v>
      </c>
      <c r="F241" s="4">
        <v>2</v>
      </c>
      <c r="G241" s="4">
        <v>7</v>
      </c>
      <c r="H241" s="4">
        <v>0.93864889182117972</v>
      </c>
      <c r="I241" s="4">
        <v>318</v>
      </c>
      <c r="J241" s="4" t="str">
        <f t="shared" si="32"/>
        <v>10% MDGS Variable</v>
      </c>
      <c r="K241" s="18">
        <f>VLOOKUP(A241,'[1]Interim '!E:I,5,FALSE)*0.96</f>
        <v>852.48</v>
      </c>
      <c r="L241" s="31">
        <f t="shared" si="33"/>
        <v>3.6117241379310348</v>
      </c>
      <c r="M241" s="19">
        <f t="shared" si="34"/>
        <v>20.764816593728806</v>
      </c>
      <c r="N241" s="57">
        <f t="shared" si="35"/>
        <v>0.17393479598667938</v>
      </c>
    </row>
    <row r="242" spans="1:14" x14ac:dyDescent="0.2">
      <c r="A242" s="16">
        <v>4327</v>
      </c>
      <c r="B242" s="17">
        <f>VLOOKUP(A242,'[1]Nebris 11.27'!E:I,5,FALSE)</f>
        <v>646</v>
      </c>
      <c r="C242" s="4">
        <f>VLOOKUP(A242,'[1]Nebris 11.28.23'!E:I,5,FALSE)</f>
        <v>650</v>
      </c>
      <c r="D242" s="56">
        <f t="shared" si="31"/>
        <v>-4</v>
      </c>
      <c r="E242" s="18">
        <f t="shared" si="30"/>
        <v>648</v>
      </c>
      <c r="F242" s="4">
        <v>2</v>
      </c>
      <c r="G242" s="4">
        <v>8</v>
      </c>
      <c r="H242" s="4">
        <v>5.5496116585426636E-2</v>
      </c>
      <c r="I242" s="4">
        <v>215</v>
      </c>
      <c r="J242" s="4" t="str">
        <f t="shared" si="32"/>
        <v>10% MDGS Variable</v>
      </c>
      <c r="K242" s="18">
        <f>VLOOKUP(A242,'[1]Interim '!E:I,5,FALSE)*0.96</f>
        <v>837.12</v>
      </c>
      <c r="L242" s="31">
        <f t="shared" si="33"/>
        <v>3.2606896551724138</v>
      </c>
      <c r="M242" s="19">
        <f t="shared" si="34"/>
        <v>19.107699350338986</v>
      </c>
      <c r="N242" s="57">
        <f t="shared" si="35"/>
        <v>0.17064794643184328</v>
      </c>
    </row>
    <row r="243" spans="1:14" x14ac:dyDescent="0.2">
      <c r="A243" s="16">
        <v>4592</v>
      </c>
      <c r="B243" s="17">
        <f>VLOOKUP(A243,'[1]Nebris 11.27'!E:I,5,FALSE)</f>
        <v>638</v>
      </c>
      <c r="C243" s="4">
        <f>VLOOKUP(A243,'[1]Nebris 11.28.23'!E:I,5,FALSE)</f>
        <v>624</v>
      </c>
      <c r="D243" s="56">
        <f t="shared" si="31"/>
        <v>14</v>
      </c>
      <c r="E243" s="18">
        <f t="shared" si="30"/>
        <v>631</v>
      </c>
      <c r="F243" s="4">
        <v>2</v>
      </c>
      <c r="G243" s="4">
        <v>8</v>
      </c>
      <c r="H243" s="4">
        <v>8.4685324292916753E-2</v>
      </c>
      <c r="I243" s="4">
        <v>216</v>
      </c>
      <c r="J243" s="4" t="str">
        <f t="shared" si="32"/>
        <v xml:space="preserve">10% MDGS Constant </v>
      </c>
      <c r="K243" s="18">
        <f>VLOOKUP(A243,'[1]Interim '!E:I,5,FALSE)*0.96</f>
        <v>783.36</v>
      </c>
      <c r="L243" s="31">
        <f t="shared" si="33"/>
        <v>2.6268965517241383</v>
      </c>
      <c r="M243" s="19">
        <f t="shared" si="34"/>
        <v>20.398789655593223</v>
      </c>
      <c r="N243" s="57">
        <f t="shared" si="35"/>
        <v>0.12877707923243667</v>
      </c>
    </row>
    <row r="244" spans="1:14" x14ac:dyDescent="0.2">
      <c r="A244" s="16">
        <v>4358</v>
      </c>
      <c r="B244" s="17">
        <f>VLOOKUP(A244,'[1]Nebris 11.27'!E:I,5,FALSE)</f>
        <v>644</v>
      </c>
      <c r="C244" s="4">
        <f>VLOOKUP(A244,'[1]Nebris 11.28.23'!E:I,5,FALSE)</f>
        <v>650</v>
      </c>
      <c r="D244" s="56">
        <f t="shared" si="31"/>
        <v>-6</v>
      </c>
      <c r="E244" s="18">
        <f t="shared" si="30"/>
        <v>647</v>
      </c>
      <c r="F244" s="4">
        <v>2</v>
      </c>
      <c r="G244" s="4">
        <v>8</v>
      </c>
      <c r="H244" s="4">
        <v>0.11945458948240373</v>
      </c>
      <c r="I244" s="4">
        <v>301</v>
      </c>
      <c r="J244" s="4" t="str">
        <f t="shared" si="32"/>
        <v xml:space="preserve">25% MDGS Constant </v>
      </c>
      <c r="K244" s="18">
        <f>VLOOKUP(A244,'[1]Interim '!E:I,5,FALSE)*0.96</f>
        <v>879.36</v>
      </c>
      <c r="L244" s="31">
        <f t="shared" si="33"/>
        <v>4.0062068965517241</v>
      </c>
      <c r="M244" s="19">
        <f t="shared" si="34"/>
        <v>19.764340823559323</v>
      </c>
      <c r="N244" s="57">
        <f t="shared" si="35"/>
        <v>0.20269873568342231</v>
      </c>
    </row>
    <row r="245" spans="1:14" x14ac:dyDescent="0.2">
      <c r="A245" s="16">
        <v>4762</v>
      </c>
      <c r="B245" s="17">
        <f>VLOOKUP(A245,'[1]Nebris 11.27'!E:I,5,FALSE)</f>
        <v>636</v>
      </c>
      <c r="C245" s="4">
        <f>VLOOKUP(A245,'[1]Nebris 11.28.23'!E:I,5,FALSE)</f>
        <v>640</v>
      </c>
      <c r="D245" s="56">
        <f t="shared" si="31"/>
        <v>-4</v>
      </c>
      <c r="E245" s="18">
        <f t="shared" si="30"/>
        <v>638</v>
      </c>
      <c r="F245" s="4">
        <v>2</v>
      </c>
      <c r="G245" s="4">
        <v>8</v>
      </c>
      <c r="H245" s="4">
        <v>0.21722091891857709</v>
      </c>
      <c r="I245" s="4">
        <v>302</v>
      </c>
      <c r="J245" s="4" t="str">
        <f t="shared" si="32"/>
        <v>25% MDGS Variable</v>
      </c>
      <c r="K245" s="18">
        <f>VLOOKUP(A245,'[1]Interim '!E:I,5,FALSE)*0.96</f>
        <v>865.92</v>
      </c>
      <c r="L245" s="31">
        <f t="shared" si="33"/>
        <v>3.9296551724137925</v>
      </c>
      <c r="M245" s="19">
        <f t="shared" si="34"/>
        <v>18.146163789943504</v>
      </c>
      <c r="N245" s="57">
        <f t="shared" si="35"/>
        <v>0.21655569837805519</v>
      </c>
    </row>
    <row r="246" spans="1:14" x14ac:dyDescent="0.2">
      <c r="A246" s="16">
        <v>4618</v>
      </c>
      <c r="B246" s="17">
        <f>VLOOKUP(A246,'[1]Nebris 11.27'!E:I,5,FALSE)</f>
        <v>640</v>
      </c>
      <c r="C246" s="4">
        <f>VLOOKUP(A246,'[1]Nebris 11.28.23'!E:I,5,FALSE)</f>
        <v>658</v>
      </c>
      <c r="D246" s="56">
        <f t="shared" si="31"/>
        <v>-18</v>
      </c>
      <c r="E246" s="18">
        <f t="shared" si="30"/>
        <v>649</v>
      </c>
      <c r="F246" s="4">
        <v>2</v>
      </c>
      <c r="G246" s="4">
        <v>8</v>
      </c>
      <c r="H246" s="4">
        <v>0.29015142462215926</v>
      </c>
      <c r="I246" s="4">
        <v>303</v>
      </c>
      <c r="J246" s="4" t="str">
        <f t="shared" si="32"/>
        <v>Control</v>
      </c>
      <c r="K246" s="18">
        <f>VLOOKUP(A246,'[1]Interim '!E:I,5,FALSE)*0.96</f>
        <v>823.68</v>
      </c>
      <c r="L246" s="31">
        <f t="shared" si="33"/>
        <v>3.0117241379310338</v>
      </c>
      <c r="M246" s="19">
        <f t="shared" si="34"/>
        <v>18.063320037796611</v>
      </c>
      <c r="N246" s="57">
        <f t="shared" si="35"/>
        <v>0.1667314830069527</v>
      </c>
    </row>
    <row r="247" spans="1:14" x14ac:dyDescent="0.2">
      <c r="A247" s="16">
        <v>4754</v>
      </c>
      <c r="B247" s="17">
        <f>VLOOKUP(A247,'[1]Nebris 11.27'!E:I,5,FALSE)</f>
        <v>646</v>
      </c>
      <c r="C247" s="4">
        <f>VLOOKUP(A247,'[1]Nebris 11.28.23'!E:I,5,FALSE)</f>
        <v>656</v>
      </c>
      <c r="D247" s="56">
        <f t="shared" si="31"/>
        <v>-10</v>
      </c>
      <c r="E247" s="18">
        <f t="shared" si="30"/>
        <v>651</v>
      </c>
      <c r="F247" s="4">
        <v>2</v>
      </c>
      <c r="G247" s="4">
        <v>8</v>
      </c>
      <c r="H247" s="4">
        <v>0.29417860854240463</v>
      </c>
      <c r="I247" s="4">
        <v>304</v>
      </c>
      <c r="J247" s="4" t="str">
        <f t="shared" si="32"/>
        <v>10% MDGS Variable</v>
      </c>
      <c r="K247" s="18">
        <f>VLOOKUP(A247,'[1]Interim '!E:I,5,FALSE)*0.96</f>
        <v>685.43999999999994</v>
      </c>
      <c r="L247" s="31">
        <f t="shared" si="33"/>
        <v>0.59379310344827485</v>
      </c>
      <c r="M247" s="19">
        <f t="shared" si="34"/>
        <v>18.555515762033892</v>
      </c>
      <c r="N247" s="57">
        <f t="shared" si="35"/>
        <v>3.2000894562210135E-2</v>
      </c>
    </row>
    <row r="248" spans="1:14" x14ac:dyDescent="0.2">
      <c r="A248" s="16">
        <v>4366</v>
      </c>
      <c r="B248" s="17">
        <f>VLOOKUP(A248,'[1]Nebris 11.27'!E:I,5,FALSE)</f>
        <v>646</v>
      </c>
      <c r="C248" s="4">
        <f>VLOOKUP(A248,'[1]Nebris 11.28.23'!E:I,5,FALSE)</f>
        <v>646</v>
      </c>
      <c r="D248" s="56">
        <f t="shared" si="31"/>
        <v>0</v>
      </c>
      <c r="E248" s="18">
        <f t="shared" si="30"/>
        <v>646</v>
      </c>
      <c r="F248" s="4">
        <v>2</v>
      </c>
      <c r="G248" s="4">
        <v>8</v>
      </c>
      <c r="H248" s="4">
        <v>0.40128894866417852</v>
      </c>
      <c r="I248" s="4">
        <v>305</v>
      </c>
      <c r="J248" s="4" t="str">
        <f t="shared" si="32"/>
        <v xml:space="preserve">10% MDGS Constant </v>
      </c>
      <c r="K248" s="18">
        <f>VLOOKUP(A248,'[1]Interim '!E:I,5,FALSE)*0.96</f>
        <v>898.56</v>
      </c>
      <c r="L248" s="31">
        <f t="shared" si="33"/>
        <v>4.3544827586206889</v>
      </c>
      <c r="M248" s="19">
        <f t="shared" si="34"/>
        <v>18.368632711016947</v>
      </c>
      <c r="N248" s="57">
        <f t="shared" si="35"/>
        <v>0.2370607996320272</v>
      </c>
    </row>
    <row r="249" spans="1:14" x14ac:dyDescent="0.2">
      <c r="A249" s="16">
        <v>4741</v>
      </c>
      <c r="B249" s="17">
        <f>VLOOKUP(A249,'[1]Nebris 11.27'!E:I,5,FALSE)</f>
        <v>646</v>
      </c>
      <c r="C249" s="4">
        <f>VLOOKUP(A249,'[1]Nebris 11.28.23'!E:I,5,FALSE)</f>
        <v>652</v>
      </c>
      <c r="D249" s="56">
        <f t="shared" si="31"/>
        <v>-6</v>
      </c>
      <c r="E249" s="18">
        <f t="shared" si="30"/>
        <v>649</v>
      </c>
      <c r="F249" s="4">
        <v>2</v>
      </c>
      <c r="G249" s="4">
        <v>8</v>
      </c>
      <c r="H249" s="4">
        <v>0.42236184647911612</v>
      </c>
      <c r="I249" s="4">
        <v>306</v>
      </c>
      <c r="J249" s="4" t="str">
        <f t="shared" si="32"/>
        <v>Control</v>
      </c>
      <c r="K249" s="18">
        <f>VLOOKUP(A249,'[1]Interim '!E:I,5,FALSE)*0.96</f>
        <v>806.4</v>
      </c>
      <c r="L249" s="31">
        <f t="shared" si="33"/>
        <v>2.7137931034482756</v>
      </c>
      <c r="M249" s="19">
        <f t="shared" si="34"/>
        <v>19.337783459491533</v>
      </c>
      <c r="N249" s="57">
        <f t="shared" si="35"/>
        <v>0.14033630633692246</v>
      </c>
    </row>
    <row r="250" spans="1:14" x14ac:dyDescent="0.2">
      <c r="A250" s="16">
        <v>4372</v>
      </c>
      <c r="B250" s="17">
        <f>VLOOKUP(A250,'[1]Nebris 11.27'!E:I,5,FALSE)</f>
        <v>644</v>
      </c>
      <c r="C250" s="4">
        <f>VLOOKUP(A250,'[1]Nebris 11.28.23'!E:I,5,FALSE)</f>
        <v>656</v>
      </c>
      <c r="D250" s="56">
        <f t="shared" si="31"/>
        <v>-12</v>
      </c>
      <c r="E250" s="18">
        <f t="shared" si="30"/>
        <v>650</v>
      </c>
      <c r="F250" s="4">
        <v>2</v>
      </c>
      <c r="G250" s="4">
        <v>8</v>
      </c>
      <c r="H250" s="4">
        <v>0.42378755372311394</v>
      </c>
      <c r="I250" s="4">
        <v>307</v>
      </c>
      <c r="J250" s="4" t="str">
        <f t="shared" si="32"/>
        <v>25% MDGS Variable</v>
      </c>
      <c r="K250" s="18">
        <f>VLOOKUP(A250,'[1]Interim '!E:I,5,FALSE)*0.96</f>
        <v>831.36</v>
      </c>
      <c r="L250" s="31">
        <f t="shared" si="33"/>
        <v>3.1268965517241383</v>
      </c>
      <c r="M250" s="19">
        <f t="shared" si="34"/>
        <v>19.036105591355938</v>
      </c>
      <c r="N250" s="57">
        <f t="shared" si="35"/>
        <v>0.16426135780335363</v>
      </c>
    </row>
    <row r="251" spans="1:14" x14ac:dyDescent="0.2">
      <c r="A251" s="16">
        <v>4525</v>
      </c>
      <c r="B251" s="17">
        <f>VLOOKUP(A251,'[1]Nebris 11.27'!E:I,5,FALSE)</f>
        <v>646</v>
      </c>
      <c r="C251" s="4">
        <f>VLOOKUP(A251,'[1]Nebris 11.28.23'!E:I,5,FALSE)</f>
        <v>642</v>
      </c>
      <c r="D251" s="56">
        <f t="shared" si="31"/>
        <v>4</v>
      </c>
      <c r="E251" s="18">
        <f t="shared" si="30"/>
        <v>644</v>
      </c>
      <c r="F251" s="4">
        <v>2</v>
      </c>
      <c r="G251" s="4">
        <v>8</v>
      </c>
      <c r="H251" s="4">
        <v>0.42863382756700619</v>
      </c>
      <c r="I251" s="4">
        <v>308</v>
      </c>
      <c r="J251" s="4" t="str">
        <f t="shared" si="32"/>
        <v xml:space="preserve">25% MDGS Constant </v>
      </c>
      <c r="K251" s="18">
        <f>VLOOKUP(A251,'[1]Interim '!E:I,5,FALSE)*0.96</f>
        <v>823.68</v>
      </c>
      <c r="L251" s="31">
        <f t="shared" si="33"/>
        <v>3.097931034482758</v>
      </c>
      <c r="M251" s="19">
        <f t="shared" si="34"/>
        <v>19.826311333050853</v>
      </c>
      <c r="N251" s="57">
        <f t="shared" si="35"/>
        <v>0.15625352504772008</v>
      </c>
    </row>
    <row r="252" spans="1:14" x14ac:dyDescent="0.2">
      <c r="A252" s="16">
        <v>4506</v>
      </c>
      <c r="B252" s="17">
        <f>VLOOKUP(A252,'[1]Nebris 11.27'!E:I,5,FALSE)</f>
        <v>644</v>
      </c>
      <c r="C252" s="4">
        <f>VLOOKUP(A252,'[1]Nebris 11.28.23'!E:I,5,FALSE)</f>
        <v>660</v>
      </c>
      <c r="D252" s="56">
        <f t="shared" si="31"/>
        <v>-16</v>
      </c>
      <c r="E252" s="18">
        <f t="shared" si="30"/>
        <v>652</v>
      </c>
      <c r="F252" s="4">
        <v>2</v>
      </c>
      <c r="G252" s="4">
        <v>8</v>
      </c>
      <c r="H252" s="4">
        <v>0.43513006833687196</v>
      </c>
      <c r="I252" s="4">
        <v>309</v>
      </c>
      <c r="J252" s="4" t="str">
        <f t="shared" si="32"/>
        <v>Control</v>
      </c>
      <c r="K252" s="18">
        <f>VLOOKUP(A252,'[1]Interim '!E:I,5,FALSE)*0.96</f>
        <v>840.95999999999992</v>
      </c>
      <c r="L252" s="31">
        <f t="shared" si="33"/>
        <v>3.2579310344827572</v>
      </c>
      <c r="M252" s="19">
        <f t="shared" si="34"/>
        <v>19.729599065254234</v>
      </c>
      <c r="N252" s="57">
        <f t="shared" si="35"/>
        <v>0.16512910494062163</v>
      </c>
    </row>
    <row r="253" spans="1:14" x14ac:dyDescent="0.2">
      <c r="A253" s="16">
        <v>4694</v>
      </c>
      <c r="B253" s="17">
        <f>VLOOKUP(A253,'[1]Nebris 11.27'!E:I,5,FALSE)</f>
        <v>638</v>
      </c>
      <c r="C253" s="4">
        <f>VLOOKUP(A253,'[1]Nebris 11.28.23'!E:I,5,FALSE)</f>
        <v>650</v>
      </c>
      <c r="D253" s="56">
        <f t="shared" si="31"/>
        <v>-12</v>
      </c>
      <c r="E253" s="18">
        <f t="shared" si="30"/>
        <v>644</v>
      </c>
      <c r="F253" s="4">
        <v>2</v>
      </c>
      <c r="G253" s="4">
        <v>8</v>
      </c>
      <c r="H253" s="4">
        <v>0.46959263937982221</v>
      </c>
      <c r="I253" s="4">
        <v>310</v>
      </c>
      <c r="J253" s="4" t="str">
        <f t="shared" si="32"/>
        <v>10% MDGS Variable</v>
      </c>
      <c r="K253" s="18">
        <f>VLOOKUP(A253,'[1]Interim '!E:I,5,FALSE)*0.96</f>
        <v>850.56</v>
      </c>
      <c r="L253" s="31">
        <f t="shared" si="33"/>
        <v>3.5613793103448268</v>
      </c>
      <c r="M253" s="19">
        <f t="shared" si="34"/>
        <v>20.764816593728806</v>
      </c>
      <c r="N253" s="57">
        <f t="shared" si="35"/>
        <v>0.17151027047454881</v>
      </c>
    </row>
    <row r="254" spans="1:14" x14ac:dyDescent="0.2">
      <c r="A254" s="16">
        <v>4442</v>
      </c>
      <c r="B254" s="17">
        <f>VLOOKUP(A254,'[1]Nebris 11.27'!E:I,5,FALSE)</f>
        <v>638</v>
      </c>
      <c r="C254" s="4">
        <f>VLOOKUP(A254,'[1]Nebris 11.28.23'!E:I,5,FALSE)</f>
        <v>660</v>
      </c>
      <c r="D254" s="56">
        <f t="shared" si="31"/>
        <v>-22</v>
      </c>
      <c r="E254" s="18">
        <f t="shared" si="30"/>
        <v>649</v>
      </c>
      <c r="F254" s="4">
        <v>2</v>
      </c>
      <c r="G254" s="4">
        <v>8</v>
      </c>
      <c r="H254" s="4">
        <v>0.58316519553934165</v>
      </c>
      <c r="I254" s="4">
        <v>311</v>
      </c>
      <c r="J254" s="4" t="str">
        <f t="shared" si="32"/>
        <v xml:space="preserve">10% MDGS Constant </v>
      </c>
      <c r="K254" s="18">
        <f>VLOOKUP(A254,'[1]Interim '!E:I,5,FALSE)*0.96</f>
        <v>840.95999999999992</v>
      </c>
      <c r="L254" s="31">
        <f t="shared" si="33"/>
        <v>3.3096551724137919</v>
      </c>
      <c r="M254" s="19">
        <f t="shared" si="34"/>
        <v>21.070004804237286</v>
      </c>
      <c r="N254" s="57">
        <f t="shared" si="35"/>
        <v>0.15707899467342329</v>
      </c>
    </row>
    <row r="255" spans="1:14" x14ac:dyDescent="0.2">
      <c r="A255" s="16">
        <v>4453</v>
      </c>
      <c r="B255" s="17">
        <f>VLOOKUP(A255,'[1]Nebris 11.27'!E:I,5,FALSE)</f>
        <v>646</v>
      </c>
      <c r="C255" s="4">
        <f>VLOOKUP(A255,'[1]Nebris 11.28.23'!E:I,5,FALSE)</f>
        <v>646</v>
      </c>
      <c r="D255" s="56">
        <f t="shared" si="31"/>
        <v>0</v>
      </c>
      <c r="E255" s="18">
        <f t="shared" si="30"/>
        <v>646</v>
      </c>
      <c r="F255" s="4">
        <v>2</v>
      </c>
      <c r="G255" s="4">
        <v>8</v>
      </c>
      <c r="H255" s="4">
        <v>0.65451494603966398</v>
      </c>
      <c r="I255" s="4">
        <v>312</v>
      </c>
      <c r="J255" s="4" t="str">
        <f t="shared" si="32"/>
        <v xml:space="preserve">25% MDGS Constant </v>
      </c>
      <c r="K255" s="18">
        <f>VLOOKUP(A255,'[1]Interim '!E:I,5,FALSE)*0.96</f>
        <v>852.48</v>
      </c>
      <c r="L255" s="31">
        <f t="shared" si="33"/>
        <v>3.5600000000000005</v>
      </c>
      <c r="M255" s="19">
        <f t="shared" si="34"/>
        <v>20.726410488305085</v>
      </c>
      <c r="N255" s="57">
        <f t="shared" si="35"/>
        <v>0.17176153111551742</v>
      </c>
    </row>
    <row r="256" spans="1:14" x14ac:dyDescent="0.2">
      <c r="A256" s="16">
        <v>4676</v>
      </c>
      <c r="B256" s="17">
        <f>VLOOKUP(A256,'[1]Nebris 11.27'!E:I,5,FALSE)</f>
        <v>638</v>
      </c>
      <c r="C256" s="4">
        <f>VLOOKUP(A256,'[1]Nebris 11.28.23'!E:I,5,FALSE)</f>
        <v>630</v>
      </c>
      <c r="D256" s="56">
        <f t="shared" si="31"/>
        <v>8</v>
      </c>
      <c r="E256" s="18">
        <f t="shared" si="30"/>
        <v>634</v>
      </c>
      <c r="F256" s="4">
        <v>2</v>
      </c>
      <c r="G256" s="4">
        <v>8</v>
      </c>
      <c r="H256" s="4">
        <v>0.72321773290374247</v>
      </c>
      <c r="I256" s="4">
        <v>313</v>
      </c>
      <c r="J256" s="4" t="str">
        <f t="shared" si="32"/>
        <v>25% MDGS Variable</v>
      </c>
      <c r="K256" s="18">
        <f>VLOOKUP(A256,'[1]Interim '!E:I,5,FALSE)*0.96</f>
        <v>833.28</v>
      </c>
      <c r="L256" s="31">
        <f t="shared" si="33"/>
        <v>3.4358620689655166</v>
      </c>
      <c r="M256" s="19">
        <f t="shared" si="34"/>
        <v>20.372524565423721</v>
      </c>
      <c r="N256" s="57">
        <f t="shared" si="35"/>
        <v>0.16865175731813165</v>
      </c>
    </row>
    <row r="257" spans="1:14" x14ac:dyDescent="0.2">
      <c r="A257" s="16">
        <v>4470</v>
      </c>
      <c r="B257" s="17">
        <f>VLOOKUP(A257,'[1]Nebris 11.27'!E:I,5,FALSE)</f>
        <v>640</v>
      </c>
      <c r="C257" s="4">
        <f>VLOOKUP(A257,'[1]Nebris 11.28.23'!E:I,5,FALSE)</f>
        <v>640</v>
      </c>
      <c r="D257" s="56">
        <f t="shared" si="31"/>
        <v>0</v>
      </c>
      <c r="E257" s="18">
        <f t="shared" si="30"/>
        <v>640</v>
      </c>
      <c r="F257" s="4">
        <v>2</v>
      </c>
      <c r="G257" s="4">
        <v>8</v>
      </c>
      <c r="H257" s="4">
        <v>0.74162227695080163</v>
      </c>
      <c r="I257" s="4">
        <v>314</v>
      </c>
      <c r="J257" s="4" t="str">
        <f t="shared" si="32"/>
        <v>25% MDGS Variable</v>
      </c>
      <c r="K257" s="18">
        <f>VLOOKUP(A257,'[1]Interim '!E:I,5,FALSE)*0.96</f>
        <v>869.76</v>
      </c>
      <c r="L257" s="31">
        <f t="shared" si="33"/>
        <v>3.9613793103448276</v>
      </c>
      <c r="M257" s="19">
        <f t="shared" si="34"/>
        <v>21.54037682898305</v>
      </c>
      <c r="N257" s="57">
        <f t="shared" si="35"/>
        <v>0.18390482867573166</v>
      </c>
    </row>
    <row r="258" spans="1:14" x14ac:dyDescent="0.2">
      <c r="A258" s="16">
        <v>4435</v>
      </c>
      <c r="B258" s="17">
        <f>VLOOKUP(A258,'[1]Nebris 11.27'!E:I,5,FALSE)</f>
        <v>638</v>
      </c>
      <c r="C258" s="4">
        <f>VLOOKUP(A258,'[1]Nebris 11.28.23'!E:I,5,FALSE)</f>
        <v>636</v>
      </c>
      <c r="D258" s="56">
        <f t="shared" si="31"/>
        <v>2</v>
      </c>
      <c r="E258" s="18">
        <f t="shared" ref="E258:E321" si="36">AVERAGE(B258:C258)</f>
        <v>637</v>
      </c>
      <c r="F258" s="4">
        <v>2</v>
      </c>
      <c r="G258" s="4">
        <v>8</v>
      </c>
      <c r="H258" s="4">
        <v>0.7835208447429971</v>
      </c>
      <c r="I258" s="4">
        <v>315</v>
      </c>
      <c r="J258" s="4" t="str">
        <f t="shared" si="32"/>
        <v xml:space="preserve">25% MDGS Constant </v>
      </c>
      <c r="K258" s="18">
        <f>VLOOKUP(A258,'[1]Interim '!E:I,5,FALSE)*0.96</f>
        <v>856.31999999999994</v>
      </c>
      <c r="L258" s="31">
        <f t="shared" si="33"/>
        <v>3.7813793103448265</v>
      </c>
      <c r="M258" s="19">
        <f t="shared" si="34"/>
        <v>20.610381563389829</v>
      </c>
      <c r="N258" s="57">
        <f t="shared" si="35"/>
        <v>0.18346964119585643</v>
      </c>
    </row>
    <row r="259" spans="1:14" x14ac:dyDescent="0.2">
      <c r="A259" s="16">
        <v>4643</v>
      </c>
      <c r="B259" s="17">
        <f>VLOOKUP(A259,'[1]Nebris 11.27'!E:I,5,FALSE)</f>
        <v>642</v>
      </c>
      <c r="C259" s="4">
        <f>VLOOKUP(A259,'[1]Nebris 11.28.23'!E:I,5,FALSE)</f>
        <v>634</v>
      </c>
      <c r="D259" s="56">
        <f t="shared" ref="D259:D322" si="37">B259-C259</f>
        <v>8</v>
      </c>
      <c r="E259" s="18">
        <f t="shared" si="36"/>
        <v>638</v>
      </c>
      <c r="F259" s="4">
        <v>2</v>
      </c>
      <c r="G259" s="4">
        <v>8</v>
      </c>
      <c r="H259" s="4">
        <v>0.78407915778062687</v>
      </c>
      <c r="I259" s="4">
        <v>316</v>
      </c>
      <c r="J259" s="4" t="str">
        <f t="shared" ref="J259:J322" si="38">VLOOKUP(I259,$T$2:$X$57,5,FALSE)</f>
        <v xml:space="preserve">10% MDGS Constant </v>
      </c>
      <c r="K259" s="18">
        <f>VLOOKUP(A259,'[1]Interim '!E:I,5,FALSE)*0.96</f>
        <v>831.36</v>
      </c>
      <c r="L259" s="31">
        <f t="shared" ref="L259:L322" si="39">(K259-E259)/58</f>
        <v>3.3337931034482762</v>
      </c>
      <c r="M259" s="19">
        <f t="shared" ref="M259:M322" si="40">VLOOKUP(I259,$AL$1:$AM$40,2,FALSE)</f>
        <v>20.102195246101697</v>
      </c>
      <c r="N259" s="57">
        <f t="shared" ref="N259:N322" si="41">L259/M259</f>
        <v>0.16584224074207912</v>
      </c>
    </row>
    <row r="260" spans="1:14" x14ac:dyDescent="0.2">
      <c r="A260" s="16">
        <v>4737</v>
      </c>
      <c r="B260" s="17">
        <f>VLOOKUP(A260,'[1]Nebris 11.27'!E:I,5,FALSE)</f>
        <v>644</v>
      </c>
      <c r="C260" s="4">
        <f>VLOOKUP(A260,'[1]Nebris 11.28.23'!E:I,5,FALSE)</f>
        <v>624</v>
      </c>
      <c r="D260" s="56">
        <f t="shared" si="37"/>
        <v>20</v>
      </c>
      <c r="E260" s="18">
        <f t="shared" si="36"/>
        <v>634</v>
      </c>
      <c r="F260" s="4">
        <v>2</v>
      </c>
      <c r="G260" s="4">
        <v>8</v>
      </c>
      <c r="H260" s="4">
        <v>0.89906931839505444</v>
      </c>
      <c r="I260" s="4">
        <v>317</v>
      </c>
      <c r="J260" s="4" t="str">
        <f t="shared" si="38"/>
        <v>Control</v>
      </c>
      <c r="K260" s="18">
        <f>VLOOKUP(A260,'[1]Interim '!E:I,5,FALSE)*0.96</f>
        <v>827.52</v>
      </c>
      <c r="L260" s="31">
        <f t="shared" si="39"/>
        <v>3.3365517241379306</v>
      </c>
      <c r="M260" s="19">
        <f t="shared" si="40"/>
        <v>19.655293186271191</v>
      </c>
      <c r="N260" s="57">
        <f t="shared" si="41"/>
        <v>0.16975334290451805</v>
      </c>
    </row>
    <row r="261" spans="1:14" x14ac:dyDescent="0.2">
      <c r="A261" s="16">
        <v>4579</v>
      </c>
      <c r="B261" s="17">
        <f>VLOOKUP(A261,'[1]Nebris 11.27'!E:I,5,FALSE)</f>
        <v>646</v>
      </c>
      <c r="C261" s="4">
        <f>VLOOKUP(A261,'[1]Nebris 11.28.23'!E:I,5,FALSE)</f>
        <v>630</v>
      </c>
      <c r="D261" s="56">
        <f t="shared" si="37"/>
        <v>16</v>
      </c>
      <c r="E261" s="18">
        <f t="shared" si="36"/>
        <v>638</v>
      </c>
      <c r="F261" s="4">
        <v>2</v>
      </c>
      <c r="G261" s="4">
        <v>8</v>
      </c>
      <c r="H261" s="4">
        <v>0.96376431649230021</v>
      </c>
      <c r="I261" s="4">
        <v>318</v>
      </c>
      <c r="J261" s="4" t="str">
        <f t="shared" si="38"/>
        <v>10% MDGS Variable</v>
      </c>
      <c r="K261" s="18">
        <f>VLOOKUP(A261,'[1]Interim '!E:I,5,FALSE)*0.96</f>
        <v>771.83999999999992</v>
      </c>
      <c r="L261" s="31">
        <f t="shared" si="39"/>
        <v>2.3075862068965503</v>
      </c>
      <c r="M261" s="19">
        <f t="shared" si="40"/>
        <v>20.764816593728806</v>
      </c>
      <c r="N261" s="57">
        <f t="shared" si="41"/>
        <v>0.11112962141902402</v>
      </c>
    </row>
    <row r="262" spans="1:14" x14ac:dyDescent="0.2">
      <c r="A262" s="16">
        <v>4734</v>
      </c>
      <c r="B262" s="17">
        <f>VLOOKUP(A262,'[1]Nebris 11.27'!E:I,5,FALSE)</f>
        <v>652</v>
      </c>
      <c r="C262" s="4">
        <f>VLOOKUP(A262,'[1]Nebris 11.28.23'!E:I,5,FALSE)</f>
        <v>658</v>
      </c>
      <c r="D262" s="56">
        <f t="shared" si="37"/>
        <v>-6</v>
      </c>
      <c r="E262" s="18">
        <f t="shared" si="36"/>
        <v>655</v>
      </c>
      <c r="F262" s="4">
        <v>2</v>
      </c>
      <c r="G262" s="4">
        <v>9</v>
      </c>
      <c r="H262" s="4">
        <v>5.6804922864541418E-2</v>
      </c>
      <c r="I262" s="4">
        <v>215</v>
      </c>
      <c r="J262" s="4" t="str">
        <f t="shared" si="38"/>
        <v>10% MDGS Variable</v>
      </c>
      <c r="K262" s="18">
        <f>VLOOKUP(A262,'[1]Interim '!E:I,5,FALSE)*0.96</f>
        <v>806.4</v>
      </c>
      <c r="L262" s="31">
        <f t="shared" si="39"/>
        <v>2.6103448275862067</v>
      </c>
      <c r="M262" s="19">
        <f t="shared" si="40"/>
        <v>19.107699350338986</v>
      </c>
      <c r="N262" s="57">
        <f t="shared" si="41"/>
        <v>0.1366121990787916</v>
      </c>
    </row>
    <row r="263" spans="1:14" x14ac:dyDescent="0.2">
      <c r="A263" s="16">
        <v>4658</v>
      </c>
      <c r="B263" s="17">
        <f>VLOOKUP(A263,'[1]Nebris 11.27'!E:I,5,FALSE)</f>
        <v>652</v>
      </c>
      <c r="C263" s="4">
        <f>VLOOKUP(A263,'[1]Nebris 11.28.23'!E:I,5,FALSE)</f>
        <v>652</v>
      </c>
      <c r="D263" s="56">
        <f t="shared" si="37"/>
        <v>0</v>
      </c>
      <c r="E263" s="18">
        <f t="shared" si="36"/>
        <v>652</v>
      </c>
      <c r="F263" s="4">
        <v>2</v>
      </c>
      <c r="G263" s="4">
        <v>9</v>
      </c>
      <c r="H263" s="4">
        <v>0.1259847070667045</v>
      </c>
      <c r="I263" s="4">
        <v>216</v>
      </c>
      <c r="J263" s="4" t="str">
        <f t="shared" si="38"/>
        <v xml:space="preserve">10% MDGS Constant </v>
      </c>
      <c r="K263" s="18">
        <f>VLOOKUP(A263,'[1]Interim '!E:I,5,FALSE)*0.96</f>
        <v>865.92</v>
      </c>
      <c r="L263" s="31">
        <f t="shared" si="39"/>
        <v>3.6882758620689646</v>
      </c>
      <c r="M263" s="19">
        <f t="shared" si="40"/>
        <v>20.398789655593223</v>
      </c>
      <c r="N263" s="57">
        <f t="shared" si="41"/>
        <v>0.18080856385798663</v>
      </c>
    </row>
    <row r="264" spans="1:14" x14ac:dyDescent="0.2">
      <c r="A264" s="16">
        <v>4615</v>
      </c>
      <c r="B264" s="17">
        <f>VLOOKUP(A264,'[1]Nebris 11.27'!E:I,5,FALSE)</f>
        <v>652</v>
      </c>
      <c r="C264" s="4">
        <f>VLOOKUP(A264,'[1]Nebris 11.28.23'!E:I,5,FALSE)</f>
        <v>664</v>
      </c>
      <c r="D264" s="56">
        <f t="shared" si="37"/>
        <v>-12</v>
      </c>
      <c r="E264" s="18">
        <f t="shared" si="36"/>
        <v>658</v>
      </c>
      <c r="F264" s="4">
        <v>2</v>
      </c>
      <c r="G264" s="4">
        <v>9</v>
      </c>
      <c r="H264" s="4">
        <v>0.20442481356679498</v>
      </c>
      <c r="I264" s="4">
        <v>301</v>
      </c>
      <c r="J264" s="4" t="str">
        <f t="shared" si="38"/>
        <v xml:space="preserve">25% MDGS Constant </v>
      </c>
      <c r="K264" s="18">
        <f>VLOOKUP(A264,'[1]Interim '!E:I,5,FALSE)*0.96</f>
        <v>865.92</v>
      </c>
      <c r="L264" s="31">
        <f t="shared" si="39"/>
        <v>3.5848275862068957</v>
      </c>
      <c r="M264" s="19">
        <f t="shared" si="40"/>
        <v>19.764340823559323</v>
      </c>
      <c r="N264" s="57">
        <f t="shared" si="41"/>
        <v>0.18137855535934391</v>
      </c>
    </row>
    <row r="265" spans="1:14" x14ac:dyDescent="0.2">
      <c r="A265" s="16">
        <v>4585</v>
      </c>
      <c r="B265" s="17">
        <f>VLOOKUP(A265,'[1]Nebris 11.27'!E:I,5,FALSE)</f>
        <v>652</v>
      </c>
      <c r="C265" s="4">
        <f>VLOOKUP(A265,'[1]Nebris 11.28.23'!E:I,5,FALSE)</f>
        <v>670</v>
      </c>
      <c r="D265" s="56">
        <f t="shared" si="37"/>
        <v>-18</v>
      </c>
      <c r="E265" s="18">
        <f t="shared" si="36"/>
        <v>661</v>
      </c>
      <c r="F265" s="4">
        <v>2</v>
      </c>
      <c r="G265" s="4">
        <v>9</v>
      </c>
      <c r="H265" s="4">
        <v>0.20862085663900432</v>
      </c>
      <c r="I265" s="4">
        <v>302</v>
      </c>
      <c r="J265" s="4" t="str">
        <f t="shared" si="38"/>
        <v>25% MDGS Variable</v>
      </c>
      <c r="K265" s="18">
        <f>VLOOKUP(A265,'[1]Interim '!E:I,5,FALSE)*0.96</f>
        <v>846.71999999999991</v>
      </c>
      <c r="L265" s="31">
        <f t="shared" si="39"/>
        <v>3.2020689655172401</v>
      </c>
      <c r="M265" s="19">
        <f t="shared" si="40"/>
        <v>18.146163789943504</v>
      </c>
      <c r="N265" s="57">
        <f t="shared" si="41"/>
        <v>0.17645982933824325</v>
      </c>
    </row>
    <row r="266" spans="1:14" x14ac:dyDescent="0.2">
      <c r="A266" s="16">
        <v>4652</v>
      </c>
      <c r="B266" s="17">
        <f>VLOOKUP(A266,'[1]Nebris 11.27'!E:I,5,FALSE)</f>
        <v>648</v>
      </c>
      <c r="C266" s="4">
        <f>VLOOKUP(A266,'[1]Nebris 11.28.23'!E:I,5,FALSE)</f>
        <v>624</v>
      </c>
      <c r="D266" s="56">
        <f t="shared" si="37"/>
        <v>24</v>
      </c>
      <c r="E266" s="18">
        <f t="shared" si="36"/>
        <v>636</v>
      </c>
      <c r="F266" s="4">
        <v>2</v>
      </c>
      <c r="G266" s="4">
        <v>9</v>
      </c>
      <c r="H266" s="4">
        <v>0.27198870513286899</v>
      </c>
      <c r="I266" s="4">
        <v>303</v>
      </c>
      <c r="J266" s="4" t="str">
        <f t="shared" si="38"/>
        <v>Control</v>
      </c>
      <c r="K266" s="18">
        <f>VLOOKUP(A266,'[1]Interim '!E:I,5,FALSE)*0.96</f>
        <v>858.24</v>
      </c>
      <c r="L266" s="31">
        <f t="shared" si="39"/>
        <v>3.8317241379310345</v>
      </c>
      <c r="M266" s="19">
        <f t="shared" si="40"/>
        <v>18.063320037796611</v>
      </c>
      <c r="N266" s="57">
        <f t="shared" si="41"/>
        <v>0.21212734590946403</v>
      </c>
    </row>
    <row r="267" spans="1:14" x14ac:dyDescent="0.2">
      <c r="A267" s="16">
        <v>4631</v>
      </c>
      <c r="B267" s="17">
        <f>VLOOKUP(A267,'[1]Nebris 11.27'!E:I,5,FALSE)</f>
        <v>652</v>
      </c>
      <c r="C267" s="4">
        <f>VLOOKUP(A267,'[1]Nebris 11.28.23'!E:I,5,FALSE)</f>
        <v>662</v>
      </c>
      <c r="D267" s="56">
        <f t="shared" si="37"/>
        <v>-10</v>
      </c>
      <c r="E267" s="18">
        <f t="shared" si="36"/>
        <v>657</v>
      </c>
      <c r="F267" s="4">
        <v>2</v>
      </c>
      <c r="G267" s="4">
        <v>9</v>
      </c>
      <c r="H267" s="4">
        <v>0.2885852603518706</v>
      </c>
      <c r="I267" s="4">
        <v>304</v>
      </c>
      <c r="J267" s="4" t="str">
        <f t="shared" si="38"/>
        <v>10% MDGS Variable</v>
      </c>
      <c r="K267" s="18">
        <f>VLOOKUP(A267,'[1]Interim '!E:I,5,FALSE)*0.96</f>
        <v>796.8</v>
      </c>
      <c r="L267" s="31">
        <f t="shared" si="39"/>
        <v>2.4103448275862061</v>
      </c>
      <c r="M267" s="19">
        <f t="shared" si="40"/>
        <v>18.555515762033892</v>
      </c>
      <c r="N267" s="57">
        <f t="shared" si="41"/>
        <v>0.12989910162012147</v>
      </c>
    </row>
    <row r="268" spans="1:14" x14ac:dyDescent="0.2">
      <c r="A268" s="16">
        <v>4563</v>
      </c>
      <c r="B268" s="17">
        <f>VLOOKUP(A268,'[1]Nebris 11.27'!E:I,5,FALSE)</f>
        <v>648</v>
      </c>
      <c r="C268" s="4">
        <f>VLOOKUP(A268,'[1]Nebris 11.28.23'!E:I,5,FALSE)</f>
        <v>632</v>
      </c>
      <c r="D268" s="56">
        <f t="shared" si="37"/>
        <v>16</v>
      </c>
      <c r="E268" s="18">
        <f t="shared" si="36"/>
        <v>640</v>
      </c>
      <c r="F268" s="4">
        <v>2</v>
      </c>
      <c r="G268" s="4">
        <v>9</v>
      </c>
      <c r="H268" s="4">
        <v>0.31718992699513693</v>
      </c>
      <c r="I268" s="4">
        <v>305</v>
      </c>
      <c r="J268" s="4" t="str">
        <f t="shared" si="38"/>
        <v xml:space="preserve">10% MDGS Constant </v>
      </c>
      <c r="K268" s="18">
        <f>VLOOKUP(A268,'[1]Interim '!E:I,5,FALSE)*0.96</f>
        <v>800.64</v>
      </c>
      <c r="L268" s="31">
        <f t="shared" si="39"/>
        <v>2.7696551724137928</v>
      </c>
      <c r="M268" s="19">
        <f t="shared" si="40"/>
        <v>18.368632711016947</v>
      </c>
      <c r="N268" s="57">
        <f t="shared" si="41"/>
        <v>0.15078178196424158</v>
      </c>
    </row>
    <row r="269" spans="1:14" x14ac:dyDescent="0.2">
      <c r="A269" s="16">
        <v>4607</v>
      </c>
      <c r="B269" s="17">
        <f>VLOOKUP(A269,'[1]Nebris 11.27'!E:I,5,FALSE)</f>
        <v>650</v>
      </c>
      <c r="C269" s="4">
        <f>VLOOKUP(A269,'[1]Nebris 11.28.23'!E:I,5,FALSE)</f>
        <v>646</v>
      </c>
      <c r="D269" s="56">
        <f t="shared" si="37"/>
        <v>4</v>
      </c>
      <c r="E269" s="18">
        <f t="shared" si="36"/>
        <v>648</v>
      </c>
      <c r="F269" s="4">
        <v>2</v>
      </c>
      <c r="G269" s="4">
        <v>9</v>
      </c>
      <c r="H269" s="4">
        <v>0.32264146396656224</v>
      </c>
      <c r="I269" s="4">
        <v>306</v>
      </c>
      <c r="J269" s="4" t="str">
        <f t="shared" si="38"/>
        <v>Control</v>
      </c>
      <c r="K269" s="18">
        <f>VLOOKUP(A269,'[1]Interim '!E:I,5,FALSE)*0.96</f>
        <v>833.28</v>
      </c>
      <c r="L269" s="31">
        <f t="shared" si="39"/>
        <v>3.1944827586206892</v>
      </c>
      <c r="M269" s="19">
        <f t="shared" si="40"/>
        <v>19.337783459491533</v>
      </c>
      <c r="N269" s="57">
        <f t="shared" si="41"/>
        <v>0.16519384268173437</v>
      </c>
    </row>
    <row r="270" spans="1:14" x14ac:dyDescent="0.2">
      <c r="A270" s="16">
        <v>4484</v>
      </c>
      <c r="B270" s="17">
        <f>VLOOKUP(A270,'[1]Nebris 11.27'!E:I,5,FALSE)</f>
        <v>648</v>
      </c>
      <c r="C270" s="4">
        <f>VLOOKUP(A270,'[1]Nebris 11.28.23'!E:I,5,FALSE)</f>
        <v>644</v>
      </c>
      <c r="D270" s="56">
        <f t="shared" si="37"/>
        <v>4</v>
      </c>
      <c r="E270" s="18">
        <f t="shared" si="36"/>
        <v>646</v>
      </c>
      <c r="F270" s="4">
        <v>2</v>
      </c>
      <c r="G270" s="4">
        <v>9</v>
      </c>
      <c r="H270" s="4">
        <v>0.3250503532655673</v>
      </c>
      <c r="I270" s="4">
        <v>307</v>
      </c>
      <c r="J270" s="4" t="str">
        <f t="shared" si="38"/>
        <v>25% MDGS Variable</v>
      </c>
      <c r="K270" s="18">
        <f>VLOOKUP(A270,'[1]Interim '!E:I,5,FALSE)*0.96</f>
        <v>850.56</v>
      </c>
      <c r="L270" s="31">
        <f t="shared" si="39"/>
        <v>3.5268965517241369</v>
      </c>
      <c r="M270" s="19">
        <f t="shared" si="40"/>
        <v>19.036105591355938</v>
      </c>
      <c r="N270" s="57">
        <f t="shared" si="41"/>
        <v>0.18527405906624395</v>
      </c>
    </row>
    <row r="271" spans="1:14" x14ac:dyDescent="0.2">
      <c r="A271" s="16">
        <v>4574</v>
      </c>
      <c r="B271" s="17">
        <f>VLOOKUP(A271,'[1]Nebris 11.27'!E:I,5,FALSE)</f>
        <v>650</v>
      </c>
      <c r="C271" s="4">
        <f>VLOOKUP(A271,'[1]Nebris 11.28.23'!E:I,5,FALSE)</f>
        <v>636</v>
      </c>
      <c r="D271" s="56">
        <f t="shared" si="37"/>
        <v>14</v>
      </c>
      <c r="E271" s="18">
        <f t="shared" si="36"/>
        <v>643</v>
      </c>
      <c r="F271" s="4">
        <v>2</v>
      </c>
      <c r="G271" s="4">
        <v>9</v>
      </c>
      <c r="H271" s="4">
        <v>0.40947641456871386</v>
      </c>
      <c r="I271" s="4">
        <v>308</v>
      </c>
      <c r="J271" s="4" t="str">
        <f t="shared" si="38"/>
        <v xml:space="preserve">25% MDGS Constant </v>
      </c>
      <c r="K271" s="18">
        <f>VLOOKUP(A271,'[1]Interim '!E:I,5,FALSE)*0.96</f>
        <v>844.8</v>
      </c>
      <c r="L271" s="31">
        <f t="shared" si="39"/>
        <v>3.4793103448275855</v>
      </c>
      <c r="M271" s="19">
        <f t="shared" si="40"/>
        <v>19.826311333050853</v>
      </c>
      <c r="N271" s="57">
        <f t="shared" si="41"/>
        <v>0.17548954449371054</v>
      </c>
    </row>
    <row r="272" spans="1:14" x14ac:dyDescent="0.2">
      <c r="A272" s="16">
        <v>4509</v>
      </c>
      <c r="B272" s="17">
        <f>VLOOKUP(A272,'[1]Nebris 11.27'!E:I,5,FALSE)</f>
        <v>648</v>
      </c>
      <c r="C272" s="4">
        <f>VLOOKUP(A272,'[1]Nebris 11.28.23'!E:I,5,FALSE)</f>
        <v>634</v>
      </c>
      <c r="D272" s="56">
        <f t="shared" si="37"/>
        <v>14</v>
      </c>
      <c r="E272" s="18">
        <f t="shared" si="36"/>
        <v>641</v>
      </c>
      <c r="F272" s="4">
        <v>2</v>
      </c>
      <c r="G272" s="4">
        <v>9</v>
      </c>
      <c r="H272" s="4">
        <v>0.42190733061202645</v>
      </c>
      <c r="I272" s="4">
        <v>309</v>
      </c>
      <c r="J272" s="4" t="str">
        <f t="shared" si="38"/>
        <v>Control</v>
      </c>
      <c r="K272" s="18">
        <f>VLOOKUP(A272,'[1]Interim '!E:I,5,FALSE)*0.96</f>
        <v>854.4</v>
      </c>
      <c r="L272" s="31">
        <f t="shared" si="39"/>
        <v>3.6793103448275857</v>
      </c>
      <c r="M272" s="19">
        <f t="shared" si="40"/>
        <v>19.729599065254234</v>
      </c>
      <c r="N272" s="57">
        <f t="shared" si="41"/>
        <v>0.18648682787007129</v>
      </c>
    </row>
    <row r="273" spans="1:14" x14ac:dyDescent="0.2">
      <c r="A273" s="16">
        <v>4715</v>
      </c>
      <c r="B273" s="17">
        <f>VLOOKUP(A273,'[1]Nebris 11.27'!E:I,5,FALSE)</f>
        <v>652</v>
      </c>
      <c r="C273" s="4">
        <f>VLOOKUP(A273,'[1]Nebris 11.28.23'!E:I,5,FALSE)</f>
        <v>640</v>
      </c>
      <c r="D273" s="56">
        <f t="shared" si="37"/>
        <v>12</v>
      </c>
      <c r="E273" s="18">
        <f t="shared" si="36"/>
        <v>646</v>
      </c>
      <c r="F273" s="4">
        <v>2</v>
      </c>
      <c r="G273" s="4">
        <v>9</v>
      </c>
      <c r="H273" s="4">
        <v>0.49322980939415551</v>
      </c>
      <c r="I273" s="4">
        <v>310</v>
      </c>
      <c r="J273" s="4" t="str">
        <f t="shared" si="38"/>
        <v>10% MDGS Variable</v>
      </c>
      <c r="K273" s="18">
        <f>VLOOKUP(A273,'[1]Interim '!E:I,5,FALSE)*0.96</f>
        <v>862.07999999999993</v>
      </c>
      <c r="L273" s="31">
        <f t="shared" si="39"/>
        <v>3.725517241379309</v>
      </c>
      <c r="M273" s="19">
        <f t="shared" si="40"/>
        <v>20.764816593728806</v>
      </c>
      <c r="N273" s="57">
        <f t="shared" si="41"/>
        <v>0.17941488789765928</v>
      </c>
    </row>
    <row r="274" spans="1:14" x14ac:dyDescent="0.2">
      <c r="A274" s="16">
        <v>4448</v>
      </c>
      <c r="B274" s="17">
        <f>VLOOKUP(A274,'[1]Nebris 11.27'!E:I,5,FALSE)</f>
        <v>648</v>
      </c>
      <c r="C274" s="4">
        <f>VLOOKUP(A274,'[1]Nebris 11.28.23'!E:I,5,FALSE)</f>
        <v>656</v>
      </c>
      <c r="D274" s="56">
        <f t="shared" si="37"/>
        <v>-8</v>
      </c>
      <c r="E274" s="18">
        <f t="shared" si="36"/>
        <v>652</v>
      </c>
      <c r="F274" s="4">
        <v>2</v>
      </c>
      <c r="G274" s="4">
        <v>9</v>
      </c>
      <c r="H274" s="4">
        <v>0.52089708945847535</v>
      </c>
      <c r="I274" s="4">
        <v>311</v>
      </c>
      <c r="J274" s="4" t="str">
        <f t="shared" si="38"/>
        <v xml:space="preserve">10% MDGS Constant </v>
      </c>
      <c r="K274" s="18">
        <f>VLOOKUP(A274,'[1]Interim '!E:I,5,FALSE)*0.96</f>
        <v>792.95999999999992</v>
      </c>
      <c r="L274" s="31">
        <f t="shared" si="39"/>
        <v>2.4303448275862056</v>
      </c>
      <c r="M274" s="19">
        <f t="shared" si="40"/>
        <v>21.070004804237286</v>
      </c>
      <c r="N274" s="57">
        <f t="shared" si="41"/>
        <v>0.11534619237948399</v>
      </c>
    </row>
    <row r="275" spans="1:14" x14ac:dyDescent="0.2">
      <c r="A275" s="16">
        <v>4573</v>
      </c>
      <c r="B275" s="17">
        <f>VLOOKUP(A275,'[1]Nebris 11.27'!E:I,5,FALSE)</f>
        <v>650</v>
      </c>
      <c r="C275" s="4">
        <f>VLOOKUP(A275,'[1]Nebris 11.28.23'!E:I,5,FALSE)</f>
        <v>650</v>
      </c>
      <c r="D275" s="56">
        <f t="shared" si="37"/>
        <v>0</v>
      </c>
      <c r="E275" s="18">
        <f t="shared" si="36"/>
        <v>650</v>
      </c>
      <c r="F275" s="4">
        <v>2</v>
      </c>
      <c r="G275" s="4">
        <v>9</v>
      </c>
      <c r="H275" s="4">
        <v>0.57059854821536937</v>
      </c>
      <c r="I275" s="4">
        <v>312</v>
      </c>
      <c r="J275" s="4" t="str">
        <f t="shared" si="38"/>
        <v xml:space="preserve">25% MDGS Constant </v>
      </c>
      <c r="K275" s="18">
        <f>VLOOKUP(A275,'[1]Interim '!E:I,5,FALSE)*0.96</f>
        <v>773.76</v>
      </c>
      <c r="L275" s="31">
        <f t="shared" si="39"/>
        <v>2.1337931034482756</v>
      </c>
      <c r="M275" s="19">
        <f t="shared" si="40"/>
        <v>20.726410488305085</v>
      </c>
      <c r="N275" s="57">
        <f t="shared" si="41"/>
        <v>0.10295044116067624</v>
      </c>
    </row>
    <row r="276" spans="1:14" x14ac:dyDescent="0.2">
      <c r="A276" s="16">
        <v>4510</v>
      </c>
      <c r="B276" s="17">
        <f>VLOOKUP(A276,'[1]Nebris 11.27'!E:I,5,FALSE)</f>
        <v>648</v>
      </c>
      <c r="C276" s="4">
        <f>VLOOKUP(A276,'[1]Nebris 11.28.23'!E:I,5,FALSE)</f>
        <v>644</v>
      </c>
      <c r="D276" s="56">
        <f t="shared" si="37"/>
        <v>4</v>
      </c>
      <c r="E276" s="18">
        <f t="shared" si="36"/>
        <v>646</v>
      </c>
      <c r="F276" s="4">
        <v>2</v>
      </c>
      <c r="G276" s="4">
        <v>9</v>
      </c>
      <c r="H276" s="4">
        <v>0.6407497672109167</v>
      </c>
      <c r="I276" s="4">
        <v>313</v>
      </c>
      <c r="J276" s="4" t="str">
        <f t="shared" si="38"/>
        <v>25% MDGS Variable</v>
      </c>
      <c r="K276" s="18">
        <f>VLOOKUP(A276,'[1]Interim '!E:I,5,FALSE)*0.96</f>
        <v>892.8</v>
      </c>
      <c r="L276" s="31">
        <f t="shared" si="39"/>
        <v>4.2551724137931028</v>
      </c>
      <c r="M276" s="19">
        <f t="shared" si="40"/>
        <v>20.372524565423721</v>
      </c>
      <c r="N276" s="57">
        <f t="shared" si="41"/>
        <v>0.20886819402907914</v>
      </c>
    </row>
    <row r="277" spans="1:14" x14ac:dyDescent="0.2">
      <c r="A277" s="16">
        <v>4758</v>
      </c>
      <c r="B277" s="17">
        <f>VLOOKUP(A277,'[1]Nebris 11.27'!E:I,5,FALSE)</f>
        <v>650</v>
      </c>
      <c r="C277" s="4">
        <f>VLOOKUP(A277,'[1]Nebris 11.28.23'!E:I,5,FALSE)</f>
        <v>662</v>
      </c>
      <c r="D277" s="56">
        <f t="shared" si="37"/>
        <v>-12</v>
      </c>
      <c r="E277" s="18">
        <f t="shared" si="36"/>
        <v>656</v>
      </c>
      <c r="F277" s="4">
        <v>2</v>
      </c>
      <c r="G277" s="4">
        <v>9</v>
      </c>
      <c r="H277" s="4">
        <v>0.70070069323194895</v>
      </c>
      <c r="I277" s="4">
        <v>314</v>
      </c>
      <c r="J277" s="4" t="str">
        <f t="shared" si="38"/>
        <v>25% MDGS Variable</v>
      </c>
      <c r="K277" s="18">
        <f>VLOOKUP(A277,'[1]Interim '!E:I,5,FALSE)*0.96</f>
        <v>856.31999999999994</v>
      </c>
      <c r="L277" s="31">
        <f t="shared" si="39"/>
        <v>3.4537931034482749</v>
      </c>
      <c r="M277" s="19">
        <f t="shared" si="40"/>
        <v>21.54037682898305</v>
      </c>
      <c r="N277" s="57">
        <f t="shared" si="41"/>
        <v>0.16034042165878548</v>
      </c>
    </row>
    <row r="278" spans="1:14" x14ac:dyDescent="0.2">
      <c r="A278" s="16">
        <v>4388</v>
      </c>
      <c r="B278" s="17">
        <f>VLOOKUP(A278,'[1]Nebris 11.27'!E:I,5,FALSE)</f>
        <v>650</v>
      </c>
      <c r="C278" s="4">
        <f>VLOOKUP(A278,'[1]Nebris 11.28.23'!E:I,5,FALSE)</f>
        <v>638</v>
      </c>
      <c r="D278" s="56">
        <f t="shared" si="37"/>
        <v>12</v>
      </c>
      <c r="E278" s="18">
        <f t="shared" si="36"/>
        <v>644</v>
      </c>
      <c r="F278" s="4">
        <v>2</v>
      </c>
      <c r="G278" s="4">
        <v>9</v>
      </c>
      <c r="H278" s="4">
        <v>0.75915180046028796</v>
      </c>
      <c r="I278" s="4">
        <v>315</v>
      </c>
      <c r="J278" s="4" t="str">
        <f t="shared" si="38"/>
        <v xml:space="preserve">25% MDGS Constant </v>
      </c>
      <c r="K278" s="18">
        <f>VLOOKUP(A278,'[1]Interim '!E:I,5,FALSE)*0.96</f>
        <v>852.48</v>
      </c>
      <c r="L278" s="31">
        <f t="shared" si="39"/>
        <v>3.59448275862069</v>
      </c>
      <c r="M278" s="19">
        <f t="shared" si="40"/>
        <v>20.610381563389829</v>
      </c>
      <c r="N278" s="57">
        <f t="shared" si="41"/>
        <v>0.17440156299704615</v>
      </c>
    </row>
    <row r="279" spans="1:14" x14ac:dyDescent="0.2">
      <c r="A279" s="16">
        <v>4692</v>
      </c>
      <c r="B279" s="17">
        <f>VLOOKUP(A279,'[1]Nebris 11.27'!E:I,5,FALSE)</f>
        <v>652</v>
      </c>
      <c r="C279" s="4">
        <f>VLOOKUP(A279,'[1]Nebris 11.28.23'!E:I,5,FALSE)</f>
        <v>640</v>
      </c>
      <c r="D279" s="56">
        <f t="shared" si="37"/>
        <v>12</v>
      </c>
      <c r="E279" s="18">
        <f t="shared" si="36"/>
        <v>646</v>
      </c>
      <c r="F279" s="4">
        <v>2</v>
      </c>
      <c r="G279" s="4">
        <v>9</v>
      </c>
      <c r="H279" s="4">
        <v>0.79458260064954933</v>
      </c>
      <c r="I279" s="4">
        <v>316</v>
      </c>
      <c r="J279" s="4" t="str">
        <f t="shared" si="38"/>
        <v xml:space="preserve">10% MDGS Constant </v>
      </c>
      <c r="K279" s="18">
        <f>VLOOKUP(A279,'[1]Interim '!E:I,5,FALSE)*0.96</f>
        <v>854.4</v>
      </c>
      <c r="L279" s="31">
        <f t="shared" si="39"/>
        <v>3.5931034482758615</v>
      </c>
      <c r="M279" s="19">
        <f t="shared" si="40"/>
        <v>20.102195246101697</v>
      </c>
      <c r="N279" s="57">
        <f t="shared" si="41"/>
        <v>0.17874184407658916</v>
      </c>
    </row>
    <row r="280" spans="1:14" x14ac:dyDescent="0.2">
      <c r="A280" s="16">
        <v>4632</v>
      </c>
      <c r="B280" s="17">
        <f>VLOOKUP(A280,'[1]Nebris 11.27'!E:I,5,FALSE)</f>
        <v>650</v>
      </c>
      <c r="C280" s="4">
        <f>VLOOKUP(A280,'[1]Nebris 11.28.23'!E:I,5,FALSE)</f>
        <v>650</v>
      </c>
      <c r="D280" s="56">
        <f t="shared" si="37"/>
        <v>0</v>
      </c>
      <c r="E280" s="18">
        <f t="shared" si="36"/>
        <v>650</v>
      </c>
      <c r="F280" s="4">
        <v>2</v>
      </c>
      <c r="G280" s="4">
        <v>9</v>
      </c>
      <c r="H280" s="4">
        <v>0.89435832745578403</v>
      </c>
      <c r="I280" s="4">
        <v>317</v>
      </c>
      <c r="J280" s="4" t="str">
        <f t="shared" si="38"/>
        <v>Control</v>
      </c>
      <c r="K280" s="18">
        <f>VLOOKUP(A280,'[1]Interim '!E:I,5,FALSE)*0.96</f>
        <v>910.07999999999993</v>
      </c>
      <c r="L280" s="31">
        <f t="shared" si="39"/>
        <v>4.4841379310344811</v>
      </c>
      <c r="M280" s="19">
        <f t="shared" si="40"/>
        <v>19.655293186271191</v>
      </c>
      <c r="N280" s="57">
        <f t="shared" si="41"/>
        <v>0.22813894906266557</v>
      </c>
    </row>
    <row r="281" spans="1:14" x14ac:dyDescent="0.2">
      <c r="A281" s="16">
        <v>4768</v>
      </c>
      <c r="B281" s="17">
        <f>VLOOKUP(A281,'[1]Nebris 11.27'!E:I,5,FALSE)</f>
        <v>648</v>
      </c>
      <c r="C281" s="4">
        <f>VLOOKUP(A281,'[1]Nebris 11.28.23'!E:I,5,FALSE)</f>
        <v>630</v>
      </c>
      <c r="D281" s="56">
        <f t="shared" si="37"/>
        <v>18</v>
      </c>
      <c r="E281" s="18">
        <f t="shared" si="36"/>
        <v>639</v>
      </c>
      <c r="F281" s="4">
        <v>2</v>
      </c>
      <c r="G281" s="4">
        <v>9</v>
      </c>
      <c r="H281" s="4">
        <v>0.96879458043770306</v>
      </c>
      <c r="I281" s="4">
        <v>318</v>
      </c>
      <c r="J281" s="4" t="str">
        <f t="shared" si="38"/>
        <v>10% MDGS Variable</v>
      </c>
      <c r="K281" s="18">
        <f>VLOOKUP(A281,'[1]Interim '!E:I,5,FALSE)*0.96</f>
        <v>837.12</v>
      </c>
      <c r="L281" s="31">
        <f t="shared" si="39"/>
        <v>3.4158620689655175</v>
      </c>
      <c r="M281" s="19">
        <f t="shared" si="40"/>
        <v>20.764816593728806</v>
      </c>
      <c r="N281" s="57">
        <f t="shared" si="41"/>
        <v>0.16450239536414415</v>
      </c>
    </row>
    <row r="282" spans="1:14" x14ac:dyDescent="0.2">
      <c r="A282" s="16">
        <v>4494</v>
      </c>
      <c r="B282" s="17">
        <f>VLOOKUP(A282,'[1]Nebris 11.27'!E:I,5,FALSE)</f>
        <v>658</v>
      </c>
      <c r="C282" s="4">
        <f>VLOOKUP(A282,'[1]Nebris 11.28.23'!E:I,5,FALSE)</f>
        <v>658</v>
      </c>
      <c r="D282" s="56">
        <f t="shared" si="37"/>
        <v>0</v>
      </c>
      <c r="E282" s="18">
        <f t="shared" si="36"/>
        <v>658</v>
      </c>
      <c r="F282" s="4">
        <v>2</v>
      </c>
      <c r="G282" s="4">
        <v>10</v>
      </c>
      <c r="H282" s="4">
        <v>2.0153935026966385E-2</v>
      </c>
      <c r="I282" s="4">
        <v>215</v>
      </c>
      <c r="J282" s="4" t="str">
        <f t="shared" si="38"/>
        <v>10% MDGS Variable</v>
      </c>
      <c r="K282" s="18">
        <f>VLOOKUP(A282,'[1]Interim '!E:I,5,FALSE)*0.96</f>
        <v>821.76</v>
      </c>
      <c r="L282" s="31">
        <f t="shared" si="39"/>
        <v>2.8234482758620687</v>
      </c>
      <c r="M282" s="19">
        <f t="shared" si="40"/>
        <v>19.107699350338986</v>
      </c>
      <c r="N282" s="57">
        <f t="shared" si="41"/>
        <v>0.14776495192300471</v>
      </c>
    </row>
    <row r="283" spans="1:14" x14ac:dyDescent="0.2">
      <c r="A283" s="16">
        <v>4554</v>
      </c>
      <c r="B283" s="17">
        <f>VLOOKUP(A283,'[1]Nebris 11.27'!E:I,5,FALSE)</f>
        <v>654</v>
      </c>
      <c r="C283" s="4">
        <f>VLOOKUP(A283,'[1]Nebris 11.28.23'!E:I,5,FALSE)</f>
        <v>658</v>
      </c>
      <c r="D283" s="56">
        <f t="shared" si="37"/>
        <v>-4</v>
      </c>
      <c r="E283" s="18">
        <f t="shared" si="36"/>
        <v>656</v>
      </c>
      <c r="F283" s="4">
        <v>2</v>
      </c>
      <c r="G283" s="4">
        <v>10</v>
      </c>
      <c r="H283" s="4">
        <v>3.7554101124554817E-2</v>
      </c>
      <c r="I283" s="4">
        <v>216</v>
      </c>
      <c r="J283" s="4" t="str">
        <f t="shared" si="38"/>
        <v xml:space="preserve">10% MDGS Constant </v>
      </c>
      <c r="K283" s="18">
        <f>VLOOKUP(A283,'[1]Interim '!E:I,5,FALSE)*0.96</f>
        <v>758.4</v>
      </c>
      <c r="L283" s="31">
        <f t="shared" si="39"/>
        <v>1.7655172413793099</v>
      </c>
      <c r="M283" s="19">
        <f t="shared" si="40"/>
        <v>20.398789655593223</v>
      </c>
      <c r="N283" s="57">
        <f t="shared" si="41"/>
        <v>8.6550097882656288E-2</v>
      </c>
    </row>
    <row r="284" spans="1:14" x14ac:dyDescent="0.2">
      <c r="A284" s="16">
        <v>4733</v>
      </c>
      <c r="B284" s="17">
        <f>VLOOKUP(A284,'[1]Nebris 11.27'!E:I,5,FALSE)</f>
        <v>656</v>
      </c>
      <c r="C284" s="4">
        <f>VLOOKUP(A284,'[1]Nebris 11.28.23'!E:I,5,FALSE)</f>
        <v>660</v>
      </c>
      <c r="D284" s="56">
        <f t="shared" si="37"/>
        <v>-4</v>
      </c>
      <c r="E284" s="18">
        <f t="shared" si="36"/>
        <v>658</v>
      </c>
      <c r="F284" s="4">
        <v>2</v>
      </c>
      <c r="G284" s="4">
        <v>10</v>
      </c>
      <c r="H284" s="4">
        <v>5.4781434944570551E-2</v>
      </c>
      <c r="I284" s="4">
        <v>301</v>
      </c>
      <c r="J284" s="4" t="str">
        <f t="shared" si="38"/>
        <v xml:space="preserve">25% MDGS Constant </v>
      </c>
      <c r="K284" s="18">
        <f>VLOOKUP(A284,'[1]Interim '!E:I,5,FALSE)*0.96</f>
        <v>860.16</v>
      </c>
      <c r="L284" s="31">
        <f t="shared" si="39"/>
        <v>3.4855172413793096</v>
      </c>
      <c r="M284" s="19">
        <f t="shared" si="40"/>
        <v>19.764340823559323</v>
      </c>
      <c r="N284" s="57">
        <f t="shared" si="41"/>
        <v>0.17635383200964297</v>
      </c>
    </row>
    <row r="285" spans="1:14" x14ac:dyDescent="0.2">
      <c r="A285" s="16">
        <v>4706</v>
      </c>
      <c r="B285" s="17">
        <f>VLOOKUP(A285,'[1]Nebris 11.27'!E:I,5,FALSE)</f>
        <v>656</v>
      </c>
      <c r="C285" s="4">
        <f>VLOOKUP(A285,'[1]Nebris 11.28.23'!E:I,5,FALSE)</f>
        <v>684</v>
      </c>
      <c r="D285" s="56">
        <f t="shared" si="37"/>
        <v>-28</v>
      </c>
      <c r="E285" s="18">
        <f t="shared" si="36"/>
        <v>670</v>
      </c>
      <c r="F285" s="4">
        <v>2</v>
      </c>
      <c r="G285" s="4">
        <v>10</v>
      </c>
      <c r="H285" s="4">
        <v>7.8949878381684657E-2</v>
      </c>
      <c r="I285" s="4">
        <v>302</v>
      </c>
      <c r="J285" s="4" t="str">
        <f t="shared" si="38"/>
        <v>25% MDGS Variable</v>
      </c>
      <c r="K285" s="18">
        <f>VLOOKUP(A285,'[1]Interim '!E:I,5,FALSE)*0.96</f>
        <v>831.36</v>
      </c>
      <c r="L285" s="31">
        <f t="shared" si="39"/>
        <v>2.7820689655172415</v>
      </c>
      <c r="M285" s="19">
        <f t="shared" si="40"/>
        <v>18.146163789943504</v>
      </c>
      <c r="N285" s="57">
        <f t="shared" si="41"/>
        <v>0.15331444142805806</v>
      </c>
    </row>
    <row r="286" spans="1:14" x14ac:dyDescent="0.2">
      <c r="A286" s="16">
        <v>4684</v>
      </c>
      <c r="B286" s="17">
        <f>VLOOKUP(A286,'[1]Nebris 11.27'!E:I,5,FALSE)</f>
        <v>660</v>
      </c>
      <c r="C286" s="4">
        <f>VLOOKUP(A286,'[1]Nebris 11.28.23'!E:I,5,FALSE)</f>
        <v>664</v>
      </c>
      <c r="D286" s="56">
        <f t="shared" si="37"/>
        <v>-4</v>
      </c>
      <c r="E286" s="18">
        <f t="shared" si="36"/>
        <v>662</v>
      </c>
      <c r="F286" s="4">
        <v>2</v>
      </c>
      <c r="G286" s="4">
        <v>10</v>
      </c>
      <c r="H286" s="4">
        <v>0.10172422723447649</v>
      </c>
      <c r="I286" s="4">
        <v>303</v>
      </c>
      <c r="J286" s="4" t="str">
        <f t="shared" si="38"/>
        <v>Control</v>
      </c>
      <c r="K286" s="18">
        <f>VLOOKUP(A286,'[1]Interim '!E:I,5,FALSE)*0.96</f>
        <v>764.16</v>
      </c>
      <c r="L286" s="31">
        <f t="shared" si="39"/>
        <v>1.761379310344827</v>
      </c>
      <c r="M286" s="19">
        <f t="shared" si="40"/>
        <v>18.063320037796611</v>
      </c>
      <c r="N286" s="57">
        <f t="shared" si="41"/>
        <v>9.7511382550894699E-2</v>
      </c>
    </row>
    <row r="287" spans="1:14" x14ac:dyDescent="0.2">
      <c r="A287" s="16">
        <v>4312</v>
      </c>
      <c r="B287" s="17">
        <f>VLOOKUP(A287,'[1]Nebris 11.27'!E:I,5,FALSE)</f>
        <v>654</v>
      </c>
      <c r="C287" s="4">
        <f>VLOOKUP(A287,'[1]Nebris 11.28.23'!E:I,5,FALSE)</f>
        <v>650</v>
      </c>
      <c r="D287" s="56">
        <f t="shared" si="37"/>
        <v>4</v>
      </c>
      <c r="E287" s="18">
        <f t="shared" si="36"/>
        <v>652</v>
      </c>
      <c r="F287" s="4">
        <v>2</v>
      </c>
      <c r="G287" s="4">
        <v>10</v>
      </c>
      <c r="H287" s="4">
        <v>0.20735082244761338</v>
      </c>
      <c r="I287" s="4">
        <v>304</v>
      </c>
      <c r="J287" s="4" t="str">
        <f t="shared" si="38"/>
        <v>10% MDGS Variable</v>
      </c>
      <c r="K287" s="18">
        <f>VLOOKUP(A287,'[1]Interim '!E:I,5,FALSE)*0.96</f>
        <v>840.95999999999992</v>
      </c>
      <c r="L287" s="31">
        <f t="shared" si="39"/>
        <v>3.2579310344827572</v>
      </c>
      <c r="M287" s="19">
        <f t="shared" si="40"/>
        <v>18.555515762033892</v>
      </c>
      <c r="N287" s="57">
        <f t="shared" si="41"/>
        <v>0.17557749815549464</v>
      </c>
    </row>
    <row r="288" spans="1:14" x14ac:dyDescent="0.2">
      <c r="A288" s="16">
        <v>4595</v>
      </c>
      <c r="B288" s="17">
        <f>VLOOKUP(A288,'[1]Nebris 11.27'!E:I,5,FALSE)</f>
        <v>658</v>
      </c>
      <c r="C288" s="4">
        <f>VLOOKUP(A288,'[1]Nebris 11.28.23'!E:I,5,FALSE)</f>
        <v>650</v>
      </c>
      <c r="D288" s="56">
        <f t="shared" si="37"/>
        <v>8</v>
      </c>
      <c r="E288" s="18">
        <f t="shared" si="36"/>
        <v>654</v>
      </c>
      <c r="F288" s="4">
        <v>2</v>
      </c>
      <c r="G288" s="4">
        <v>10</v>
      </c>
      <c r="H288" s="4">
        <v>0.23592606683280559</v>
      </c>
      <c r="I288" s="4">
        <v>305</v>
      </c>
      <c r="J288" s="4" t="str">
        <f t="shared" si="38"/>
        <v xml:space="preserve">10% MDGS Constant </v>
      </c>
      <c r="K288" s="18">
        <f>VLOOKUP(A288,'[1]Interim '!E:I,5,FALSE)*0.96</f>
        <v>842.88</v>
      </c>
      <c r="L288" s="31">
        <f t="shared" si="39"/>
        <v>3.2565517241379309</v>
      </c>
      <c r="M288" s="19">
        <f t="shared" si="40"/>
        <v>18.368632711016947</v>
      </c>
      <c r="N288" s="57">
        <f t="shared" si="41"/>
        <v>0.1772887386541705</v>
      </c>
    </row>
    <row r="289" spans="1:14" x14ac:dyDescent="0.2">
      <c r="A289" s="16">
        <v>4590</v>
      </c>
      <c r="B289" s="17">
        <f>VLOOKUP(A289,'[1]Nebris 11.27'!E:I,5,FALSE)</f>
        <v>658</v>
      </c>
      <c r="C289" s="4">
        <f>VLOOKUP(A289,'[1]Nebris 11.28.23'!E:I,5,FALSE)</f>
        <v>650</v>
      </c>
      <c r="D289" s="56">
        <f t="shared" si="37"/>
        <v>8</v>
      </c>
      <c r="E289" s="18">
        <f t="shared" si="36"/>
        <v>654</v>
      </c>
      <c r="F289" s="4">
        <v>2</v>
      </c>
      <c r="G289" s="4">
        <v>10</v>
      </c>
      <c r="H289" s="4">
        <v>0.34943283524800284</v>
      </c>
      <c r="I289" s="4">
        <v>306</v>
      </c>
      <c r="J289" s="4" t="str">
        <f t="shared" si="38"/>
        <v>Control</v>
      </c>
      <c r="K289" s="18">
        <f>VLOOKUP(A289,'[1]Interim '!E:I,5,FALSE)*0.96</f>
        <v>848.64</v>
      </c>
      <c r="L289" s="31">
        <f t="shared" si="39"/>
        <v>3.355862068965517</v>
      </c>
      <c r="M289" s="19">
        <f t="shared" si="40"/>
        <v>19.337783459491533</v>
      </c>
      <c r="N289" s="57">
        <f t="shared" si="41"/>
        <v>0.17353912748042302</v>
      </c>
    </row>
    <row r="290" spans="1:14" x14ac:dyDescent="0.2">
      <c r="A290" s="16">
        <v>4330</v>
      </c>
      <c r="B290" s="17">
        <f>VLOOKUP(A290,'[1]Nebris 11.27'!E:I,5,FALSE)</f>
        <v>660</v>
      </c>
      <c r="C290" s="4">
        <f>VLOOKUP(A290,'[1]Nebris 11.28.23'!E:I,5,FALSE)</f>
        <v>678</v>
      </c>
      <c r="D290" s="56">
        <f t="shared" si="37"/>
        <v>-18</v>
      </c>
      <c r="E290" s="18">
        <f t="shared" si="36"/>
        <v>669</v>
      </c>
      <c r="F290" s="4">
        <v>2</v>
      </c>
      <c r="G290" s="4">
        <v>10</v>
      </c>
      <c r="H290" s="4">
        <v>0.45982552727762238</v>
      </c>
      <c r="I290" s="4">
        <v>307</v>
      </c>
      <c r="J290" s="4" t="str">
        <f t="shared" si="38"/>
        <v>25% MDGS Variable</v>
      </c>
      <c r="K290" s="18">
        <f>VLOOKUP(A290,'[1]Interim '!E:I,5,FALSE)*0.96</f>
        <v>854.4</v>
      </c>
      <c r="L290" s="31">
        <f t="shared" si="39"/>
        <v>3.1965517241379304</v>
      </c>
      <c r="M290" s="19">
        <f t="shared" si="40"/>
        <v>19.036105591355938</v>
      </c>
      <c r="N290" s="57">
        <f t="shared" si="41"/>
        <v>0.16792046612671899</v>
      </c>
    </row>
    <row r="291" spans="1:14" x14ac:dyDescent="0.2">
      <c r="A291" s="16">
        <v>4689</v>
      </c>
      <c r="B291" s="17">
        <f>VLOOKUP(A291,'[1]Nebris 11.27'!E:I,5,FALSE)</f>
        <v>654</v>
      </c>
      <c r="C291" s="4">
        <f>VLOOKUP(A291,'[1]Nebris 11.28.23'!E:I,5,FALSE)</f>
        <v>674</v>
      </c>
      <c r="D291" s="56">
        <f t="shared" si="37"/>
        <v>-20</v>
      </c>
      <c r="E291" s="18">
        <f t="shared" si="36"/>
        <v>664</v>
      </c>
      <c r="F291" s="4">
        <v>2</v>
      </c>
      <c r="G291" s="4">
        <v>10</v>
      </c>
      <c r="H291" s="4">
        <v>0.46687036496121881</v>
      </c>
      <c r="I291" s="4">
        <v>308</v>
      </c>
      <c r="J291" s="4" t="str">
        <f t="shared" si="38"/>
        <v xml:space="preserve">25% MDGS Constant </v>
      </c>
      <c r="K291" s="18">
        <f>VLOOKUP(A291,'[1]Interim '!E:I,5,FALSE)*0.96</f>
        <v>936.95999999999992</v>
      </c>
      <c r="L291" s="31">
        <f t="shared" si="39"/>
        <v>4.7062068965517225</v>
      </c>
      <c r="M291" s="19">
        <f t="shared" si="40"/>
        <v>19.826311333050853</v>
      </c>
      <c r="N291" s="57">
        <f t="shared" si="41"/>
        <v>0.23737178426661659</v>
      </c>
    </row>
    <row r="292" spans="1:14" x14ac:dyDescent="0.2">
      <c r="A292" s="16">
        <v>4491</v>
      </c>
      <c r="B292" s="17">
        <f>VLOOKUP(A292,'[1]Nebris 11.27'!E:I,5,FALSE)</f>
        <v>654</v>
      </c>
      <c r="C292" s="4">
        <f>VLOOKUP(A292,'[1]Nebris 11.28.23'!E:I,5,FALSE)</f>
        <v>652</v>
      </c>
      <c r="D292" s="56">
        <f t="shared" si="37"/>
        <v>2</v>
      </c>
      <c r="E292" s="18">
        <f t="shared" si="36"/>
        <v>653</v>
      </c>
      <c r="F292" s="4">
        <v>2</v>
      </c>
      <c r="G292" s="4">
        <v>10</v>
      </c>
      <c r="H292" s="4">
        <v>0.60165023392333383</v>
      </c>
      <c r="I292" s="4">
        <v>309</v>
      </c>
      <c r="J292" s="4" t="str">
        <f t="shared" si="38"/>
        <v>Control</v>
      </c>
      <c r="K292" s="18">
        <f>VLOOKUP(A292,'[1]Interim '!E:I,5,FALSE)*0.96</f>
        <v>848.64</v>
      </c>
      <c r="L292" s="31">
        <f t="shared" si="39"/>
        <v>3.3731034482758617</v>
      </c>
      <c r="M292" s="19">
        <f t="shared" si="40"/>
        <v>19.729599065254234</v>
      </c>
      <c r="N292" s="57">
        <f t="shared" si="41"/>
        <v>0.17096664950562673</v>
      </c>
    </row>
    <row r="293" spans="1:14" x14ac:dyDescent="0.2">
      <c r="A293" s="16">
        <v>4763</v>
      </c>
      <c r="B293" s="17">
        <f>VLOOKUP(A293,'[1]Nebris 11.27'!E:I,5,FALSE)</f>
        <v>662</v>
      </c>
      <c r="C293" s="4">
        <f>VLOOKUP(A293,'[1]Nebris 11.28.23'!E:I,5,FALSE)</f>
        <v>656</v>
      </c>
      <c r="D293" s="56">
        <f t="shared" si="37"/>
        <v>6</v>
      </c>
      <c r="E293" s="18">
        <f t="shared" si="36"/>
        <v>659</v>
      </c>
      <c r="F293" s="4">
        <v>2</v>
      </c>
      <c r="G293" s="4">
        <v>10</v>
      </c>
      <c r="H293" s="4">
        <v>0.60910860779009668</v>
      </c>
      <c r="I293" s="4">
        <v>310</v>
      </c>
      <c r="J293" s="4" t="str">
        <f t="shared" si="38"/>
        <v>10% MDGS Variable</v>
      </c>
      <c r="K293" s="18">
        <f>VLOOKUP(A293,'[1]Interim '!E:I,5,FALSE)*0.96</f>
        <v>833.28</v>
      </c>
      <c r="L293" s="31">
        <f t="shared" si="39"/>
        <v>3.0048275862068961</v>
      </c>
      <c r="M293" s="19">
        <f t="shared" si="40"/>
        <v>20.764816593728806</v>
      </c>
      <c r="N293" s="57">
        <f t="shared" si="41"/>
        <v>0.14470763912811951</v>
      </c>
    </row>
    <row r="294" spans="1:14" x14ac:dyDescent="0.2">
      <c r="A294" s="16">
        <v>4771</v>
      </c>
      <c r="B294" s="17">
        <f>VLOOKUP(A294,'[1]Nebris 11.27'!E:I,5,FALSE)</f>
        <v>656</v>
      </c>
      <c r="C294" s="4">
        <f>VLOOKUP(A294,'[1]Nebris 11.28.23'!E:I,5,FALSE)</f>
        <v>666</v>
      </c>
      <c r="D294" s="56">
        <f t="shared" si="37"/>
        <v>-10</v>
      </c>
      <c r="E294" s="18">
        <f t="shared" si="36"/>
        <v>661</v>
      </c>
      <c r="F294" s="4">
        <v>2</v>
      </c>
      <c r="G294" s="4">
        <v>10</v>
      </c>
      <c r="H294" s="4">
        <v>0.69045742259181841</v>
      </c>
      <c r="I294" s="4">
        <v>311</v>
      </c>
      <c r="J294" s="4" t="str">
        <f t="shared" si="38"/>
        <v xml:space="preserve">10% MDGS Constant </v>
      </c>
      <c r="K294" s="18">
        <f>VLOOKUP(A294,'[1]Interim '!E:I,5,FALSE)*0.96</f>
        <v>873.6</v>
      </c>
      <c r="L294" s="31">
        <f t="shared" si="39"/>
        <v>3.6655172413793107</v>
      </c>
      <c r="M294" s="19">
        <f t="shared" si="40"/>
        <v>21.070004804237286</v>
      </c>
      <c r="N294" s="57">
        <f t="shared" si="41"/>
        <v>0.17396850524885293</v>
      </c>
    </row>
    <row r="295" spans="1:14" x14ac:dyDescent="0.2">
      <c r="A295" s="16">
        <v>4662</v>
      </c>
      <c r="B295" s="17">
        <f>VLOOKUP(A295,'[1]Nebris 11.27'!E:I,5,FALSE)</f>
        <v>660</v>
      </c>
      <c r="C295" s="4">
        <f>VLOOKUP(A295,'[1]Nebris 11.28.23'!E:I,5,FALSE)</f>
        <v>650</v>
      </c>
      <c r="D295" s="56">
        <f t="shared" si="37"/>
        <v>10</v>
      </c>
      <c r="E295" s="18">
        <f t="shared" si="36"/>
        <v>655</v>
      </c>
      <c r="F295" s="4">
        <v>2</v>
      </c>
      <c r="G295" s="4">
        <v>10</v>
      </c>
      <c r="H295" s="4">
        <v>0.7038063373216511</v>
      </c>
      <c r="I295" s="4">
        <v>312</v>
      </c>
      <c r="J295" s="4" t="str">
        <f t="shared" si="38"/>
        <v xml:space="preserve">25% MDGS Constant </v>
      </c>
      <c r="K295" s="18">
        <f>VLOOKUP(A295,'[1]Interim '!E:I,5,FALSE)*0.96</f>
        <v>808.31999999999994</v>
      </c>
      <c r="L295" s="31">
        <f t="shared" si="39"/>
        <v>2.6434482758620677</v>
      </c>
      <c r="M295" s="19">
        <f t="shared" si="40"/>
        <v>20.726410488305085</v>
      </c>
      <c r="N295" s="57">
        <f t="shared" si="41"/>
        <v>0.12754009081088297</v>
      </c>
    </row>
    <row r="296" spans="1:14" x14ac:dyDescent="0.2">
      <c r="A296" s="16">
        <v>4493</v>
      </c>
      <c r="B296" s="17">
        <f>VLOOKUP(A296,'[1]Nebris 11.27'!E:I,5,FALSE)</f>
        <v>662</v>
      </c>
      <c r="C296" s="4">
        <f>VLOOKUP(A296,'[1]Nebris 11.28.23'!E:I,5,FALSE)</f>
        <v>660</v>
      </c>
      <c r="D296" s="56">
        <f t="shared" si="37"/>
        <v>2</v>
      </c>
      <c r="E296" s="18">
        <f t="shared" si="36"/>
        <v>661</v>
      </c>
      <c r="F296" s="4">
        <v>2</v>
      </c>
      <c r="G296" s="4">
        <v>10</v>
      </c>
      <c r="H296" s="4">
        <v>0.71275773399079856</v>
      </c>
      <c r="I296" s="4">
        <v>313</v>
      </c>
      <c r="J296" s="4" t="str">
        <f t="shared" si="38"/>
        <v>25% MDGS Variable</v>
      </c>
      <c r="K296" s="18">
        <f>VLOOKUP(A296,'[1]Interim '!E:I,5,FALSE)*0.96</f>
        <v>871.68</v>
      </c>
      <c r="L296" s="31">
        <f t="shared" si="39"/>
        <v>3.6324137931034475</v>
      </c>
      <c r="M296" s="19">
        <f t="shared" si="40"/>
        <v>20.372524565423721</v>
      </c>
      <c r="N296" s="57">
        <f t="shared" si="41"/>
        <v>0.17829963986242459</v>
      </c>
    </row>
    <row r="297" spans="1:14" x14ac:dyDescent="0.2">
      <c r="A297" s="16">
        <v>4564</v>
      </c>
      <c r="B297" s="17">
        <f>VLOOKUP(A297,'[1]Nebris 11.27'!E:I,5,FALSE)</f>
        <v>662</v>
      </c>
      <c r="C297" s="4">
        <f>VLOOKUP(A297,'[1]Nebris 11.28.23'!E:I,5,FALSE)</f>
        <v>664</v>
      </c>
      <c r="D297" s="56">
        <f t="shared" si="37"/>
        <v>-2</v>
      </c>
      <c r="E297" s="18">
        <f t="shared" si="36"/>
        <v>663</v>
      </c>
      <c r="F297" s="4">
        <v>2</v>
      </c>
      <c r="G297" s="4">
        <v>10</v>
      </c>
      <c r="H297" s="4">
        <v>0.73978663624062968</v>
      </c>
      <c r="I297" s="4">
        <v>314</v>
      </c>
      <c r="J297" s="4" t="str">
        <f t="shared" si="38"/>
        <v>25% MDGS Variable</v>
      </c>
      <c r="K297" s="18">
        <f>VLOOKUP(A297,'[1]Interim '!E:I,5,FALSE)*0.96</f>
        <v>921.59999999999991</v>
      </c>
      <c r="L297" s="31">
        <f t="shared" si="39"/>
        <v>4.458620689655171</v>
      </c>
      <c r="M297" s="19">
        <f t="shared" si="40"/>
        <v>21.54037682898305</v>
      </c>
      <c r="N297" s="57">
        <f t="shared" si="41"/>
        <v>0.20698898283227798</v>
      </c>
    </row>
    <row r="298" spans="1:14" x14ac:dyDescent="0.2">
      <c r="A298" s="16">
        <v>4352</v>
      </c>
      <c r="B298" s="17">
        <f>VLOOKUP(A298,'[1]Nebris 11.27'!E:I,5,FALSE)</f>
        <v>664</v>
      </c>
      <c r="C298" s="4">
        <f>VLOOKUP(A298,'[1]Nebris 11.28.23'!E:I,5,FALSE)</f>
        <v>646</v>
      </c>
      <c r="D298" s="56">
        <f t="shared" si="37"/>
        <v>18</v>
      </c>
      <c r="E298" s="18">
        <f t="shared" si="36"/>
        <v>655</v>
      </c>
      <c r="F298" s="4">
        <v>2</v>
      </c>
      <c r="G298" s="4">
        <v>10</v>
      </c>
      <c r="H298" s="4">
        <v>0.85235431990355126</v>
      </c>
      <c r="I298" s="4">
        <v>315</v>
      </c>
      <c r="J298" s="4" t="str">
        <f t="shared" si="38"/>
        <v xml:space="preserve">25% MDGS Constant </v>
      </c>
      <c r="K298" s="18">
        <f>VLOOKUP(A298,'[1]Interim '!E:I,5,FALSE)*0.96</f>
        <v>915.83999999999992</v>
      </c>
      <c r="L298" s="31">
        <f t="shared" si="39"/>
        <v>4.4972413793103438</v>
      </c>
      <c r="M298" s="19">
        <f t="shared" si="40"/>
        <v>20.610381563389829</v>
      </c>
      <c r="N298" s="57">
        <f t="shared" si="41"/>
        <v>0.21820272300532187</v>
      </c>
    </row>
    <row r="299" spans="1:14" x14ac:dyDescent="0.2">
      <c r="A299" s="16">
        <v>4426</v>
      </c>
      <c r="B299" s="17">
        <f>VLOOKUP(A299,'[1]Nebris 11.27'!E:I,5,FALSE)</f>
        <v>662</v>
      </c>
      <c r="C299" s="4">
        <f>VLOOKUP(A299,'[1]Nebris 11.28.23'!E:I,5,FALSE)</f>
        <v>658</v>
      </c>
      <c r="D299" s="56">
        <f t="shared" si="37"/>
        <v>4</v>
      </c>
      <c r="E299" s="18">
        <f t="shared" si="36"/>
        <v>660</v>
      </c>
      <c r="F299" s="4">
        <v>2</v>
      </c>
      <c r="G299" s="4">
        <v>10</v>
      </c>
      <c r="H299" s="4">
        <v>0.88728189328675289</v>
      </c>
      <c r="I299" s="4">
        <v>316</v>
      </c>
      <c r="J299" s="4" t="str">
        <f t="shared" si="38"/>
        <v xml:space="preserve">10% MDGS Constant </v>
      </c>
      <c r="K299" s="18">
        <f>VLOOKUP(A299,'[1]Interim '!E:I,5,FALSE)*0.96</f>
        <v>850.56</v>
      </c>
      <c r="L299" s="31">
        <f t="shared" si="39"/>
        <v>3.2855172413793094</v>
      </c>
      <c r="M299" s="19">
        <f t="shared" si="40"/>
        <v>20.102195246101697</v>
      </c>
      <c r="N299" s="57">
        <f t="shared" si="41"/>
        <v>0.16344071884469688</v>
      </c>
    </row>
    <row r="300" spans="1:14" x14ac:dyDescent="0.2">
      <c r="A300" s="16">
        <v>4624</v>
      </c>
      <c r="B300" s="17">
        <f>VLOOKUP(A300,'[1]Nebris 11.27'!E:I,5,FALSE)</f>
        <v>658</v>
      </c>
      <c r="C300" s="4">
        <f>VLOOKUP(A300,'[1]Nebris 11.28.23'!E:I,5,FALSE)</f>
        <v>674</v>
      </c>
      <c r="D300" s="56">
        <f t="shared" si="37"/>
        <v>-16</v>
      </c>
      <c r="E300" s="18">
        <f t="shared" si="36"/>
        <v>666</v>
      </c>
      <c r="F300" s="4">
        <v>2</v>
      </c>
      <c r="G300" s="4">
        <v>10</v>
      </c>
      <c r="H300" s="4">
        <v>0.92115183889855301</v>
      </c>
      <c r="I300" s="4">
        <v>317</v>
      </c>
      <c r="J300" s="4" t="str">
        <f t="shared" si="38"/>
        <v>Control</v>
      </c>
      <c r="K300" s="18">
        <f>VLOOKUP(A300,'[1]Interim '!E:I,5,FALSE)*0.96</f>
        <v>892.8</v>
      </c>
      <c r="L300" s="31">
        <f t="shared" si="39"/>
        <v>3.9103448275862061</v>
      </c>
      <c r="M300" s="19">
        <f t="shared" si="40"/>
        <v>19.655293186271191</v>
      </c>
      <c r="N300" s="57">
        <f t="shared" si="41"/>
        <v>0.19894614598359184</v>
      </c>
    </row>
    <row r="301" spans="1:14" x14ac:dyDescent="0.2">
      <c r="A301" s="16">
        <v>4340</v>
      </c>
      <c r="B301" s="17">
        <f>VLOOKUP(A301,'[1]Nebris 11.27'!E:I,5,FALSE)</f>
        <v>660</v>
      </c>
      <c r="C301" s="4">
        <f>VLOOKUP(A301,'[1]Nebris 11.28.23'!E:I,5,FALSE)</f>
        <v>670</v>
      </c>
      <c r="D301" s="56">
        <f t="shared" si="37"/>
        <v>-10</v>
      </c>
      <c r="E301" s="18">
        <f t="shared" si="36"/>
        <v>665</v>
      </c>
      <c r="F301" s="4">
        <v>2</v>
      </c>
      <c r="G301" s="4">
        <v>10</v>
      </c>
      <c r="H301" s="4">
        <v>0.9923413107390533</v>
      </c>
      <c r="I301" s="4">
        <v>318</v>
      </c>
      <c r="J301" s="4" t="str">
        <f t="shared" si="38"/>
        <v>10% MDGS Variable</v>
      </c>
      <c r="K301" s="18">
        <f>VLOOKUP(A301,'[1]Interim '!E:I,5,FALSE)*0.96</f>
        <v>864</v>
      </c>
      <c r="L301" s="31">
        <f t="shared" si="39"/>
        <v>3.4310344827586206</v>
      </c>
      <c r="M301" s="19">
        <f t="shared" si="40"/>
        <v>20.764816593728806</v>
      </c>
      <c r="N301" s="57">
        <f t="shared" si="41"/>
        <v>0.16523307428560816</v>
      </c>
    </row>
    <row r="302" spans="1:14" x14ac:dyDescent="0.2">
      <c r="A302" s="16">
        <v>4382</v>
      </c>
      <c r="B302" s="17">
        <f>VLOOKUP(A302,'[1]Nebris 11.27'!E:I,5,FALSE)</f>
        <v>666</v>
      </c>
      <c r="C302" s="4">
        <f>VLOOKUP(A302,'[1]Nebris 11.28.23'!E:I,5,FALSE)</f>
        <v>658</v>
      </c>
      <c r="D302" s="56">
        <f t="shared" si="37"/>
        <v>8</v>
      </c>
      <c r="E302" s="18">
        <f t="shared" si="36"/>
        <v>662</v>
      </c>
      <c r="F302" s="4">
        <v>3</v>
      </c>
      <c r="G302" s="4">
        <v>1</v>
      </c>
      <c r="H302" s="4">
        <v>4.9840874335399854E-2</v>
      </c>
      <c r="I302" s="4">
        <v>405</v>
      </c>
      <c r="J302" s="4" t="str">
        <f t="shared" si="38"/>
        <v>10% MDGS Variable</v>
      </c>
      <c r="K302" s="18">
        <f>VLOOKUP(A302,'[1]Interim '!E:I,5,FALSE)*0.96</f>
        <v>908.16</v>
      </c>
      <c r="L302" s="31">
        <f t="shared" si="39"/>
        <v>4.2441379310344818</v>
      </c>
      <c r="M302" s="19">
        <f t="shared" si="40"/>
        <v>21.614662098644061</v>
      </c>
      <c r="N302" s="57">
        <f t="shared" si="41"/>
        <v>0.19635458151810417</v>
      </c>
    </row>
    <row r="303" spans="1:14" x14ac:dyDescent="0.2">
      <c r="A303" s="16">
        <v>4381</v>
      </c>
      <c r="B303" s="17">
        <f>VLOOKUP(A303,'[1]Nebris 11.27'!E:I,5,FALSE)</f>
        <v>666</v>
      </c>
      <c r="C303" s="4">
        <f>VLOOKUP(A303,'[1]Nebris 11.28.23'!E:I,5,FALSE)</f>
        <v>678</v>
      </c>
      <c r="D303" s="56">
        <f t="shared" si="37"/>
        <v>-12</v>
      </c>
      <c r="E303" s="18">
        <f t="shared" si="36"/>
        <v>672</v>
      </c>
      <c r="F303" s="4">
        <v>3</v>
      </c>
      <c r="G303" s="4">
        <v>1</v>
      </c>
      <c r="H303" s="4">
        <v>8.4070182515382896E-2</v>
      </c>
      <c r="I303" s="4">
        <v>406</v>
      </c>
      <c r="J303" s="4" t="str">
        <f t="shared" si="38"/>
        <v xml:space="preserve">10% MDGS Constant </v>
      </c>
      <c r="K303" s="18">
        <f>VLOOKUP(A303,'[1]Interim '!E:I,5,FALSE)*0.96</f>
        <v>913.92</v>
      </c>
      <c r="L303" s="31">
        <f t="shared" si="39"/>
        <v>4.1710344827586203</v>
      </c>
      <c r="M303" s="19">
        <f t="shared" si="40"/>
        <v>22.4464491938983</v>
      </c>
      <c r="N303" s="57">
        <f t="shared" si="41"/>
        <v>0.18582157234438879</v>
      </c>
    </row>
    <row r="304" spans="1:14" x14ac:dyDescent="0.2">
      <c r="A304" s="16">
        <v>4489</v>
      </c>
      <c r="B304" s="17">
        <f>VLOOKUP(A304,'[1]Nebris 11.27'!E:I,5,FALSE)</f>
        <v>668</v>
      </c>
      <c r="C304" s="4">
        <f>VLOOKUP(A304,'[1]Nebris 11.28.23'!E:I,5,FALSE)</f>
        <v>660</v>
      </c>
      <c r="D304" s="56">
        <f t="shared" si="37"/>
        <v>8</v>
      </c>
      <c r="E304" s="18">
        <f t="shared" si="36"/>
        <v>664</v>
      </c>
      <c r="F304" s="4">
        <v>3</v>
      </c>
      <c r="G304" s="4">
        <v>1</v>
      </c>
      <c r="H304" s="4">
        <v>0.29800920261008434</v>
      </c>
      <c r="I304" s="4">
        <v>407</v>
      </c>
      <c r="J304" s="4" t="str">
        <f t="shared" si="38"/>
        <v>25% MDGS Variable</v>
      </c>
      <c r="K304" s="18">
        <f>VLOOKUP(A304,'[1]Interim '!E:I,5,FALSE)*0.96</f>
        <v>816</v>
      </c>
      <c r="L304" s="31">
        <f t="shared" si="39"/>
        <v>2.6206896551724137</v>
      </c>
      <c r="M304" s="19">
        <f t="shared" si="40"/>
        <v>21.57522001084747</v>
      </c>
      <c r="N304" s="57">
        <f t="shared" si="41"/>
        <v>0.12146757501683866</v>
      </c>
    </row>
    <row r="305" spans="1:14" x14ac:dyDescent="0.2">
      <c r="A305" s="16">
        <v>4507</v>
      </c>
      <c r="B305" s="17">
        <f>VLOOKUP(A305,'[1]Nebris 11.27'!E:I,5,FALSE)</f>
        <v>666</v>
      </c>
      <c r="C305" s="4">
        <f>VLOOKUP(A305,'[1]Nebris 11.28.23'!E:I,5,FALSE)</f>
        <v>662</v>
      </c>
      <c r="D305" s="56">
        <f t="shared" si="37"/>
        <v>4</v>
      </c>
      <c r="E305" s="18">
        <f t="shared" si="36"/>
        <v>664</v>
      </c>
      <c r="F305" s="4">
        <v>3</v>
      </c>
      <c r="G305" s="4">
        <v>1</v>
      </c>
      <c r="H305" s="4">
        <v>0.37539029469680707</v>
      </c>
      <c r="I305" s="4">
        <v>408</v>
      </c>
      <c r="J305" s="4" t="str">
        <f t="shared" si="38"/>
        <v>Control</v>
      </c>
      <c r="K305" s="18">
        <f>VLOOKUP(A305,'[1]Interim '!E:I,5,FALSE)*0.96</f>
        <v>808.31999999999994</v>
      </c>
      <c r="L305" s="31">
        <f t="shared" si="39"/>
        <v>2.4882758620689645</v>
      </c>
      <c r="M305" s="19">
        <f t="shared" si="40"/>
        <v>20.467026300338979</v>
      </c>
      <c r="N305" s="57">
        <f t="shared" si="41"/>
        <v>0.12157486024375476</v>
      </c>
    </row>
    <row r="306" spans="1:14" x14ac:dyDescent="0.2">
      <c r="A306" s="16">
        <v>4751</v>
      </c>
      <c r="B306" s="17">
        <f>VLOOKUP(A306,'[1]Nebris 11.27'!E:I,5,FALSE)</f>
        <v>664</v>
      </c>
      <c r="C306" s="4">
        <f>VLOOKUP(A306,'[1]Nebris 11.28.23'!E:I,5,FALSE)</f>
        <v>644</v>
      </c>
      <c r="D306" s="56">
        <f t="shared" si="37"/>
        <v>20</v>
      </c>
      <c r="E306" s="18">
        <f t="shared" si="36"/>
        <v>654</v>
      </c>
      <c r="F306" s="4">
        <v>3</v>
      </c>
      <c r="G306" s="4">
        <v>1</v>
      </c>
      <c r="H306" s="4">
        <v>0.44192274357136296</v>
      </c>
      <c r="I306" s="4">
        <v>409</v>
      </c>
      <c r="J306" s="4" t="str">
        <f t="shared" si="38"/>
        <v xml:space="preserve">25% MDGS Constant </v>
      </c>
      <c r="K306" s="18">
        <f>VLOOKUP(A306,'[1]Interim '!E:I,5,FALSE)*0.96</f>
        <v>860.16</v>
      </c>
      <c r="L306" s="31">
        <f t="shared" si="39"/>
        <v>3.5544827586206891</v>
      </c>
      <c r="M306" s="19">
        <f t="shared" si="40"/>
        <v>22.10041812305084</v>
      </c>
      <c r="N306" s="57">
        <f t="shared" si="41"/>
        <v>0.16083328101893904</v>
      </c>
    </row>
    <row r="307" spans="1:14" x14ac:dyDescent="0.2">
      <c r="A307" s="16">
        <v>4570</v>
      </c>
      <c r="B307" s="17">
        <f>VLOOKUP(A307,'[1]Nebris 11.27'!E:I,5,FALSE)</f>
        <v>666</v>
      </c>
      <c r="C307" s="4">
        <f>VLOOKUP(A307,'[1]Nebris 11.28.23'!E:I,5,FALSE)</f>
        <v>686</v>
      </c>
      <c r="D307" s="56">
        <f t="shared" si="37"/>
        <v>-20</v>
      </c>
      <c r="E307" s="18">
        <f t="shared" si="36"/>
        <v>676</v>
      </c>
      <c r="F307" s="4">
        <v>3</v>
      </c>
      <c r="G307" s="4">
        <v>1</v>
      </c>
      <c r="H307" s="4">
        <v>0.50087936529855448</v>
      </c>
      <c r="I307" s="4">
        <v>410</v>
      </c>
      <c r="J307" s="4" t="str">
        <f t="shared" si="38"/>
        <v>25% MDGS Variable</v>
      </c>
      <c r="K307" s="18">
        <f>VLOOKUP(A307,'[1]Interim '!E:I,5,FALSE)*0.96</f>
        <v>806.4</v>
      </c>
      <c r="L307" s="31">
        <f t="shared" si="39"/>
        <v>2.2482758620689651</v>
      </c>
      <c r="M307" s="19">
        <f t="shared" si="40"/>
        <v>20.77588098728814</v>
      </c>
      <c r="N307" s="57">
        <f t="shared" si="41"/>
        <v>0.10821566909459038</v>
      </c>
    </row>
    <row r="308" spans="1:14" x14ac:dyDescent="0.2">
      <c r="A308" s="16">
        <v>4402</v>
      </c>
      <c r="B308" s="17">
        <f>VLOOKUP(A308,'[1]Nebris 11.27'!E:I,5,FALSE)</f>
        <v>668</v>
      </c>
      <c r="C308" s="4">
        <f>VLOOKUP(A308,'[1]Nebris 11.28.23'!E:I,5,FALSE)</f>
        <v>684</v>
      </c>
      <c r="D308" s="56">
        <f t="shared" si="37"/>
        <v>-16</v>
      </c>
      <c r="E308" s="18">
        <f t="shared" si="36"/>
        <v>676</v>
      </c>
      <c r="F308" s="4">
        <v>3</v>
      </c>
      <c r="G308" s="4">
        <v>1</v>
      </c>
      <c r="H308" s="4">
        <v>0.5653015122853341</v>
      </c>
      <c r="I308" s="4">
        <v>411</v>
      </c>
      <c r="J308" s="4" t="str">
        <f t="shared" si="38"/>
        <v xml:space="preserve">10% MDGS Constant </v>
      </c>
      <c r="K308" s="18">
        <f>VLOOKUP(A308,'[1]Interim '!E:I,5,FALSE)*0.96</f>
        <v>848.64</v>
      </c>
      <c r="L308" s="31">
        <f t="shared" si="39"/>
        <v>2.9765517241379307</v>
      </c>
      <c r="M308" s="19">
        <f t="shared" si="40"/>
        <v>20.84857577757062</v>
      </c>
      <c r="N308" s="57">
        <f t="shared" si="41"/>
        <v>0.14277002687829515</v>
      </c>
    </row>
    <row r="309" spans="1:14" x14ac:dyDescent="0.2">
      <c r="A309" s="16">
        <v>4326</v>
      </c>
      <c r="B309" s="17">
        <f>VLOOKUP(A309,'[1]Nebris 11.27'!E:I,5,FALSE)</f>
        <v>666</v>
      </c>
      <c r="C309" s="4">
        <f>VLOOKUP(A309,'[1]Nebris 11.28.23'!E:I,5,FALSE)</f>
        <v>670</v>
      </c>
      <c r="D309" s="56">
        <f t="shared" si="37"/>
        <v>-4</v>
      </c>
      <c r="E309" s="18">
        <f t="shared" si="36"/>
        <v>668</v>
      </c>
      <c r="F309" s="4">
        <v>3</v>
      </c>
      <c r="G309" s="4">
        <v>1</v>
      </c>
      <c r="H309" s="4">
        <v>0.76893084122481581</v>
      </c>
      <c r="I309" s="4">
        <v>412</v>
      </c>
      <c r="J309" s="4" t="str">
        <f t="shared" si="38"/>
        <v>Control</v>
      </c>
      <c r="K309" s="18">
        <f>VLOOKUP(A309,'[1]Interim '!E:I,5,FALSE)*0.96</f>
        <v>910.07999999999993</v>
      </c>
      <c r="L309" s="31">
        <f t="shared" si="39"/>
        <v>4.1737931034482747</v>
      </c>
      <c r="M309" s="19">
        <f t="shared" si="40"/>
        <v>20.855004456685496</v>
      </c>
      <c r="N309" s="57">
        <f t="shared" si="41"/>
        <v>0.20013388691030851</v>
      </c>
    </row>
    <row r="310" spans="1:14" x14ac:dyDescent="0.2">
      <c r="A310" s="16">
        <v>4462</v>
      </c>
      <c r="B310" s="17">
        <f>VLOOKUP(A310,'[1]Nebris 11.27'!E:I,5,FALSE)</f>
        <v>666</v>
      </c>
      <c r="C310" s="4">
        <f>VLOOKUP(A310,'[1]Nebris 11.28.23'!E:I,5,FALSE)</f>
        <v>674</v>
      </c>
      <c r="D310" s="56">
        <f t="shared" si="37"/>
        <v>-8</v>
      </c>
      <c r="E310" s="18">
        <f t="shared" si="36"/>
        <v>670</v>
      </c>
      <c r="F310" s="4">
        <v>3</v>
      </c>
      <c r="G310" s="4">
        <v>1</v>
      </c>
      <c r="H310" s="4">
        <v>0.78409850727949471</v>
      </c>
      <c r="I310" s="4">
        <v>413</v>
      </c>
      <c r="J310" s="4" t="str">
        <f t="shared" si="38"/>
        <v xml:space="preserve">25% MDGS Constant </v>
      </c>
      <c r="K310" s="18">
        <f>VLOOKUP(A310,'[1]Interim '!E:I,5,FALSE)*0.96</f>
        <v>904.31999999999994</v>
      </c>
      <c r="L310" s="31">
        <f t="shared" si="39"/>
        <v>4.0399999999999991</v>
      </c>
      <c r="M310" s="19">
        <f t="shared" si="40"/>
        <v>22.388855908644061</v>
      </c>
      <c r="N310" s="57">
        <f t="shared" si="41"/>
        <v>0.18044691593375278</v>
      </c>
    </row>
    <row r="311" spans="1:14" x14ac:dyDescent="0.2">
      <c r="A311" s="16">
        <v>4458</v>
      </c>
      <c r="B311" s="17">
        <f>VLOOKUP(A311,'[1]Nebris 11.27'!E:I,5,FALSE)</f>
        <v>666</v>
      </c>
      <c r="C311" s="4">
        <f>VLOOKUP(A311,'[1]Nebris 11.28.23'!E:I,5,FALSE)</f>
        <v>662</v>
      </c>
      <c r="D311" s="56">
        <f t="shared" si="37"/>
        <v>4</v>
      </c>
      <c r="E311" s="18">
        <f t="shared" si="36"/>
        <v>664</v>
      </c>
      <c r="F311" s="4">
        <v>3</v>
      </c>
      <c r="G311" s="4">
        <v>1</v>
      </c>
      <c r="H311" s="4">
        <v>0.84606333334319073</v>
      </c>
      <c r="I311" s="4">
        <v>414</v>
      </c>
      <c r="J311" s="4" t="str">
        <f t="shared" si="38"/>
        <v>10% MDGS Variable</v>
      </c>
      <c r="K311" s="18">
        <f>VLOOKUP(A311,'[1]Interim '!E:I,5,FALSE)*0.96</f>
        <v>869.76</v>
      </c>
      <c r="L311" s="31">
        <f t="shared" si="39"/>
        <v>3.5475862068965514</v>
      </c>
      <c r="M311" s="19">
        <f t="shared" si="40"/>
        <v>22.8017127959322</v>
      </c>
      <c r="N311" s="57">
        <f t="shared" si="41"/>
        <v>0.15558419837344134</v>
      </c>
    </row>
    <row r="312" spans="1:14" x14ac:dyDescent="0.2">
      <c r="A312" s="16">
        <v>4520</v>
      </c>
      <c r="B312" s="17">
        <f>VLOOKUP(A312,'[1]Nebris 11.27'!E:I,5,FALSE)</f>
        <v>672</v>
      </c>
      <c r="C312" s="4">
        <f>VLOOKUP(A312,'[1]Nebris 11.28.23'!E:I,5,FALSE)</f>
        <v>682</v>
      </c>
      <c r="D312" s="56">
        <f t="shared" si="37"/>
        <v>-10</v>
      </c>
      <c r="E312" s="18">
        <f t="shared" si="36"/>
        <v>677</v>
      </c>
      <c r="F312" s="4">
        <v>3</v>
      </c>
      <c r="G312" s="4">
        <v>2</v>
      </c>
      <c r="H312" s="4">
        <v>6.0951094670921968E-2</v>
      </c>
      <c r="I312" s="4">
        <v>405</v>
      </c>
      <c r="J312" s="4" t="str">
        <f t="shared" si="38"/>
        <v>10% MDGS Variable</v>
      </c>
      <c r="K312" s="18">
        <f>VLOOKUP(A312,'[1]Interim '!E:I,5,FALSE)*0.96</f>
        <v>902.4</v>
      </c>
      <c r="L312" s="31">
        <f t="shared" si="39"/>
        <v>3.8862068965517236</v>
      </c>
      <c r="M312" s="19">
        <f t="shared" si="40"/>
        <v>21.614662098644061</v>
      </c>
      <c r="N312" s="57">
        <f t="shared" si="41"/>
        <v>0.17979494099033427</v>
      </c>
    </row>
    <row r="313" spans="1:14" x14ac:dyDescent="0.2">
      <c r="A313" s="16">
        <v>4601</v>
      </c>
      <c r="B313" s="17">
        <f>VLOOKUP(A313,'[1]Nebris 11.27'!E:I,5,FALSE)</f>
        <v>668</v>
      </c>
      <c r="C313" s="4">
        <f>VLOOKUP(A313,'[1]Nebris 11.28.23'!E:I,5,FALSE)</f>
        <v>682</v>
      </c>
      <c r="D313" s="56">
        <f t="shared" si="37"/>
        <v>-14</v>
      </c>
      <c r="E313" s="18">
        <f t="shared" si="36"/>
        <v>675</v>
      </c>
      <c r="F313" s="4">
        <v>3</v>
      </c>
      <c r="G313" s="4">
        <v>2</v>
      </c>
      <c r="H313" s="4">
        <v>0.17706136919412674</v>
      </c>
      <c r="I313" s="4">
        <v>406</v>
      </c>
      <c r="J313" s="4" t="str">
        <f t="shared" si="38"/>
        <v xml:space="preserve">10% MDGS Constant </v>
      </c>
      <c r="K313" s="18">
        <f>VLOOKUP(A313,'[1]Interim '!E:I,5,FALSE)*0.96</f>
        <v>864</v>
      </c>
      <c r="L313" s="31">
        <f t="shared" si="39"/>
        <v>3.2586206896551726</v>
      </c>
      <c r="M313" s="19">
        <f t="shared" si="40"/>
        <v>22.4464491938983</v>
      </c>
      <c r="N313" s="57">
        <f t="shared" si="41"/>
        <v>0.14517310339405376</v>
      </c>
    </row>
    <row r="314" spans="1:14" x14ac:dyDescent="0.2">
      <c r="A314" s="16">
        <v>4515</v>
      </c>
      <c r="B314" s="17">
        <f>VLOOKUP(A314,'[1]Nebris 11.27'!E:I,5,FALSE)</f>
        <v>674</v>
      </c>
      <c r="C314" s="4">
        <f>VLOOKUP(A314,'[1]Nebris 11.28.23'!E:I,5,FALSE)</f>
        <v>664</v>
      </c>
      <c r="D314" s="56">
        <f t="shared" si="37"/>
        <v>10</v>
      </c>
      <c r="E314" s="18">
        <f t="shared" si="36"/>
        <v>669</v>
      </c>
      <c r="F314" s="4">
        <v>3</v>
      </c>
      <c r="G314" s="4">
        <v>2</v>
      </c>
      <c r="H314" s="4">
        <v>0.23396072203579243</v>
      </c>
      <c r="I314" s="4">
        <v>407</v>
      </c>
      <c r="J314" s="4" t="str">
        <f t="shared" si="38"/>
        <v>25% MDGS Variable</v>
      </c>
      <c r="K314" s="18">
        <f>VLOOKUP(A314,'[1]Interim '!E:I,5,FALSE)*0.96</f>
        <v>806.4</v>
      </c>
      <c r="L314" s="31">
        <f t="shared" si="39"/>
        <v>2.3689655172413788</v>
      </c>
      <c r="M314" s="19">
        <f t="shared" si="40"/>
        <v>21.57522001084747</v>
      </c>
      <c r="N314" s="57">
        <f t="shared" si="41"/>
        <v>0.10980029478495809</v>
      </c>
    </row>
    <row r="315" spans="1:14" x14ac:dyDescent="0.2">
      <c r="A315" s="16">
        <v>4461</v>
      </c>
      <c r="B315" s="17">
        <f>VLOOKUP(A315,'[1]Nebris 11.27'!E:I,5,FALSE)</f>
        <v>670</v>
      </c>
      <c r="C315" s="4">
        <f>VLOOKUP(A315,'[1]Nebris 11.28.23'!E:I,5,FALSE)</f>
        <v>680</v>
      </c>
      <c r="D315" s="56">
        <f t="shared" si="37"/>
        <v>-10</v>
      </c>
      <c r="E315" s="18">
        <f t="shared" si="36"/>
        <v>675</v>
      </c>
      <c r="F315" s="4">
        <v>3</v>
      </c>
      <c r="G315" s="4">
        <v>2</v>
      </c>
      <c r="H315" s="4">
        <v>0.2455400706200086</v>
      </c>
      <c r="I315" s="4">
        <v>408</v>
      </c>
      <c r="J315" s="4" t="str">
        <f t="shared" si="38"/>
        <v>Control</v>
      </c>
      <c r="K315" s="18">
        <f>VLOOKUP(A315,'[1]Interim '!E:I,5,FALSE)*0.96</f>
        <v>871.68</v>
      </c>
      <c r="L315" s="31">
        <f t="shared" si="39"/>
        <v>3.3910344827586196</v>
      </c>
      <c r="M315" s="19">
        <f t="shared" si="40"/>
        <v>20.467026300338979</v>
      </c>
      <c r="N315" s="57">
        <f t="shared" si="41"/>
        <v>0.16568281258828776</v>
      </c>
    </row>
    <row r="316" spans="1:14" x14ac:dyDescent="0.2">
      <c r="A316" s="16">
        <v>4584</v>
      </c>
      <c r="B316" s="17">
        <f>VLOOKUP(A316,'[1]Nebris 11.27'!E:I,5,FALSE)</f>
        <v>668</v>
      </c>
      <c r="C316" s="4">
        <f>VLOOKUP(A316,'[1]Nebris 11.28.23'!E:I,5,FALSE)</f>
        <v>652</v>
      </c>
      <c r="D316" s="56">
        <f t="shared" si="37"/>
        <v>16</v>
      </c>
      <c r="E316" s="18">
        <f t="shared" si="36"/>
        <v>660</v>
      </c>
      <c r="F316" s="4">
        <v>3</v>
      </c>
      <c r="G316" s="4">
        <v>2</v>
      </c>
      <c r="H316" s="4">
        <v>0.28496471638050114</v>
      </c>
      <c r="I316" s="4">
        <v>409</v>
      </c>
      <c r="J316" s="4" t="str">
        <f t="shared" si="38"/>
        <v xml:space="preserve">25% MDGS Constant </v>
      </c>
      <c r="K316" s="18">
        <f>VLOOKUP(A316,'[1]Interim '!E:I,5,FALSE)*0.96</f>
        <v>877.43999999999994</v>
      </c>
      <c r="L316" s="31">
        <f t="shared" si="39"/>
        <v>3.7489655172413783</v>
      </c>
      <c r="M316" s="19">
        <f t="shared" si="40"/>
        <v>22.10041812305084</v>
      </c>
      <c r="N316" s="57">
        <f t="shared" si="41"/>
        <v>0.16963323935175642</v>
      </c>
    </row>
    <row r="317" spans="1:14" x14ac:dyDescent="0.2">
      <c r="A317" s="16">
        <v>4373</v>
      </c>
      <c r="B317" s="17">
        <f>VLOOKUP(A317,'[1]Nebris 11.27'!E:I,5,FALSE)</f>
        <v>670</v>
      </c>
      <c r="C317" s="4">
        <f>VLOOKUP(A317,'[1]Nebris 11.28.23'!E:I,5,FALSE)</f>
        <v>680</v>
      </c>
      <c r="D317" s="56">
        <f t="shared" si="37"/>
        <v>-10</v>
      </c>
      <c r="E317" s="18">
        <f t="shared" si="36"/>
        <v>675</v>
      </c>
      <c r="F317" s="4">
        <v>3</v>
      </c>
      <c r="G317" s="4">
        <v>2</v>
      </c>
      <c r="H317" s="4">
        <v>0.41366172714829907</v>
      </c>
      <c r="I317" s="4">
        <v>410</v>
      </c>
      <c r="J317" s="4" t="str">
        <f t="shared" si="38"/>
        <v>25% MDGS Variable</v>
      </c>
      <c r="K317" s="18">
        <f>VLOOKUP(A317,'[1]Interim '!E:I,5,FALSE)*0.96</f>
        <v>871.68</v>
      </c>
      <c r="L317" s="31">
        <f t="shared" si="39"/>
        <v>3.3910344827586196</v>
      </c>
      <c r="M317" s="19">
        <f t="shared" si="40"/>
        <v>20.77588098728814</v>
      </c>
      <c r="N317" s="57">
        <f t="shared" si="41"/>
        <v>0.16321976838592051</v>
      </c>
    </row>
    <row r="318" spans="1:14" x14ac:dyDescent="0.2">
      <c r="A318" s="16">
        <v>4514</v>
      </c>
      <c r="B318" s="17">
        <f>VLOOKUP(A318,'[1]Nebris 11.27'!E:I,5,FALSE)</f>
        <v>670</v>
      </c>
      <c r="C318" s="4">
        <f>VLOOKUP(A318,'[1]Nebris 11.28.23'!E:I,5,FALSE)</f>
        <v>668</v>
      </c>
      <c r="D318" s="56">
        <f t="shared" si="37"/>
        <v>2</v>
      </c>
      <c r="E318" s="18">
        <f t="shared" si="36"/>
        <v>669</v>
      </c>
      <c r="F318" s="4">
        <v>3</v>
      </c>
      <c r="G318" s="4">
        <v>2</v>
      </c>
      <c r="H318" s="4">
        <v>0.43798575815350549</v>
      </c>
      <c r="I318" s="4" t="s">
        <v>48</v>
      </c>
      <c r="J318" s="4" t="e">
        <f t="shared" si="38"/>
        <v>#N/A</v>
      </c>
      <c r="K318" s="22"/>
      <c r="L318" s="31" t="s">
        <v>43</v>
      </c>
      <c r="M318" s="19" t="e">
        <f t="shared" si="40"/>
        <v>#N/A</v>
      </c>
      <c r="N318" s="57" t="e">
        <f t="shared" si="41"/>
        <v>#VALUE!</v>
      </c>
    </row>
    <row r="319" spans="1:14" x14ac:dyDescent="0.2">
      <c r="A319" s="16">
        <v>4398</v>
      </c>
      <c r="B319" s="17">
        <f>VLOOKUP(A319,'[1]Nebris 11.27'!E:I,5,FALSE)</f>
        <v>670</v>
      </c>
      <c r="C319" s="4">
        <f>VLOOKUP(A319,'[1]Nebris 11.28.23'!E:I,5,FALSE)</f>
        <v>658</v>
      </c>
      <c r="D319" s="56">
        <f t="shared" si="37"/>
        <v>12</v>
      </c>
      <c r="E319" s="18">
        <f t="shared" si="36"/>
        <v>664</v>
      </c>
      <c r="F319" s="4">
        <v>3</v>
      </c>
      <c r="G319" s="4">
        <v>2</v>
      </c>
      <c r="H319" s="4">
        <v>0.49781968219316741</v>
      </c>
      <c r="I319" s="4">
        <v>412</v>
      </c>
      <c r="J319" s="4" t="str">
        <f t="shared" si="38"/>
        <v>Control</v>
      </c>
      <c r="K319" s="18">
        <f>VLOOKUP(A319,'[1]Interim '!E:I,5,FALSE)*0.96</f>
        <v>871.68</v>
      </c>
      <c r="L319" s="31">
        <f t="shared" si="39"/>
        <v>3.5806896551724128</v>
      </c>
      <c r="M319" s="19">
        <f t="shared" si="40"/>
        <v>20.855004456685496</v>
      </c>
      <c r="N319" s="57">
        <f t="shared" si="41"/>
        <v>0.17169450443462025</v>
      </c>
    </row>
    <row r="320" spans="1:14" x14ac:dyDescent="0.2">
      <c r="A320" s="16">
        <v>4568</v>
      </c>
      <c r="B320" s="17">
        <f>VLOOKUP(A320,'[1]Nebris 11.27'!E:I,5,FALSE)</f>
        <v>670</v>
      </c>
      <c r="C320" s="4">
        <f>VLOOKUP(A320,'[1]Nebris 11.28.23'!E:I,5,FALSE)</f>
        <v>686</v>
      </c>
      <c r="D320" s="56">
        <f t="shared" si="37"/>
        <v>-16</v>
      </c>
      <c r="E320" s="18">
        <f t="shared" si="36"/>
        <v>678</v>
      </c>
      <c r="F320" s="4">
        <v>3</v>
      </c>
      <c r="G320" s="4">
        <v>2</v>
      </c>
      <c r="H320" s="4">
        <v>0.61174315994503337</v>
      </c>
      <c r="I320" s="4">
        <v>413</v>
      </c>
      <c r="J320" s="4" t="str">
        <f t="shared" si="38"/>
        <v xml:space="preserve">25% MDGS Constant </v>
      </c>
      <c r="K320" s="18">
        <f>VLOOKUP(A320,'[1]Interim '!E:I,5,FALSE)*0.96</f>
        <v>890.88</v>
      </c>
      <c r="L320" s="31">
        <f t="shared" si="39"/>
        <v>3.6703448275862067</v>
      </c>
      <c r="M320" s="19">
        <f t="shared" si="40"/>
        <v>22.388855908644061</v>
      </c>
      <c r="N320" s="57">
        <f t="shared" si="41"/>
        <v>0.16393623875032989</v>
      </c>
    </row>
    <row r="321" spans="1:14" x14ac:dyDescent="0.2">
      <c r="A321" s="16">
        <v>4731</v>
      </c>
      <c r="B321" s="17">
        <f>VLOOKUP(A321,'[1]Nebris 11.27'!E:I,5,FALSE)</f>
        <v>668</v>
      </c>
      <c r="C321" s="4">
        <f>VLOOKUP(A321,'[1]Nebris 11.28.23'!E:I,5,FALSE)</f>
        <v>670</v>
      </c>
      <c r="D321" s="56">
        <f t="shared" si="37"/>
        <v>-2</v>
      </c>
      <c r="E321" s="18">
        <f t="shared" si="36"/>
        <v>669</v>
      </c>
      <c r="F321" s="4">
        <v>3</v>
      </c>
      <c r="G321" s="4">
        <v>2</v>
      </c>
      <c r="H321" s="4">
        <v>0.86946287991255289</v>
      </c>
      <c r="I321" s="4">
        <v>414</v>
      </c>
      <c r="J321" s="4" t="str">
        <f t="shared" si="38"/>
        <v>10% MDGS Variable</v>
      </c>
      <c r="K321" s="18">
        <f>VLOOKUP(A321,'[1]Interim '!E:I,5,FALSE)*0.96</f>
        <v>840.95999999999992</v>
      </c>
      <c r="L321" s="31">
        <f t="shared" si="39"/>
        <v>2.9648275862068951</v>
      </c>
      <c r="M321" s="19">
        <f t="shared" si="40"/>
        <v>22.8017127959322</v>
      </c>
      <c r="N321" s="57">
        <f t="shared" si="41"/>
        <v>0.13002652970595335</v>
      </c>
    </row>
    <row r="322" spans="1:14" x14ac:dyDescent="0.2">
      <c r="A322" s="16">
        <v>4401</v>
      </c>
      <c r="B322" s="17">
        <f>VLOOKUP(A322,'[1]Nebris 11.27'!E:I,5,FALSE)</f>
        <v>676</v>
      </c>
      <c r="C322" s="4">
        <f>VLOOKUP(A322,'[1]Nebris 11.28.23'!E:I,5,FALSE)</f>
        <v>676</v>
      </c>
      <c r="D322" s="56">
        <f t="shared" si="37"/>
        <v>0</v>
      </c>
      <c r="E322" s="18">
        <f t="shared" ref="E322:E385" si="42">AVERAGE(B322:C322)</f>
        <v>676</v>
      </c>
      <c r="F322" s="4">
        <v>3</v>
      </c>
      <c r="G322" s="4">
        <v>3</v>
      </c>
      <c r="H322" s="4">
        <v>9.7513781595063742E-2</v>
      </c>
      <c r="I322" s="4">
        <v>405</v>
      </c>
      <c r="J322" s="4" t="str">
        <f t="shared" si="38"/>
        <v>10% MDGS Variable</v>
      </c>
      <c r="K322" s="18">
        <f>VLOOKUP(A322,'[1]Interim '!E:I,5,FALSE)*0.96</f>
        <v>894.71999999999991</v>
      </c>
      <c r="L322" s="31">
        <f t="shared" si="39"/>
        <v>3.7710344827586191</v>
      </c>
      <c r="M322" s="19">
        <f t="shared" si="40"/>
        <v>21.614662098644061</v>
      </c>
      <c r="N322" s="57">
        <f t="shared" si="41"/>
        <v>0.17446650174536779</v>
      </c>
    </row>
    <row r="323" spans="1:14" x14ac:dyDescent="0.2">
      <c r="A323" s="16">
        <v>4534</v>
      </c>
      <c r="B323" s="17">
        <f>VLOOKUP(A323,'[1]Nebris 11.27'!E:I,5,FALSE)</f>
        <v>678</v>
      </c>
      <c r="C323" s="4">
        <f>VLOOKUP(A323,'[1]Nebris 11.28.23'!E:I,5,FALSE)</f>
        <v>692</v>
      </c>
      <c r="D323" s="56">
        <f t="shared" ref="D323:D386" si="43">B323-C323</f>
        <v>-14</v>
      </c>
      <c r="E323" s="18">
        <f t="shared" si="42"/>
        <v>685</v>
      </c>
      <c r="F323" s="4">
        <v>3</v>
      </c>
      <c r="G323" s="4">
        <v>3</v>
      </c>
      <c r="H323" s="4">
        <v>0.19728055291129509</v>
      </c>
      <c r="I323" s="4">
        <v>406</v>
      </c>
      <c r="J323" s="4" t="str">
        <f t="shared" ref="J323:J386" si="44">VLOOKUP(I323,$T$2:$X$57,5,FALSE)</f>
        <v xml:space="preserve">10% MDGS Constant </v>
      </c>
      <c r="K323" s="18">
        <f>VLOOKUP(A323,'[1]Interim '!E:I,5,FALSE)*0.96</f>
        <v>919.68</v>
      </c>
      <c r="L323" s="31">
        <f t="shared" ref="L323:L386" si="45">(K323-E323)/58</f>
        <v>4.0462068965517233</v>
      </c>
      <c r="M323" s="19">
        <f t="shared" ref="M323:M386" si="46">VLOOKUP(I323,$AL$1:$AM$40,2,FALSE)</f>
        <v>22.4464491938983</v>
      </c>
      <c r="N323" s="57">
        <f t="shared" ref="N323:N386" si="47">L323/M323</f>
        <v>0.1802604439392409</v>
      </c>
    </row>
    <row r="324" spans="1:14" x14ac:dyDescent="0.2">
      <c r="A324" s="16">
        <v>4375</v>
      </c>
      <c r="B324" s="17">
        <f>VLOOKUP(A324,'[1]Nebris 11.27'!E:I,5,FALSE)</f>
        <v>676</v>
      </c>
      <c r="C324" s="4">
        <f>VLOOKUP(A324,'[1]Nebris 11.28.23'!E:I,5,FALSE)</f>
        <v>680</v>
      </c>
      <c r="D324" s="56">
        <f t="shared" si="43"/>
        <v>-4</v>
      </c>
      <c r="E324" s="18">
        <f t="shared" si="42"/>
        <v>678</v>
      </c>
      <c r="F324" s="4">
        <v>3</v>
      </c>
      <c r="G324" s="4">
        <v>3</v>
      </c>
      <c r="H324" s="4">
        <v>0.23347429064528824</v>
      </c>
      <c r="I324" s="4">
        <v>407</v>
      </c>
      <c r="J324" s="4" t="str">
        <f t="shared" si="44"/>
        <v>25% MDGS Variable</v>
      </c>
      <c r="K324" s="18">
        <f>VLOOKUP(A324,'[1]Interim '!E:I,5,FALSE)*0.96</f>
        <v>883.19999999999993</v>
      </c>
      <c r="L324" s="31">
        <f t="shared" si="45"/>
        <v>3.5379310344827575</v>
      </c>
      <c r="M324" s="19">
        <f t="shared" si="46"/>
        <v>21.57522001084747</v>
      </c>
      <c r="N324" s="57">
        <f t="shared" si="47"/>
        <v>0.16398122627273215</v>
      </c>
    </row>
    <row r="325" spans="1:14" x14ac:dyDescent="0.2">
      <c r="A325" s="16">
        <v>4655</v>
      </c>
      <c r="B325" s="17">
        <f>VLOOKUP(A325,'[1]Nebris 11.27'!E:I,5,FALSE)</f>
        <v>674</v>
      </c>
      <c r="C325" s="4">
        <f>VLOOKUP(A325,'[1]Nebris 11.28.23'!E:I,5,FALSE)</f>
        <v>696</v>
      </c>
      <c r="D325" s="56">
        <f t="shared" si="43"/>
        <v>-22</v>
      </c>
      <c r="E325" s="18">
        <f t="shared" si="42"/>
        <v>685</v>
      </c>
      <c r="F325" s="4">
        <v>3</v>
      </c>
      <c r="G325" s="4">
        <v>3</v>
      </c>
      <c r="H325" s="4">
        <v>0.39906912257186766</v>
      </c>
      <c r="I325" s="4">
        <v>408</v>
      </c>
      <c r="J325" s="4" t="str">
        <f t="shared" si="44"/>
        <v>Control</v>
      </c>
      <c r="K325" s="18">
        <f>VLOOKUP(A325,'[1]Interim '!E:I,5,FALSE)*0.96</f>
        <v>816</v>
      </c>
      <c r="L325" s="31">
        <f t="shared" si="45"/>
        <v>2.2586206896551726</v>
      </c>
      <c r="M325" s="19">
        <f t="shared" si="46"/>
        <v>20.467026300338979</v>
      </c>
      <c r="N325" s="57">
        <f t="shared" si="47"/>
        <v>0.11035412064808676</v>
      </c>
    </row>
    <row r="326" spans="1:14" x14ac:dyDescent="0.2">
      <c r="A326" s="16">
        <v>4759</v>
      </c>
      <c r="B326" s="17">
        <f>VLOOKUP(A326,'[1]Nebris 11.27'!E:I,5,FALSE)</f>
        <v>674</v>
      </c>
      <c r="C326" s="4">
        <f>VLOOKUP(A326,'[1]Nebris 11.28.23'!E:I,5,FALSE)</f>
        <v>676</v>
      </c>
      <c r="D326" s="56">
        <f t="shared" si="43"/>
        <v>-2</v>
      </c>
      <c r="E326" s="18">
        <f t="shared" si="42"/>
        <v>675</v>
      </c>
      <c r="F326" s="4">
        <v>3</v>
      </c>
      <c r="G326" s="4">
        <v>3</v>
      </c>
      <c r="H326" s="4">
        <v>0.49484780635817927</v>
      </c>
      <c r="I326" s="4">
        <v>409</v>
      </c>
      <c r="J326" s="4" t="str">
        <f t="shared" si="44"/>
        <v xml:space="preserve">25% MDGS Constant </v>
      </c>
      <c r="K326" s="18">
        <f>VLOOKUP(A326,'[1]Interim '!E:I,5,FALSE)*0.96</f>
        <v>990.71999999999991</v>
      </c>
      <c r="L326" s="31">
        <f t="shared" si="45"/>
        <v>5.4434482758620675</v>
      </c>
      <c r="M326" s="19">
        <f t="shared" si="46"/>
        <v>22.10041812305084</v>
      </c>
      <c r="N326" s="57">
        <f t="shared" si="47"/>
        <v>0.2463052167408781</v>
      </c>
    </row>
    <row r="327" spans="1:14" x14ac:dyDescent="0.2">
      <c r="A327" s="16">
        <v>4626</v>
      </c>
      <c r="B327" s="17">
        <f>VLOOKUP(A327,'[1]Nebris 11.27'!E:I,5,FALSE)</f>
        <v>676</v>
      </c>
      <c r="C327" s="4">
        <f>VLOOKUP(A327,'[1]Nebris 11.28.23'!E:I,5,FALSE)</f>
        <v>688</v>
      </c>
      <c r="D327" s="56">
        <f t="shared" si="43"/>
        <v>-12</v>
      </c>
      <c r="E327" s="18">
        <f t="shared" si="42"/>
        <v>682</v>
      </c>
      <c r="F327" s="4">
        <v>3</v>
      </c>
      <c r="G327" s="4">
        <v>3</v>
      </c>
      <c r="H327" s="4">
        <v>0.50597112363889285</v>
      </c>
      <c r="I327" s="4">
        <v>410</v>
      </c>
      <c r="J327" s="4" t="str">
        <f t="shared" si="44"/>
        <v>25% MDGS Variable</v>
      </c>
      <c r="K327" s="18">
        <f>VLOOKUP(A327,'[1]Interim '!E:I,5,FALSE)*0.96</f>
        <v>844.8</v>
      </c>
      <c r="L327" s="31">
        <f t="shared" si="45"/>
        <v>2.8068965517241371</v>
      </c>
      <c r="M327" s="19">
        <f t="shared" si="46"/>
        <v>20.77588098728814</v>
      </c>
      <c r="N327" s="57">
        <f t="shared" si="47"/>
        <v>0.1351036114156389</v>
      </c>
    </row>
    <row r="328" spans="1:14" x14ac:dyDescent="0.2">
      <c r="A328" s="16">
        <v>4671</v>
      </c>
      <c r="B328" s="17">
        <f>VLOOKUP(A328,'[1]Nebris 11.27'!E:I,5,FALSE)</f>
        <v>674</v>
      </c>
      <c r="C328" s="4">
        <f>VLOOKUP(A328,'[1]Nebris 11.28.23'!E:I,5,FALSE)</f>
        <v>676</v>
      </c>
      <c r="D328" s="56">
        <f t="shared" si="43"/>
        <v>-2</v>
      </c>
      <c r="E328" s="18">
        <f t="shared" si="42"/>
        <v>675</v>
      </c>
      <c r="F328" s="4">
        <v>3</v>
      </c>
      <c r="G328" s="4">
        <v>3</v>
      </c>
      <c r="H328" s="4">
        <v>0.64790053062280639</v>
      </c>
      <c r="I328" s="4">
        <v>411</v>
      </c>
      <c r="J328" s="4" t="str">
        <f t="shared" si="44"/>
        <v xml:space="preserve">10% MDGS Constant </v>
      </c>
      <c r="K328" s="18">
        <f>VLOOKUP(A328,'[1]Interim '!E:I,5,FALSE)*0.96</f>
        <v>829.43999999999994</v>
      </c>
      <c r="L328" s="31">
        <f t="shared" si="45"/>
        <v>2.6627586206896541</v>
      </c>
      <c r="M328" s="19">
        <f t="shared" si="46"/>
        <v>20.84857577757062</v>
      </c>
      <c r="N328" s="57">
        <f t="shared" si="47"/>
        <v>0.12771896982787243</v>
      </c>
    </row>
    <row r="329" spans="1:14" x14ac:dyDescent="0.2">
      <c r="A329" s="16">
        <v>4555</v>
      </c>
      <c r="B329" s="17">
        <f>VLOOKUP(A329,'[1]Nebris 11.27'!E:I,5,FALSE)</f>
        <v>676</v>
      </c>
      <c r="C329" s="4">
        <f>VLOOKUP(A329,'[1]Nebris 11.28.23'!E:I,5,FALSE)</f>
        <v>690</v>
      </c>
      <c r="D329" s="56">
        <f t="shared" si="43"/>
        <v>-14</v>
      </c>
      <c r="E329" s="18">
        <f t="shared" si="42"/>
        <v>683</v>
      </c>
      <c r="F329" s="4">
        <v>3</v>
      </c>
      <c r="G329" s="4">
        <v>3</v>
      </c>
      <c r="H329" s="4">
        <v>0.76393242941207373</v>
      </c>
      <c r="I329" s="4">
        <v>412</v>
      </c>
      <c r="J329" s="4" t="str">
        <f t="shared" si="44"/>
        <v>Control</v>
      </c>
      <c r="K329" s="18">
        <f>VLOOKUP(A329,'[1]Interim '!E:I,5,FALSE)*0.96</f>
        <v>844.8</v>
      </c>
      <c r="L329" s="31">
        <f t="shared" si="45"/>
        <v>2.7896551724137924</v>
      </c>
      <c r="M329" s="19">
        <f t="shared" si="46"/>
        <v>20.855004456685496</v>
      </c>
      <c r="N329" s="57">
        <f t="shared" si="47"/>
        <v>0.1337643047839058</v>
      </c>
    </row>
    <row r="330" spans="1:14" x14ac:dyDescent="0.2">
      <c r="A330" s="16">
        <v>4620</v>
      </c>
      <c r="B330" s="17">
        <f>VLOOKUP(A330,'[1]Nebris 11.27'!E:I,5,FALSE)</f>
        <v>674</v>
      </c>
      <c r="C330" s="4">
        <f>VLOOKUP(A330,'[1]Nebris 11.28.23'!E:I,5,FALSE)</f>
        <v>674</v>
      </c>
      <c r="D330" s="56">
        <f t="shared" si="43"/>
        <v>0</v>
      </c>
      <c r="E330" s="18">
        <f t="shared" si="42"/>
        <v>674</v>
      </c>
      <c r="F330" s="4">
        <v>3</v>
      </c>
      <c r="G330" s="4">
        <v>3</v>
      </c>
      <c r="H330" s="4">
        <v>0.93474234145219282</v>
      </c>
      <c r="I330" s="4">
        <v>413</v>
      </c>
      <c r="J330" s="4" t="str">
        <f t="shared" si="44"/>
        <v xml:space="preserve">25% MDGS Constant </v>
      </c>
      <c r="K330" s="18">
        <f>VLOOKUP(A330,'[1]Interim '!E:I,5,FALSE)*0.96</f>
        <v>873.6</v>
      </c>
      <c r="L330" s="31">
        <f t="shared" si="45"/>
        <v>3.441379310344828</v>
      </c>
      <c r="M330" s="19">
        <f t="shared" si="46"/>
        <v>22.388855908644061</v>
      </c>
      <c r="N330" s="57">
        <f t="shared" si="47"/>
        <v>0.15370947601731422</v>
      </c>
    </row>
    <row r="331" spans="1:14" x14ac:dyDescent="0.2">
      <c r="A331" s="16">
        <v>4536</v>
      </c>
      <c r="B331" s="17">
        <f>VLOOKUP(A331,'[1]Nebris 11.27'!E:I,5,FALSE)</f>
        <v>674</v>
      </c>
      <c r="C331" s="4">
        <f>VLOOKUP(A331,'[1]Nebris 11.28.23'!E:I,5,FALSE)</f>
        <v>670</v>
      </c>
      <c r="D331" s="56">
        <f t="shared" si="43"/>
        <v>4</v>
      </c>
      <c r="E331" s="18">
        <f t="shared" si="42"/>
        <v>672</v>
      </c>
      <c r="F331" s="4">
        <v>3</v>
      </c>
      <c r="G331" s="4">
        <v>3</v>
      </c>
      <c r="H331" s="4">
        <v>0.94793206993228163</v>
      </c>
      <c r="I331" s="4">
        <v>414</v>
      </c>
      <c r="J331" s="4" t="str">
        <f t="shared" si="44"/>
        <v>10% MDGS Variable</v>
      </c>
      <c r="K331" s="18">
        <f>VLOOKUP(A331,'[1]Interim '!E:I,5,FALSE)*0.96</f>
        <v>865.92</v>
      </c>
      <c r="L331" s="31">
        <f t="shared" si="45"/>
        <v>3.3434482758620683</v>
      </c>
      <c r="M331" s="19">
        <f t="shared" si="46"/>
        <v>22.8017127959322</v>
      </c>
      <c r="N331" s="57">
        <f t="shared" si="47"/>
        <v>0.14663145289938639</v>
      </c>
    </row>
    <row r="332" spans="1:14" x14ac:dyDescent="0.2">
      <c r="A332" s="16">
        <v>4686</v>
      </c>
      <c r="B332" s="17">
        <f>VLOOKUP(A332,'[1]Nebris 11.27'!E:I,5,FALSE)</f>
        <v>680</v>
      </c>
      <c r="C332" s="4">
        <f>VLOOKUP(A332,'[1]Nebris 11.28.23'!E:I,5,FALSE)</f>
        <v>684</v>
      </c>
      <c r="D332" s="56">
        <f t="shared" si="43"/>
        <v>-4</v>
      </c>
      <c r="E332" s="18">
        <f t="shared" si="42"/>
        <v>682</v>
      </c>
      <c r="F332" s="4">
        <v>3</v>
      </c>
      <c r="G332" s="4">
        <v>4</v>
      </c>
      <c r="H332" s="4">
        <v>4.5897721477400566E-2</v>
      </c>
      <c r="I332" s="4">
        <v>405</v>
      </c>
      <c r="J332" s="4" t="str">
        <f t="shared" si="44"/>
        <v>10% MDGS Variable</v>
      </c>
      <c r="K332" s="18">
        <f>VLOOKUP(A332,'[1]Interim '!E:I,5,FALSE)*0.96</f>
        <v>936.95999999999992</v>
      </c>
      <c r="L332" s="31">
        <f t="shared" si="45"/>
        <v>4.3958620689655161</v>
      </c>
      <c r="M332" s="19">
        <f t="shared" si="46"/>
        <v>21.614662098644061</v>
      </c>
      <c r="N332" s="57">
        <f t="shared" si="47"/>
        <v>0.20337408231985635</v>
      </c>
    </row>
    <row r="333" spans="1:14" x14ac:dyDescent="0.2">
      <c r="A333" s="16">
        <v>4729</v>
      </c>
      <c r="B333" s="17">
        <f>VLOOKUP(A333,'[1]Nebris 11.27'!E:I,5,FALSE)</f>
        <v>680</v>
      </c>
      <c r="C333" s="4">
        <f>VLOOKUP(A333,'[1]Nebris 11.28.23'!E:I,5,FALSE)</f>
        <v>668</v>
      </c>
      <c r="D333" s="56">
        <f t="shared" si="43"/>
        <v>12</v>
      </c>
      <c r="E333" s="18">
        <f t="shared" si="42"/>
        <v>674</v>
      </c>
      <c r="F333" s="4">
        <v>3</v>
      </c>
      <c r="G333" s="4">
        <v>4</v>
      </c>
      <c r="H333" s="4">
        <v>0.18515976166759684</v>
      </c>
      <c r="I333" s="4">
        <v>406</v>
      </c>
      <c r="J333" s="4" t="str">
        <f t="shared" si="44"/>
        <v xml:space="preserve">10% MDGS Constant </v>
      </c>
      <c r="K333" s="18">
        <f>VLOOKUP(A333,'[1]Interim '!E:I,5,FALSE)*0.96</f>
        <v>854.4</v>
      </c>
      <c r="L333" s="31">
        <f t="shared" si="45"/>
        <v>3.1103448275862067</v>
      </c>
      <c r="M333" s="19">
        <f t="shared" si="46"/>
        <v>22.4464491938983</v>
      </c>
      <c r="N333" s="57">
        <f t="shared" si="47"/>
        <v>0.13856734313379521</v>
      </c>
    </row>
    <row r="334" spans="1:14" x14ac:dyDescent="0.2">
      <c r="A334" s="16">
        <v>4324</v>
      </c>
      <c r="B334" s="17">
        <f>VLOOKUP(A334,'[1]Nebris 11.27'!E:I,5,FALSE)</f>
        <v>682</v>
      </c>
      <c r="C334" s="4">
        <f>VLOOKUP(A334,'[1]Nebris 11.28.23'!E:I,5,FALSE)</f>
        <v>688</v>
      </c>
      <c r="D334" s="56">
        <f t="shared" si="43"/>
        <v>-6</v>
      </c>
      <c r="E334" s="18">
        <f t="shared" si="42"/>
        <v>685</v>
      </c>
      <c r="F334" s="4">
        <v>3</v>
      </c>
      <c r="G334" s="4">
        <v>4</v>
      </c>
      <c r="H334" s="4">
        <v>0.23453333722826086</v>
      </c>
      <c r="I334" s="4">
        <v>407</v>
      </c>
      <c r="J334" s="4" t="str">
        <f t="shared" si="44"/>
        <v>25% MDGS Variable</v>
      </c>
      <c r="K334" s="18">
        <f>VLOOKUP(A334,'[1]Interim '!E:I,5,FALSE)*0.96</f>
        <v>865.92</v>
      </c>
      <c r="L334" s="31">
        <f t="shared" si="45"/>
        <v>3.1193103448275856</v>
      </c>
      <c r="M334" s="19">
        <f t="shared" si="46"/>
        <v>21.57522001084747</v>
      </c>
      <c r="N334" s="57">
        <f t="shared" si="47"/>
        <v>0.14457837942135821</v>
      </c>
    </row>
    <row r="335" spans="1:14" x14ac:dyDescent="0.2">
      <c r="A335" s="16">
        <v>4746</v>
      </c>
      <c r="B335" s="17">
        <f>VLOOKUP(A335,'[1]Nebris 11.27'!E:I,5,FALSE)</f>
        <v>680</v>
      </c>
      <c r="C335" s="4">
        <f>VLOOKUP(A335,'[1]Nebris 11.28.23'!E:I,5,FALSE)</f>
        <v>686</v>
      </c>
      <c r="D335" s="56">
        <f t="shared" si="43"/>
        <v>-6</v>
      </c>
      <c r="E335" s="18">
        <f t="shared" si="42"/>
        <v>683</v>
      </c>
      <c r="F335" s="4">
        <v>3</v>
      </c>
      <c r="G335" s="4">
        <v>4</v>
      </c>
      <c r="H335" s="4">
        <v>0.24084767193998613</v>
      </c>
      <c r="I335" s="4">
        <v>408</v>
      </c>
      <c r="J335" s="4" t="str">
        <f t="shared" si="44"/>
        <v>Control</v>
      </c>
      <c r="K335" s="18">
        <f>VLOOKUP(A335,'[1]Interim '!E:I,5,FALSE)*0.96</f>
        <v>917.76</v>
      </c>
      <c r="L335" s="31">
        <f t="shared" si="45"/>
        <v>4.0475862068965514</v>
      </c>
      <c r="M335" s="19">
        <f t="shared" si="46"/>
        <v>20.467026300338979</v>
      </c>
      <c r="N335" s="57">
        <f t="shared" si="47"/>
        <v>0.19776132338431179</v>
      </c>
    </row>
    <row r="336" spans="1:14" x14ac:dyDescent="0.2">
      <c r="A336" s="16">
        <v>4588</v>
      </c>
      <c r="B336" s="17">
        <f>VLOOKUP(A336,'[1]Nebris 11.27'!E:I,5,FALSE)</f>
        <v>682</v>
      </c>
      <c r="C336" s="4">
        <f>VLOOKUP(A336,'[1]Nebris 11.28.23'!E:I,5,FALSE)</f>
        <v>688</v>
      </c>
      <c r="D336" s="56">
        <f t="shared" si="43"/>
        <v>-6</v>
      </c>
      <c r="E336" s="18">
        <f t="shared" si="42"/>
        <v>685</v>
      </c>
      <c r="F336" s="4">
        <v>3</v>
      </c>
      <c r="G336" s="4">
        <v>4</v>
      </c>
      <c r="H336" s="4">
        <v>0.2429753586712321</v>
      </c>
      <c r="I336" s="4">
        <v>409</v>
      </c>
      <c r="J336" s="4" t="str">
        <f t="shared" si="44"/>
        <v xml:space="preserve">25% MDGS Constant </v>
      </c>
      <c r="K336" s="18">
        <f>VLOOKUP(A336,'[1]Interim '!E:I,5,FALSE)*0.96</f>
        <v>823.68</v>
      </c>
      <c r="L336" s="31">
        <f t="shared" si="45"/>
        <v>2.3910344827586196</v>
      </c>
      <c r="M336" s="19">
        <f t="shared" si="46"/>
        <v>22.10041812305084</v>
      </c>
      <c r="N336" s="57">
        <f t="shared" si="47"/>
        <v>0.10818955865204918</v>
      </c>
    </row>
    <row r="337" spans="1:14" x14ac:dyDescent="0.2">
      <c r="A337" s="16">
        <v>4728</v>
      </c>
      <c r="B337" s="17">
        <f>VLOOKUP(A337,'[1]Nebris 11.27'!E:I,5,FALSE)</f>
        <v>680</v>
      </c>
      <c r="C337" s="4">
        <f>VLOOKUP(A337,'[1]Nebris 11.28.23'!E:I,5,FALSE)</f>
        <v>686</v>
      </c>
      <c r="D337" s="56">
        <f t="shared" si="43"/>
        <v>-6</v>
      </c>
      <c r="E337" s="18">
        <f t="shared" si="42"/>
        <v>683</v>
      </c>
      <c r="F337" s="4">
        <v>3</v>
      </c>
      <c r="G337" s="4">
        <v>4</v>
      </c>
      <c r="H337" s="4">
        <v>0.3954406161934354</v>
      </c>
      <c r="I337" s="4">
        <v>410</v>
      </c>
      <c r="J337" s="4" t="str">
        <f t="shared" si="44"/>
        <v>25% MDGS Variable</v>
      </c>
      <c r="K337" s="18">
        <f>VLOOKUP(A337,'[1]Interim '!E:I,5,FALSE)*0.96</f>
        <v>850.56</v>
      </c>
      <c r="L337" s="31">
        <f t="shared" si="45"/>
        <v>2.8889655172413784</v>
      </c>
      <c r="M337" s="19">
        <f t="shared" si="46"/>
        <v>20.77588098728814</v>
      </c>
      <c r="N337" s="57">
        <f t="shared" si="47"/>
        <v>0.13905381528749663</v>
      </c>
    </row>
    <row r="338" spans="1:14" x14ac:dyDescent="0.2">
      <c r="A338" s="16">
        <v>4495</v>
      </c>
      <c r="B338" s="17">
        <f>VLOOKUP(A338,'[1]Nebris 11.27'!E:I,5,FALSE)</f>
        <v>682</v>
      </c>
      <c r="C338" s="4">
        <f>VLOOKUP(A338,'[1]Nebris 11.28.23'!E:I,5,FALSE)</f>
        <v>678</v>
      </c>
      <c r="D338" s="56">
        <f t="shared" si="43"/>
        <v>4</v>
      </c>
      <c r="E338" s="18">
        <f t="shared" si="42"/>
        <v>680</v>
      </c>
      <c r="F338" s="4">
        <v>3</v>
      </c>
      <c r="G338" s="4">
        <v>4</v>
      </c>
      <c r="H338" s="4">
        <v>0.4103382568455638</v>
      </c>
      <c r="I338" s="4">
        <v>411</v>
      </c>
      <c r="J338" s="4" t="str">
        <f t="shared" si="44"/>
        <v xml:space="preserve">10% MDGS Constant </v>
      </c>
      <c r="K338" s="18">
        <f>VLOOKUP(A338,'[1]Interim '!E:I,5,FALSE)*0.96</f>
        <v>860.16</v>
      </c>
      <c r="L338" s="31">
        <f t="shared" si="45"/>
        <v>3.1062068965517238</v>
      </c>
      <c r="M338" s="19">
        <f t="shared" si="46"/>
        <v>20.84857577757062</v>
      </c>
      <c r="N338" s="57">
        <f t="shared" si="47"/>
        <v>0.14898892517605222</v>
      </c>
    </row>
    <row r="339" spans="1:14" x14ac:dyDescent="0.2">
      <c r="A339" s="16">
        <v>4725</v>
      </c>
      <c r="B339" s="17">
        <f>VLOOKUP(A339,'[1]Nebris 11.27'!E:I,5,FALSE)</f>
        <v>680</v>
      </c>
      <c r="C339" s="4">
        <f>VLOOKUP(A339,'[1]Nebris 11.28.23'!E:I,5,FALSE)</f>
        <v>676</v>
      </c>
      <c r="D339" s="56">
        <f t="shared" si="43"/>
        <v>4</v>
      </c>
      <c r="E339" s="18">
        <f t="shared" si="42"/>
        <v>678</v>
      </c>
      <c r="F339" s="4">
        <v>3</v>
      </c>
      <c r="G339" s="4">
        <v>4</v>
      </c>
      <c r="H339" s="4">
        <v>0.45929057304132159</v>
      </c>
      <c r="I339" s="4">
        <v>412</v>
      </c>
      <c r="J339" s="4" t="str">
        <f t="shared" si="44"/>
        <v>Control</v>
      </c>
      <c r="K339" s="18">
        <f>VLOOKUP(A339,'[1]Interim '!E:I,5,FALSE)*0.96</f>
        <v>862.07999999999993</v>
      </c>
      <c r="L339" s="31">
        <f t="shared" si="45"/>
        <v>3.1737931034482747</v>
      </c>
      <c r="M339" s="19">
        <f t="shared" si="46"/>
        <v>20.855004456685496</v>
      </c>
      <c r="N339" s="57">
        <f t="shared" si="47"/>
        <v>0.15218376529432248</v>
      </c>
    </row>
    <row r="340" spans="1:14" x14ac:dyDescent="0.2">
      <c r="A340" s="16">
        <v>4529</v>
      </c>
      <c r="B340" s="17">
        <f>VLOOKUP(A340,'[1]Nebris 11.27'!E:I,5,FALSE)</f>
        <v>682</v>
      </c>
      <c r="C340" s="4">
        <f>VLOOKUP(A340,'[1]Nebris 11.28.23'!E:I,5,FALSE)</f>
        <v>702</v>
      </c>
      <c r="D340" s="56">
        <f t="shared" si="43"/>
        <v>-20</v>
      </c>
      <c r="E340" s="18">
        <f t="shared" si="42"/>
        <v>692</v>
      </c>
      <c r="F340" s="4">
        <v>3</v>
      </c>
      <c r="G340" s="4">
        <v>4</v>
      </c>
      <c r="H340" s="4">
        <v>0.64074254383937435</v>
      </c>
      <c r="I340" s="4">
        <v>413</v>
      </c>
      <c r="J340" s="4" t="str">
        <f t="shared" si="44"/>
        <v xml:space="preserve">25% MDGS Constant </v>
      </c>
      <c r="K340" s="18">
        <f>VLOOKUP(A340,'[1]Interim '!E:I,5,FALSE)*0.96</f>
        <v>917.76</v>
      </c>
      <c r="L340" s="31">
        <f t="shared" si="45"/>
        <v>3.8924137931034481</v>
      </c>
      <c r="M340" s="19">
        <f t="shared" si="46"/>
        <v>22.388855908644061</v>
      </c>
      <c r="N340" s="57">
        <f t="shared" si="47"/>
        <v>0.1738549664612668</v>
      </c>
    </row>
    <row r="341" spans="1:14" x14ac:dyDescent="0.2">
      <c r="A341" s="16">
        <v>4582</v>
      </c>
      <c r="B341" s="17">
        <f>VLOOKUP(A341,'[1]Nebris 11.27'!E:I,5,FALSE)</f>
        <v>680</v>
      </c>
      <c r="C341" s="4">
        <f>VLOOKUP(A341,'[1]Nebris 11.28.23'!E:I,5,FALSE)</f>
        <v>670</v>
      </c>
      <c r="D341" s="56">
        <f t="shared" si="43"/>
        <v>10</v>
      </c>
      <c r="E341" s="18">
        <f t="shared" si="42"/>
        <v>675</v>
      </c>
      <c r="F341" s="4">
        <v>3</v>
      </c>
      <c r="G341" s="4">
        <v>4</v>
      </c>
      <c r="H341" s="4">
        <v>0.68624058565467405</v>
      </c>
      <c r="I341" s="4">
        <v>414</v>
      </c>
      <c r="J341" s="4" t="str">
        <f t="shared" si="44"/>
        <v>10% MDGS Variable</v>
      </c>
      <c r="K341" s="18">
        <f>VLOOKUP(A341,'[1]Interim '!E:I,5,FALSE)*0.96</f>
        <v>879.36</v>
      </c>
      <c r="L341" s="31">
        <f t="shared" si="45"/>
        <v>3.5234482758620693</v>
      </c>
      <c r="M341" s="19">
        <f t="shared" si="46"/>
        <v>22.8017127959322</v>
      </c>
      <c r="N341" s="57">
        <f t="shared" si="47"/>
        <v>0.15452559671265786</v>
      </c>
    </row>
    <row r="342" spans="1:14" x14ac:dyDescent="0.2">
      <c r="A342" s="16">
        <v>4720</v>
      </c>
      <c r="B342" s="17">
        <f>VLOOKUP(A342,'[1]Nebris 11.27'!E:I,5,FALSE)</f>
        <v>686</v>
      </c>
      <c r="C342" s="4">
        <f>VLOOKUP(A342,'[1]Nebris 11.28.23'!E:I,5,FALSE)</f>
        <v>674</v>
      </c>
      <c r="D342" s="56">
        <f t="shared" si="43"/>
        <v>12</v>
      </c>
      <c r="E342" s="18">
        <f t="shared" si="42"/>
        <v>680</v>
      </c>
      <c r="F342" s="4">
        <v>3</v>
      </c>
      <c r="G342" s="4">
        <v>5</v>
      </c>
      <c r="H342" s="4">
        <v>0.15433053443437594</v>
      </c>
      <c r="I342" s="4">
        <v>405</v>
      </c>
      <c r="J342" s="4" t="str">
        <f t="shared" si="44"/>
        <v>10% MDGS Variable</v>
      </c>
      <c r="K342" s="18">
        <f>VLOOKUP(A342,'[1]Interim '!E:I,5,FALSE)*0.96</f>
        <v>879.36</v>
      </c>
      <c r="L342" s="31">
        <f t="shared" si="45"/>
        <v>3.4372413793103451</v>
      </c>
      <c r="M342" s="19">
        <f t="shared" si="46"/>
        <v>21.614662098644061</v>
      </c>
      <c r="N342" s="57">
        <f t="shared" si="47"/>
        <v>0.15902359998151308</v>
      </c>
    </row>
    <row r="343" spans="1:14" x14ac:dyDescent="0.2">
      <c r="A343" s="16">
        <v>4629</v>
      </c>
      <c r="B343" s="17">
        <f>VLOOKUP(A343,'[1]Nebris 11.27'!E:I,5,FALSE)</f>
        <v>684</v>
      </c>
      <c r="C343" s="4">
        <f>VLOOKUP(A343,'[1]Nebris 11.28.23'!E:I,5,FALSE)</f>
        <v>682</v>
      </c>
      <c r="D343" s="56">
        <f t="shared" si="43"/>
        <v>2</v>
      </c>
      <c r="E343" s="18">
        <f t="shared" si="42"/>
        <v>683</v>
      </c>
      <c r="F343" s="4">
        <v>3</v>
      </c>
      <c r="G343" s="4">
        <v>5</v>
      </c>
      <c r="H343" s="4">
        <v>0.19054567055036353</v>
      </c>
      <c r="I343" s="4">
        <v>406</v>
      </c>
      <c r="J343" s="4" t="str">
        <f t="shared" si="44"/>
        <v xml:space="preserve">10% MDGS Constant </v>
      </c>
      <c r="K343" s="18">
        <f>VLOOKUP(A343,'[1]Interim '!E:I,5,FALSE)*0.96</f>
        <v>879.36</v>
      </c>
      <c r="L343" s="31">
        <f t="shared" si="45"/>
        <v>3.3855172413793104</v>
      </c>
      <c r="M343" s="19">
        <f t="shared" si="46"/>
        <v>22.4464491938983</v>
      </c>
      <c r="N343" s="57">
        <f t="shared" si="47"/>
        <v>0.150826405198182</v>
      </c>
    </row>
    <row r="344" spans="1:14" x14ac:dyDescent="0.2">
      <c r="A344" s="16">
        <v>4609</v>
      </c>
      <c r="B344" s="17">
        <f>VLOOKUP(A344,'[1]Nebris 11.27'!E:I,5,FALSE)</f>
        <v>684</v>
      </c>
      <c r="C344" s="4">
        <f>VLOOKUP(A344,'[1]Nebris 11.28.23'!E:I,5,FALSE)</f>
        <v>680</v>
      </c>
      <c r="D344" s="56">
        <f t="shared" si="43"/>
        <v>4</v>
      </c>
      <c r="E344" s="18">
        <f t="shared" si="42"/>
        <v>682</v>
      </c>
      <c r="F344" s="4">
        <v>3</v>
      </c>
      <c r="G344" s="4">
        <v>5</v>
      </c>
      <c r="H344" s="4">
        <v>0.19758635792931711</v>
      </c>
      <c r="I344" s="4">
        <v>407</v>
      </c>
      <c r="J344" s="4" t="str">
        <f t="shared" si="44"/>
        <v>25% MDGS Variable</v>
      </c>
      <c r="K344" s="18">
        <f>VLOOKUP(A344,'[1]Interim '!E:I,5,FALSE)*0.96</f>
        <v>900.48</v>
      </c>
      <c r="L344" s="31">
        <f t="shared" si="45"/>
        <v>3.7668965517241384</v>
      </c>
      <c r="M344" s="19">
        <f t="shared" si="46"/>
        <v>21.57522001084747</v>
      </c>
      <c r="N344" s="57">
        <f t="shared" si="47"/>
        <v>0.1745936565110455</v>
      </c>
    </row>
    <row r="345" spans="1:14" x14ac:dyDescent="0.2">
      <c r="A345" s="16">
        <v>4699</v>
      </c>
      <c r="B345" s="17">
        <f>VLOOKUP(A345,'[1]Nebris 11.27'!E:I,5,FALSE)</f>
        <v>684</v>
      </c>
      <c r="C345" s="4">
        <f>VLOOKUP(A345,'[1]Nebris 11.28.23'!E:I,5,FALSE)</f>
        <v>664</v>
      </c>
      <c r="D345" s="56">
        <f t="shared" si="43"/>
        <v>20</v>
      </c>
      <c r="E345" s="18">
        <f t="shared" si="42"/>
        <v>674</v>
      </c>
      <c r="F345" s="4">
        <v>3</v>
      </c>
      <c r="G345" s="4">
        <v>5</v>
      </c>
      <c r="H345" s="4">
        <v>0.58865687771432673</v>
      </c>
      <c r="I345" s="4">
        <v>408</v>
      </c>
      <c r="J345" s="4" t="str">
        <f t="shared" si="44"/>
        <v>Control</v>
      </c>
      <c r="K345" s="18">
        <f>VLOOKUP(A345,'[1]Interim '!E:I,5,FALSE)*0.96</f>
        <v>875.52</v>
      </c>
      <c r="L345" s="31">
        <f t="shared" si="45"/>
        <v>3.4744827586206894</v>
      </c>
      <c r="M345" s="19">
        <f t="shared" si="46"/>
        <v>20.467026300338979</v>
      </c>
      <c r="N345" s="57">
        <f t="shared" si="47"/>
        <v>0.16976001826719422</v>
      </c>
    </row>
    <row r="346" spans="1:14" x14ac:dyDescent="0.2">
      <c r="A346" s="16">
        <v>4566</v>
      </c>
      <c r="B346" s="17">
        <f>VLOOKUP(A346,'[1]Nebris 11.27'!E:I,5,FALSE)</f>
        <v>688</v>
      </c>
      <c r="C346" s="4">
        <f>VLOOKUP(A346,'[1]Nebris 11.28.23'!E:I,5,FALSE)</f>
        <v>678</v>
      </c>
      <c r="D346" s="56">
        <f t="shared" si="43"/>
        <v>10</v>
      </c>
      <c r="E346" s="18">
        <f t="shared" si="42"/>
        <v>683</v>
      </c>
      <c r="F346" s="4">
        <v>3</v>
      </c>
      <c r="G346" s="4">
        <v>5</v>
      </c>
      <c r="H346" s="4">
        <v>0.59280800432905667</v>
      </c>
      <c r="I346" s="4">
        <v>409</v>
      </c>
      <c r="J346" s="4" t="str">
        <f t="shared" si="44"/>
        <v xml:space="preserve">25% MDGS Constant </v>
      </c>
      <c r="K346" s="18">
        <f>VLOOKUP(A346,'[1]Interim '!E:I,5,FALSE)*0.96</f>
        <v>921.59999999999991</v>
      </c>
      <c r="L346" s="31">
        <f t="shared" si="45"/>
        <v>4.1137931034482742</v>
      </c>
      <c r="M346" s="19">
        <f t="shared" si="46"/>
        <v>22.10041812305084</v>
      </c>
      <c r="N346" s="57">
        <f t="shared" si="47"/>
        <v>0.18614096260728971</v>
      </c>
    </row>
    <row r="347" spans="1:14" x14ac:dyDescent="0.2">
      <c r="A347" s="16">
        <v>4542</v>
      </c>
      <c r="B347" s="17">
        <f>VLOOKUP(A347,'[1]Nebris 11.27'!E:I,5,FALSE)</f>
        <v>690</v>
      </c>
      <c r="C347" s="4">
        <f>VLOOKUP(A347,'[1]Nebris 11.28.23'!E:I,5,FALSE)</f>
        <v>690</v>
      </c>
      <c r="D347" s="56">
        <f t="shared" si="43"/>
        <v>0</v>
      </c>
      <c r="E347" s="18">
        <f t="shared" si="42"/>
        <v>690</v>
      </c>
      <c r="F347" s="4">
        <v>3</v>
      </c>
      <c r="G347" s="4">
        <v>5</v>
      </c>
      <c r="H347" s="4">
        <v>0.62812252872977892</v>
      </c>
      <c r="I347" s="4">
        <v>410</v>
      </c>
      <c r="J347" s="4" t="str">
        <f t="shared" si="44"/>
        <v>25% MDGS Variable</v>
      </c>
      <c r="K347" s="18">
        <f>VLOOKUP(A347,'[1]Interim '!E:I,5,FALSE)*0.96</f>
        <v>814.07999999999993</v>
      </c>
      <c r="L347" s="31">
        <f t="shared" si="45"/>
        <v>2.1393103448275848</v>
      </c>
      <c r="M347" s="19">
        <f t="shared" si="46"/>
        <v>20.77588098728814</v>
      </c>
      <c r="N347" s="57">
        <f t="shared" si="47"/>
        <v>0.10297086059245988</v>
      </c>
    </row>
    <row r="348" spans="1:14" x14ac:dyDescent="0.2">
      <c r="A348" s="16">
        <v>4346</v>
      </c>
      <c r="B348" s="17">
        <f>VLOOKUP(A348,'[1]Nebris 11.27'!E:I,5,FALSE)</f>
        <v>684</v>
      </c>
      <c r="C348" s="4">
        <f>VLOOKUP(A348,'[1]Nebris 11.28.23'!E:I,5,FALSE)</f>
        <v>700</v>
      </c>
      <c r="D348" s="56">
        <f t="shared" si="43"/>
        <v>-16</v>
      </c>
      <c r="E348" s="18">
        <f t="shared" si="42"/>
        <v>692</v>
      </c>
      <c r="F348" s="4">
        <v>3</v>
      </c>
      <c r="G348" s="4">
        <v>5</v>
      </c>
      <c r="H348" s="4">
        <v>0.77823682948625994</v>
      </c>
      <c r="I348" s="4">
        <v>411</v>
      </c>
      <c r="J348" s="4" t="str">
        <f t="shared" si="44"/>
        <v xml:space="preserve">10% MDGS Constant </v>
      </c>
      <c r="K348" s="18">
        <f>VLOOKUP(A348,'[1]Interim '!E:I,5,FALSE)*0.96</f>
        <v>842.88</v>
      </c>
      <c r="L348" s="31">
        <f t="shared" si="45"/>
        <v>2.6013793103448277</v>
      </c>
      <c r="M348" s="19">
        <f t="shared" si="46"/>
        <v>20.84857577757062</v>
      </c>
      <c r="N348" s="57">
        <f t="shared" si="47"/>
        <v>0.12477491691031729</v>
      </c>
    </row>
    <row r="349" spans="1:14" x14ac:dyDescent="0.2">
      <c r="A349" s="16">
        <v>4521</v>
      </c>
      <c r="B349" s="17">
        <f>VLOOKUP(A349,'[1]Nebris 11.27'!E:I,5,FALSE)</f>
        <v>686</v>
      </c>
      <c r="C349" s="4">
        <f>VLOOKUP(A349,'[1]Nebris 11.28.23'!E:I,5,FALSE)</f>
        <v>694</v>
      </c>
      <c r="D349" s="56">
        <f t="shared" si="43"/>
        <v>-8</v>
      </c>
      <c r="E349" s="18">
        <f t="shared" si="42"/>
        <v>690</v>
      </c>
      <c r="F349" s="4">
        <v>3</v>
      </c>
      <c r="G349" s="4">
        <v>5</v>
      </c>
      <c r="H349" s="4">
        <v>0.8999567041602915</v>
      </c>
      <c r="I349" s="4">
        <v>412</v>
      </c>
      <c r="J349" s="4" t="str">
        <f t="shared" si="44"/>
        <v>Control</v>
      </c>
      <c r="K349" s="18">
        <f>VLOOKUP(A349,'[1]Interim '!E:I,5,FALSE)*0.96</f>
        <v>900.48</v>
      </c>
      <c r="L349" s="31">
        <f t="shared" si="45"/>
        <v>3.6289655172413795</v>
      </c>
      <c r="M349" s="19">
        <f t="shared" si="46"/>
        <v>20.855004456685496</v>
      </c>
      <c r="N349" s="57">
        <f t="shared" si="47"/>
        <v>0.17400933789194376</v>
      </c>
    </row>
    <row r="350" spans="1:14" x14ac:dyDescent="0.2">
      <c r="A350" s="16">
        <v>4571</v>
      </c>
      <c r="B350" s="17">
        <f>VLOOKUP(A350,'[1]Nebris 11.27'!E:I,5,FALSE)</f>
        <v>688</v>
      </c>
      <c r="C350" s="4">
        <f>VLOOKUP(A350,'[1]Nebris 11.28.23'!E:I,5,FALSE)</f>
        <v>700</v>
      </c>
      <c r="D350" s="56">
        <f t="shared" si="43"/>
        <v>-12</v>
      </c>
      <c r="E350" s="18">
        <f t="shared" si="42"/>
        <v>694</v>
      </c>
      <c r="F350" s="4">
        <v>3</v>
      </c>
      <c r="G350" s="4">
        <v>5</v>
      </c>
      <c r="H350" s="4">
        <v>0.92158247451775888</v>
      </c>
      <c r="I350" s="4">
        <v>413</v>
      </c>
      <c r="J350" s="4" t="str">
        <f t="shared" si="44"/>
        <v xml:space="preserve">25% MDGS Constant </v>
      </c>
      <c r="K350" s="18">
        <f>VLOOKUP(A350,'[1]Interim '!E:I,5,FALSE)*0.96</f>
        <v>948.48</v>
      </c>
      <c r="L350" s="31">
        <f t="shared" si="45"/>
        <v>4.3875862068965521</v>
      </c>
      <c r="M350" s="19">
        <f t="shared" si="46"/>
        <v>22.388855908644061</v>
      </c>
      <c r="N350" s="57">
        <f t="shared" si="47"/>
        <v>0.19597188104652366</v>
      </c>
    </row>
    <row r="351" spans="1:14" x14ac:dyDescent="0.2">
      <c r="A351" s="16">
        <v>4338</v>
      </c>
      <c r="B351" s="17">
        <f>VLOOKUP(A351,'[1]Nebris 11.27'!E:I,5,FALSE)</f>
        <v>690</v>
      </c>
      <c r="C351" s="4">
        <f>VLOOKUP(A351,'[1]Nebris 11.28.23'!E:I,5,FALSE)</f>
        <v>704</v>
      </c>
      <c r="D351" s="56">
        <f t="shared" si="43"/>
        <v>-14</v>
      </c>
      <c r="E351" s="18">
        <f t="shared" si="42"/>
        <v>697</v>
      </c>
      <c r="F351" s="4">
        <v>3</v>
      </c>
      <c r="G351" s="4">
        <v>5</v>
      </c>
      <c r="H351" s="4">
        <v>0.95862629775594566</v>
      </c>
      <c r="I351" s="4">
        <v>414</v>
      </c>
      <c r="J351" s="4" t="str">
        <f t="shared" si="44"/>
        <v>10% MDGS Variable</v>
      </c>
      <c r="K351" s="18">
        <f>VLOOKUP(A351,'[1]Interim '!E:I,5,FALSE)*0.96</f>
        <v>944.64</v>
      </c>
      <c r="L351" s="31">
        <f t="shared" si="45"/>
        <v>4.2696551724137928</v>
      </c>
      <c r="M351" s="19">
        <f t="shared" si="46"/>
        <v>22.8017127959322</v>
      </c>
      <c r="N351" s="57">
        <f t="shared" si="47"/>
        <v>0.18725151091173706</v>
      </c>
    </row>
    <row r="352" spans="1:14" x14ac:dyDescent="0.2">
      <c r="A352" s="16">
        <v>4552</v>
      </c>
      <c r="B352" s="17">
        <f>VLOOKUP(A352,'[1]Nebris 11.27'!E:I,5,FALSE)</f>
        <v>692</v>
      </c>
      <c r="C352" s="4">
        <f>VLOOKUP(A352,'[1]Nebris 11.28.23'!E:I,5,FALSE)</f>
        <v>684</v>
      </c>
      <c r="D352" s="56">
        <f t="shared" si="43"/>
        <v>8</v>
      </c>
      <c r="E352" s="18">
        <f t="shared" si="42"/>
        <v>688</v>
      </c>
      <c r="F352" s="4">
        <v>3</v>
      </c>
      <c r="G352" s="4">
        <v>6</v>
      </c>
      <c r="H352" s="4">
        <v>0.179305248056148</v>
      </c>
      <c r="I352" s="4">
        <v>405</v>
      </c>
      <c r="J352" s="4" t="str">
        <f t="shared" si="44"/>
        <v>10% MDGS Variable</v>
      </c>
      <c r="K352" s="18">
        <f>VLOOKUP(A352,'[1]Interim '!E:I,5,FALSE)*0.96</f>
        <v>888.95999999999992</v>
      </c>
      <c r="L352" s="31">
        <f t="shared" si="45"/>
        <v>3.4648275862068951</v>
      </c>
      <c r="M352" s="19">
        <f t="shared" si="46"/>
        <v>21.614662098644061</v>
      </c>
      <c r="N352" s="57">
        <f t="shared" si="47"/>
        <v>0.16029987285455885</v>
      </c>
    </row>
    <row r="353" spans="1:14" x14ac:dyDescent="0.2">
      <c r="A353" s="16">
        <v>4616</v>
      </c>
      <c r="B353" s="17">
        <f>VLOOKUP(A353,'[1]Nebris 11.27'!E:I,5,FALSE)</f>
        <v>694</v>
      </c>
      <c r="C353" s="4">
        <f>VLOOKUP(A353,'[1]Nebris 11.28.23'!E:I,5,FALSE)</f>
        <v>716</v>
      </c>
      <c r="D353" s="56">
        <f t="shared" si="43"/>
        <v>-22</v>
      </c>
      <c r="E353" s="18">
        <f t="shared" si="42"/>
        <v>705</v>
      </c>
      <c r="F353" s="4">
        <v>3</v>
      </c>
      <c r="G353" s="4">
        <v>6</v>
      </c>
      <c r="H353" s="4">
        <v>0.22694496218373772</v>
      </c>
      <c r="I353" s="4">
        <v>406</v>
      </c>
      <c r="J353" s="4" t="str">
        <f t="shared" si="44"/>
        <v xml:space="preserve">10% MDGS Constant </v>
      </c>
      <c r="K353" s="18">
        <f>VLOOKUP(A353,'[1]Interim '!E:I,5,FALSE)*0.96</f>
        <v>842.88</v>
      </c>
      <c r="L353" s="31">
        <f t="shared" si="45"/>
        <v>2.3772413793103446</v>
      </c>
      <c r="M353" s="19">
        <f t="shared" si="46"/>
        <v>22.4464491938983</v>
      </c>
      <c r="N353" s="57">
        <f t="shared" si="47"/>
        <v>0.10590723542842397</v>
      </c>
    </row>
    <row r="354" spans="1:14" x14ac:dyDescent="0.2">
      <c r="A354" s="16">
        <v>4390</v>
      </c>
      <c r="B354" s="17">
        <f>VLOOKUP(A354,'[1]Nebris 11.27'!E:I,5,FALSE)</f>
        <v>696</v>
      </c>
      <c r="C354" s="4">
        <f>VLOOKUP(A354,'[1]Nebris 11.28.23'!E:I,5,FALSE)</f>
        <v>708</v>
      </c>
      <c r="D354" s="56">
        <f t="shared" si="43"/>
        <v>-12</v>
      </c>
      <c r="E354" s="18">
        <f t="shared" si="42"/>
        <v>702</v>
      </c>
      <c r="F354" s="4">
        <v>3</v>
      </c>
      <c r="G354" s="4">
        <v>6</v>
      </c>
      <c r="H354" s="4">
        <v>0.23001091854882716</v>
      </c>
      <c r="I354" s="4">
        <v>407</v>
      </c>
      <c r="J354" s="4" t="str">
        <f t="shared" si="44"/>
        <v>25% MDGS Variable</v>
      </c>
      <c r="K354" s="18">
        <f>VLOOKUP(A354,'[1]Interim '!E:I,5,FALSE)*0.96</f>
        <v>902.4</v>
      </c>
      <c r="L354" s="31">
        <f t="shared" si="45"/>
        <v>3.455172413793103</v>
      </c>
      <c r="M354" s="19">
        <f t="shared" si="46"/>
        <v>21.57522001084747</v>
      </c>
      <c r="N354" s="57">
        <f t="shared" si="47"/>
        <v>0.16014540811430569</v>
      </c>
    </row>
    <row r="355" spans="1:14" x14ac:dyDescent="0.2">
      <c r="A355" s="16">
        <v>4580</v>
      </c>
      <c r="B355" s="17">
        <f>VLOOKUP(A355,'[1]Nebris 11.27'!E:I,5,FALSE)</f>
        <v>692</v>
      </c>
      <c r="C355" s="4">
        <f>VLOOKUP(A355,'[1]Nebris 11.28.23'!E:I,5,FALSE)</f>
        <v>714</v>
      </c>
      <c r="D355" s="56">
        <f t="shared" si="43"/>
        <v>-22</v>
      </c>
      <c r="E355" s="18">
        <f t="shared" si="42"/>
        <v>703</v>
      </c>
      <c r="F355" s="4">
        <v>3</v>
      </c>
      <c r="G355" s="4">
        <v>6</v>
      </c>
      <c r="H355" s="4">
        <v>0.443931776773</v>
      </c>
      <c r="I355" s="4">
        <v>408</v>
      </c>
      <c r="J355" s="4" t="str">
        <f t="shared" si="44"/>
        <v>Control</v>
      </c>
      <c r="K355" s="18">
        <f>VLOOKUP(A355,'[1]Interim '!E:I,5,FALSE)*0.96</f>
        <v>848.64</v>
      </c>
      <c r="L355" s="31">
        <f t="shared" si="45"/>
        <v>2.5110344827586206</v>
      </c>
      <c r="M355" s="19">
        <f t="shared" si="46"/>
        <v>20.467026300338979</v>
      </c>
      <c r="N355" s="57">
        <f t="shared" si="47"/>
        <v>0.1226868254289111</v>
      </c>
    </row>
    <row r="356" spans="1:14" x14ac:dyDescent="0.2">
      <c r="A356" s="16">
        <v>4569</v>
      </c>
      <c r="B356" s="17">
        <f>VLOOKUP(A356,'[1]Nebris 11.27'!E:I,5,FALSE)</f>
        <v>690</v>
      </c>
      <c r="C356" s="4">
        <f>VLOOKUP(A356,'[1]Nebris 11.28.23'!E:I,5,FALSE)</f>
        <v>694</v>
      </c>
      <c r="D356" s="56">
        <f t="shared" si="43"/>
        <v>-4</v>
      </c>
      <c r="E356" s="18">
        <f t="shared" si="42"/>
        <v>692</v>
      </c>
      <c r="F356" s="4">
        <v>3</v>
      </c>
      <c r="G356" s="4">
        <v>6</v>
      </c>
      <c r="H356" s="4">
        <v>0.63302015953448509</v>
      </c>
      <c r="I356" s="4">
        <v>409</v>
      </c>
      <c r="J356" s="4" t="str">
        <f t="shared" si="44"/>
        <v xml:space="preserve">25% MDGS Constant </v>
      </c>
      <c r="K356" s="18">
        <f>VLOOKUP(A356,'[1]Interim '!E:I,5,FALSE)*0.96</f>
        <v>910.07999999999993</v>
      </c>
      <c r="L356" s="31">
        <f t="shared" si="45"/>
        <v>3.7599999999999989</v>
      </c>
      <c r="M356" s="19">
        <f t="shared" si="46"/>
        <v>22.10041812305084</v>
      </c>
      <c r="N356" s="57">
        <f t="shared" si="47"/>
        <v>0.17013252776780277</v>
      </c>
    </row>
    <row r="357" spans="1:14" x14ac:dyDescent="0.2">
      <c r="A357" s="16">
        <v>4505</v>
      </c>
      <c r="B357" s="17">
        <f>VLOOKUP(A357,'[1]Nebris 11.27'!E:I,5,FALSE)</f>
        <v>698</v>
      </c>
      <c r="C357" s="4">
        <f>VLOOKUP(A357,'[1]Nebris 11.28.23'!E:I,5,FALSE)</f>
        <v>702</v>
      </c>
      <c r="D357" s="56">
        <f t="shared" si="43"/>
        <v>-4</v>
      </c>
      <c r="E357" s="18">
        <f t="shared" si="42"/>
        <v>700</v>
      </c>
      <c r="F357" s="4">
        <v>3</v>
      </c>
      <c r="G357" s="4">
        <v>6</v>
      </c>
      <c r="H357" s="4">
        <v>0.64456895709450202</v>
      </c>
      <c r="I357" s="4">
        <v>410</v>
      </c>
      <c r="J357" s="4" t="str">
        <f t="shared" si="44"/>
        <v>25% MDGS Variable</v>
      </c>
      <c r="K357" s="18">
        <f>VLOOKUP(A357,'[1]Interim '!E:I,5,FALSE)*0.96</f>
        <v>940.8</v>
      </c>
      <c r="L357" s="31">
        <f t="shared" si="45"/>
        <v>4.1517241379310335</v>
      </c>
      <c r="M357" s="19">
        <f t="shared" si="46"/>
        <v>20.77588098728814</v>
      </c>
      <c r="N357" s="57">
        <f t="shared" si="47"/>
        <v>0.19983384292927425</v>
      </c>
    </row>
    <row r="358" spans="1:14" x14ac:dyDescent="0.2">
      <c r="A358" s="16">
        <v>4562</v>
      </c>
      <c r="B358" s="17">
        <f>VLOOKUP(A358,'[1]Nebris 11.27'!E:I,5,FALSE)</f>
        <v>696</v>
      </c>
      <c r="C358" s="4">
        <f>VLOOKUP(A358,'[1]Nebris 11.28.23'!E:I,5,FALSE)</f>
        <v>684</v>
      </c>
      <c r="D358" s="56">
        <f t="shared" si="43"/>
        <v>12</v>
      </c>
      <c r="E358" s="18">
        <f t="shared" si="42"/>
        <v>690</v>
      </c>
      <c r="F358" s="4">
        <v>3</v>
      </c>
      <c r="G358" s="4">
        <v>6</v>
      </c>
      <c r="H358" s="4">
        <v>0.67922094624291107</v>
      </c>
      <c r="I358" s="4">
        <v>411</v>
      </c>
      <c r="J358" s="4" t="str">
        <f t="shared" si="44"/>
        <v xml:space="preserve">10% MDGS Constant </v>
      </c>
      <c r="K358" s="18">
        <f>VLOOKUP(A358,'[1]Interim '!E:I,5,FALSE)*0.96</f>
        <v>856.31999999999994</v>
      </c>
      <c r="L358" s="31">
        <f t="shared" si="45"/>
        <v>2.8675862068965507</v>
      </c>
      <c r="M358" s="19">
        <f t="shared" si="46"/>
        <v>20.84857577757062</v>
      </c>
      <c r="N358" s="57">
        <f t="shared" si="47"/>
        <v>0.13754350596847803</v>
      </c>
    </row>
    <row r="359" spans="1:14" x14ac:dyDescent="0.2">
      <c r="A359" s="16">
        <v>4379</v>
      </c>
      <c r="B359" s="17">
        <f>VLOOKUP(A359,'[1]Nebris 11.27'!E:I,5,FALSE)</f>
        <v>696</v>
      </c>
      <c r="C359" s="4">
        <f>VLOOKUP(A359,'[1]Nebris 11.28.23'!E:I,5,FALSE)</f>
        <v>716</v>
      </c>
      <c r="D359" s="56">
        <f t="shared" si="43"/>
        <v>-20</v>
      </c>
      <c r="E359" s="18">
        <f t="shared" si="42"/>
        <v>706</v>
      </c>
      <c r="F359" s="4">
        <v>3</v>
      </c>
      <c r="G359" s="4">
        <v>6</v>
      </c>
      <c r="H359" s="4">
        <v>0.84116760370358301</v>
      </c>
      <c r="I359" s="4" t="s">
        <v>49</v>
      </c>
      <c r="J359" s="4" t="e">
        <f t="shared" si="44"/>
        <v>#N/A</v>
      </c>
      <c r="K359" s="22"/>
      <c r="L359" s="31" t="s">
        <v>43</v>
      </c>
      <c r="M359" s="19" t="e">
        <f t="shared" si="46"/>
        <v>#N/A</v>
      </c>
      <c r="N359" s="57" t="e">
        <f t="shared" si="47"/>
        <v>#VALUE!</v>
      </c>
    </row>
    <row r="360" spans="1:14" x14ac:dyDescent="0.2">
      <c r="A360" s="16">
        <v>4482</v>
      </c>
      <c r="B360" s="17">
        <f>VLOOKUP(A360,'[1]Nebris 11.27'!E:I,5,FALSE)</f>
        <v>692</v>
      </c>
      <c r="C360" s="4">
        <f>VLOOKUP(A360,'[1]Nebris 11.28.23'!E:I,5,FALSE)</f>
        <v>676</v>
      </c>
      <c r="D360" s="56">
        <f t="shared" si="43"/>
        <v>16</v>
      </c>
      <c r="E360" s="18">
        <f t="shared" si="42"/>
        <v>684</v>
      </c>
      <c r="F360" s="4">
        <v>3</v>
      </c>
      <c r="G360" s="4">
        <v>6</v>
      </c>
      <c r="H360" s="4">
        <v>0.84829097226962891</v>
      </c>
      <c r="I360" s="4">
        <v>413</v>
      </c>
      <c r="J360" s="4" t="str">
        <f t="shared" si="44"/>
        <v xml:space="preserve">25% MDGS Constant </v>
      </c>
      <c r="K360" s="18">
        <f>VLOOKUP(A360,'[1]Interim '!E:I,5,FALSE)*0.96</f>
        <v>996.48</v>
      </c>
      <c r="L360" s="31">
        <f t="shared" si="45"/>
        <v>5.3875862068965521</v>
      </c>
      <c r="M360" s="19">
        <f t="shared" si="46"/>
        <v>22.388855908644061</v>
      </c>
      <c r="N360" s="57">
        <f t="shared" si="47"/>
        <v>0.24063695924794762</v>
      </c>
    </row>
    <row r="361" spans="1:14" x14ac:dyDescent="0.2">
      <c r="A361" s="16">
        <v>4499</v>
      </c>
      <c r="B361" s="17">
        <f>VLOOKUP(A361,'[1]Nebris 11.27'!E:I,5,FALSE)</f>
        <v>694</v>
      </c>
      <c r="C361" s="4">
        <f>VLOOKUP(A361,'[1]Nebris 11.28.23'!E:I,5,FALSE)</f>
        <v>680</v>
      </c>
      <c r="D361" s="56">
        <f t="shared" si="43"/>
        <v>14</v>
      </c>
      <c r="E361" s="18">
        <f t="shared" si="42"/>
        <v>687</v>
      </c>
      <c r="F361" s="4">
        <v>3</v>
      </c>
      <c r="G361" s="4">
        <v>6</v>
      </c>
      <c r="H361" s="4">
        <v>0.98612066253863295</v>
      </c>
      <c r="I361" s="4">
        <v>414</v>
      </c>
      <c r="J361" s="4" t="str">
        <f t="shared" si="44"/>
        <v>10% MDGS Variable</v>
      </c>
      <c r="K361" s="18">
        <f>VLOOKUP(A361,'[1]Interim '!E:I,5,FALSE)*0.96</f>
        <v>906.24</v>
      </c>
      <c r="L361" s="31">
        <f t="shared" si="45"/>
        <v>3.7800000000000002</v>
      </c>
      <c r="M361" s="19">
        <f t="shared" si="46"/>
        <v>22.8017127959322</v>
      </c>
      <c r="N361" s="57">
        <f t="shared" si="47"/>
        <v>0.16577702007869988</v>
      </c>
    </row>
    <row r="362" spans="1:14" x14ac:dyDescent="0.2">
      <c r="A362" s="16">
        <v>4567</v>
      </c>
      <c r="B362" s="17">
        <f>VLOOKUP(A362,'[1]Nebris 11.27'!E:I,5,FALSE)</f>
        <v>702</v>
      </c>
      <c r="C362" s="4">
        <f>VLOOKUP(A362,'[1]Nebris 11.28.23'!E:I,5,FALSE)</f>
        <v>706</v>
      </c>
      <c r="D362" s="56">
        <f t="shared" si="43"/>
        <v>-4</v>
      </c>
      <c r="E362" s="18">
        <f t="shared" si="42"/>
        <v>704</v>
      </c>
      <c r="F362" s="4">
        <v>3</v>
      </c>
      <c r="G362" s="4">
        <v>7</v>
      </c>
      <c r="H362" s="4">
        <v>0.13145225217708334</v>
      </c>
      <c r="I362" s="4">
        <v>405</v>
      </c>
      <c r="J362" s="4" t="str">
        <f t="shared" si="44"/>
        <v>10% MDGS Variable</v>
      </c>
      <c r="K362" s="18">
        <f>VLOOKUP(A362,'[1]Interim '!E:I,5,FALSE)*0.96</f>
        <v>885.12</v>
      </c>
      <c r="L362" s="31">
        <f t="shared" si="45"/>
        <v>3.1227586206896554</v>
      </c>
      <c r="M362" s="19">
        <f t="shared" si="46"/>
        <v>21.614662098644061</v>
      </c>
      <c r="N362" s="57">
        <f t="shared" si="47"/>
        <v>0.14447408922879038</v>
      </c>
    </row>
    <row r="363" spans="1:14" x14ac:dyDescent="0.2">
      <c r="A363" s="16">
        <v>4335</v>
      </c>
      <c r="B363" s="17">
        <f>VLOOKUP(A363,'[1]Nebris 11.27'!E:I,5,FALSE)</f>
        <v>704</v>
      </c>
      <c r="C363" s="4">
        <f>VLOOKUP(A363,'[1]Nebris 11.28.23'!E:I,5,FALSE)</f>
        <v>708</v>
      </c>
      <c r="D363" s="56">
        <f t="shared" si="43"/>
        <v>-4</v>
      </c>
      <c r="E363" s="18">
        <f t="shared" si="42"/>
        <v>706</v>
      </c>
      <c r="F363" s="4">
        <v>3</v>
      </c>
      <c r="G363" s="4">
        <v>7</v>
      </c>
      <c r="H363" s="4">
        <v>0.18206490608497539</v>
      </c>
      <c r="I363" s="4">
        <v>406</v>
      </c>
      <c r="J363" s="4" t="str">
        <f t="shared" si="44"/>
        <v xml:space="preserve">10% MDGS Constant </v>
      </c>
      <c r="K363" s="18">
        <f>VLOOKUP(A363,'[1]Interim '!E:I,5,FALSE)*0.96</f>
        <v>879.36</v>
      </c>
      <c r="L363" s="31">
        <f t="shared" si="45"/>
        <v>2.9889655172413794</v>
      </c>
      <c r="M363" s="19">
        <f t="shared" si="46"/>
        <v>22.4464491938983</v>
      </c>
      <c r="N363" s="57">
        <f t="shared" si="47"/>
        <v>0.13315983706028126</v>
      </c>
    </row>
    <row r="364" spans="1:14" x14ac:dyDescent="0.2">
      <c r="A364" s="16">
        <v>4677</v>
      </c>
      <c r="B364" s="17">
        <f>VLOOKUP(A364,'[1]Nebris 11.27'!E:I,5,FALSE)</f>
        <v>706</v>
      </c>
      <c r="C364" s="4">
        <f>VLOOKUP(A364,'[1]Nebris 11.28.23'!E:I,5,FALSE)</f>
        <v>712</v>
      </c>
      <c r="D364" s="56">
        <f t="shared" si="43"/>
        <v>-6</v>
      </c>
      <c r="E364" s="18">
        <f t="shared" si="42"/>
        <v>709</v>
      </c>
      <c r="F364" s="4">
        <v>3</v>
      </c>
      <c r="G364" s="4">
        <v>7</v>
      </c>
      <c r="H364" s="4">
        <v>0.28419991740203487</v>
      </c>
      <c r="I364" s="4">
        <v>407</v>
      </c>
      <c r="J364" s="4" t="str">
        <f t="shared" si="44"/>
        <v>25% MDGS Variable</v>
      </c>
      <c r="K364" s="18">
        <f>VLOOKUP(A364,'[1]Interim '!E:I,5,FALSE)*0.96</f>
        <v>837.12</v>
      </c>
      <c r="L364" s="31">
        <f t="shared" si="45"/>
        <v>2.2089655172413796</v>
      </c>
      <c r="M364" s="19">
        <f t="shared" si="46"/>
        <v>21.57522001084747</v>
      </c>
      <c r="N364" s="57">
        <f t="shared" si="47"/>
        <v>0.10238437967866691</v>
      </c>
    </row>
    <row r="365" spans="1:14" x14ac:dyDescent="0.2">
      <c r="A365" s="16">
        <v>4680</v>
      </c>
      <c r="B365" s="17">
        <f>VLOOKUP(A365,'[1]Nebris 11.27'!E:I,5,FALSE)</f>
        <v>700</v>
      </c>
      <c r="C365" s="4">
        <f>VLOOKUP(A365,'[1]Nebris 11.28.23'!E:I,5,FALSE)</f>
        <v>704</v>
      </c>
      <c r="D365" s="56">
        <f t="shared" si="43"/>
        <v>-4</v>
      </c>
      <c r="E365" s="18">
        <f t="shared" si="42"/>
        <v>702</v>
      </c>
      <c r="F365" s="4">
        <v>3</v>
      </c>
      <c r="G365" s="4">
        <v>7</v>
      </c>
      <c r="H365" s="4">
        <v>0.4603314628755325</v>
      </c>
      <c r="I365" s="4">
        <v>408</v>
      </c>
      <c r="J365" s="4" t="str">
        <f t="shared" si="44"/>
        <v>Control</v>
      </c>
      <c r="K365" s="18">
        <f>VLOOKUP(A365,'[1]Interim '!E:I,5,FALSE)*0.96</f>
        <v>881.28</v>
      </c>
      <c r="L365" s="31">
        <f t="shared" si="45"/>
        <v>3.0910344827586202</v>
      </c>
      <c r="M365" s="19">
        <f t="shared" si="46"/>
        <v>20.467026300338979</v>
      </c>
      <c r="N365" s="57">
        <f t="shared" si="47"/>
        <v>0.15102508969304573</v>
      </c>
    </row>
    <row r="366" spans="1:14" x14ac:dyDescent="0.2">
      <c r="A366" s="16">
        <v>4724</v>
      </c>
      <c r="B366" s="17">
        <f>VLOOKUP(A366,'[1]Nebris 11.27'!E:I,5,FALSE)</f>
        <v>700</v>
      </c>
      <c r="C366" s="4">
        <f>VLOOKUP(A366,'[1]Nebris 11.28.23'!E:I,5,FALSE)</f>
        <v>700</v>
      </c>
      <c r="D366" s="56">
        <f t="shared" si="43"/>
        <v>0</v>
      </c>
      <c r="E366" s="18">
        <f t="shared" si="42"/>
        <v>700</v>
      </c>
      <c r="F366" s="4">
        <v>3</v>
      </c>
      <c r="G366" s="4">
        <v>7</v>
      </c>
      <c r="H366" s="4">
        <v>0.46959755461728925</v>
      </c>
      <c r="I366" s="4">
        <v>409</v>
      </c>
      <c r="J366" s="4" t="str">
        <f t="shared" si="44"/>
        <v xml:space="preserve">25% MDGS Constant </v>
      </c>
      <c r="K366" s="18">
        <f>VLOOKUP(A366,'[1]Interim '!E:I,5,FALSE)*0.96</f>
        <v>904.31999999999994</v>
      </c>
      <c r="L366" s="31">
        <f t="shared" si="45"/>
        <v>3.522758620689654</v>
      </c>
      <c r="M366" s="19">
        <f t="shared" si="46"/>
        <v>22.10041812305084</v>
      </c>
      <c r="N366" s="57">
        <f t="shared" si="47"/>
        <v>0.15939782682280568</v>
      </c>
    </row>
    <row r="367" spans="1:14" x14ac:dyDescent="0.2">
      <c r="A367" s="16">
        <v>4625</v>
      </c>
      <c r="B367" s="17">
        <f>VLOOKUP(A367,'[1]Nebris 11.27'!E:I,5,FALSE)</f>
        <v>706</v>
      </c>
      <c r="C367" s="4">
        <f>VLOOKUP(A367,'[1]Nebris 11.28.23'!E:I,5,FALSE)</f>
        <v>720</v>
      </c>
      <c r="D367" s="56">
        <f t="shared" si="43"/>
        <v>-14</v>
      </c>
      <c r="E367" s="18">
        <f t="shared" si="42"/>
        <v>713</v>
      </c>
      <c r="F367" s="4">
        <v>3</v>
      </c>
      <c r="G367" s="4">
        <v>7</v>
      </c>
      <c r="H367" s="4">
        <v>0.54760324681698369</v>
      </c>
      <c r="I367" s="4">
        <v>410</v>
      </c>
      <c r="J367" s="4" t="str">
        <f t="shared" si="44"/>
        <v>25% MDGS Variable</v>
      </c>
      <c r="K367" s="18">
        <f>VLOOKUP(A367,'[1]Interim '!E:I,5,FALSE)*0.96</f>
        <v>904.31999999999994</v>
      </c>
      <c r="L367" s="31">
        <f t="shared" si="45"/>
        <v>3.2986206896551713</v>
      </c>
      <c r="M367" s="19">
        <f t="shared" si="46"/>
        <v>20.77588098728814</v>
      </c>
      <c r="N367" s="57">
        <f t="shared" si="47"/>
        <v>0.15877163965626556</v>
      </c>
    </row>
    <row r="368" spans="1:14" x14ac:dyDescent="0.2">
      <c r="A368" s="16">
        <v>4403</v>
      </c>
      <c r="B368" s="17">
        <f>VLOOKUP(A368,'[1]Nebris 11.27'!E:I,5,FALSE)</f>
        <v>702</v>
      </c>
      <c r="C368" s="4">
        <f>VLOOKUP(A368,'[1]Nebris 11.28.23'!E:I,5,FALSE)</f>
        <v>716</v>
      </c>
      <c r="D368" s="56">
        <f t="shared" si="43"/>
        <v>-14</v>
      </c>
      <c r="E368" s="18">
        <f t="shared" si="42"/>
        <v>709</v>
      </c>
      <c r="F368" s="4">
        <v>3</v>
      </c>
      <c r="G368" s="4">
        <v>7</v>
      </c>
      <c r="H368" s="4">
        <v>0.57911048444554303</v>
      </c>
      <c r="I368" s="4">
        <v>411</v>
      </c>
      <c r="J368" s="4" t="str">
        <f t="shared" si="44"/>
        <v xml:space="preserve">10% MDGS Constant </v>
      </c>
      <c r="K368" s="18">
        <f>VLOOKUP(A368,'[1]Interim '!E:I,5,FALSE)*0.96</f>
        <v>921.59999999999991</v>
      </c>
      <c r="L368" s="31">
        <f t="shared" si="45"/>
        <v>3.6655172413793089</v>
      </c>
      <c r="M368" s="19">
        <f t="shared" si="46"/>
        <v>20.84857577757062</v>
      </c>
      <c r="N368" s="57">
        <f t="shared" si="47"/>
        <v>0.17581619389669567</v>
      </c>
    </row>
    <row r="369" spans="1:14" x14ac:dyDescent="0.2">
      <c r="A369" s="16">
        <v>4397</v>
      </c>
      <c r="B369" s="17">
        <f>VLOOKUP(A369,'[1]Nebris 11.27'!E:I,5,FALSE)</f>
        <v>700</v>
      </c>
      <c r="C369" s="4">
        <f>VLOOKUP(A369,'[1]Nebris 11.28.23'!E:I,5,FALSE)</f>
        <v>688</v>
      </c>
      <c r="D369" s="56">
        <f t="shared" si="43"/>
        <v>12</v>
      </c>
      <c r="E369" s="18">
        <f t="shared" si="42"/>
        <v>694</v>
      </c>
      <c r="F369" s="4">
        <v>3</v>
      </c>
      <c r="G369" s="4">
        <v>7</v>
      </c>
      <c r="H369" s="4">
        <v>0.69958484155865963</v>
      </c>
      <c r="I369" s="4">
        <v>412</v>
      </c>
      <c r="J369" s="4" t="str">
        <f t="shared" si="44"/>
        <v>Control</v>
      </c>
      <c r="K369" s="18">
        <f>VLOOKUP(A369,'[1]Interim '!E:I,5,FALSE)*0.96</f>
        <v>894.71999999999991</v>
      </c>
      <c r="L369" s="31">
        <f t="shared" si="45"/>
        <v>3.4606896551724122</v>
      </c>
      <c r="M369" s="19">
        <f t="shared" si="46"/>
        <v>20.855004456685496</v>
      </c>
      <c r="N369" s="57">
        <f t="shared" si="47"/>
        <v>0.16594048984070189</v>
      </c>
    </row>
    <row r="370" spans="1:14" x14ac:dyDescent="0.2">
      <c r="A370" s="16">
        <v>4405</v>
      </c>
      <c r="B370" s="17">
        <f>VLOOKUP(A370,'[1]Nebris 11.27'!E:I,5,FALSE)</f>
        <v>700</v>
      </c>
      <c r="C370" s="4">
        <f>VLOOKUP(A370,'[1]Nebris 11.28.23'!E:I,5,FALSE)</f>
        <v>704</v>
      </c>
      <c r="D370" s="56">
        <f t="shared" si="43"/>
        <v>-4</v>
      </c>
      <c r="E370" s="18">
        <f t="shared" si="42"/>
        <v>702</v>
      </c>
      <c r="F370" s="4">
        <v>3</v>
      </c>
      <c r="G370" s="4">
        <v>7</v>
      </c>
      <c r="H370" s="4">
        <v>0.78766570482506448</v>
      </c>
      <c r="I370" s="4">
        <v>413</v>
      </c>
      <c r="J370" s="4" t="str">
        <f t="shared" si="44"/>
        <v xml:space="preserve">25% MDGS Constant </v>
      </c>
      <c r="K370" s="18">
        <f>VLOOKUP(A370,'[1]Interim '!E:I,5,FALSE)*0.96</f>
        <v>954.24</v>
      </c>
      <c r="L370" s="31">
        <f t="shared" si="45"/>
        <v>4.3489655172413793</v>
      </c>
      <c r="M370" s="19">
        <f t="shared" si="46"/>
        <v>22.388855908644061</v>
      </c>
      <c r="N370" s="57">
        <f t="shared" si="47"/>
        <v>0.19424688492288242</v>
      </c>
    </row>
    <row r="371" spans="1:14" x14ac:dyDescent="0.2">
      <c r="A371" s="16">
        <v>4392</v>
      </c>
      <c r="B371" s="17">
        <f>VLOOKUP(A371,'[1]Nebris 11.27'!E:I,5,FALSE)</f>
        <v>702</v>
      </c>
      <c r="C371" s="4">
        <f>VLOOKUP(A371,'[1]Nebris 11.28.23'!E:I,5,FALSE)</f>
        <v>696</v>
      </c>
      <c r="D371" s="56">
        <f t="shared" si="43"/>
        <v>6</v>
      </c>
      <c r="E371" s="18">
        <f t="shared" si="42"/>
        <v>699</v>
      </c>
      <c r="F371" s="4">
        <v>3</v>
      </c>
      <c r="G371" s="4">
        <v>7</v>
      </c>
      <c r="H371" s="4">
        <v>0.8418577787615481</v>
      </c>
      <c r="I371" s="4">
        <v>414</v>
      </c>
      <c r="J371" s="4" t="str">
        <f t="shared" si="44"/>
        <v>10% MDGS Variable</v>
      </c>
      <c r="K371" s="18">
        <f>VLOOKUP(A371,'[1]Interim '!E:I,5,FALSE)*0.96</f>
        <v>944.64</v>
      </c>
      <c r="L371" s="31">
        <f t="shared" si="45"/>
        <v>4.2351724137931033</v>
      </c>
      <c r="M371" s="19">
        <f t="shared" si="46"/>
        <v>22.8017127959322</v>
      </c>
      <c r="N371" s="57">
        <f t="shared" si="47"/>
        <v>0.18573922282490346</v>
      </c>
    </row>
    <row r="372" spans="1:14" x14ac:dyDescent="0.2">
      <c r="A372" s="16">
        <v>4685</v>
      </c>
      <c r="B372" s="17">
        <f>VLOOKUP(A372,'[1]Nebris 11.27'!E:I,5,FALSE)</f>
        <v>706</v>
      </c>
      <c r="C372" s="4">
        <f>VLOOKUP(A372,'[1]Nebris 11.28.23'!E:I,5,FALSE)</f>
        <v>718</v>
      </c>
      <c r="D372" s="56">
        <f t="shared" si="43"/>
        <v>-12</v>
      </c>
      <c r="E372" s="18">
        <f t="shared" si="42"/>
        <v>712</v>
      </c>
      <c r="F372" s="4">
        <v>3</v>
      </c>
      <c r="G372" s="4">
        <v>8</v>
      </c>
      <c r="H372" s="4">
        <v>7.1840716189389808E-2</v>
      </c>
      <c r="I372" s="4">
        <v>405</v>
      </c>
      <c r="J372" s="4" t="str">
        <f t="shared" si="44"/>
        <v>10% MDGS Variable</v>
      </c>
      <c r="K372" s="18">
        <f>VLOOKUP(A372,'[1]Interim '!E:I,5,FALSE)*0.96</f>
        <v>910.07999999999993</v>
      </c>
      <c r="L372" s="31">
        <f t="shared" si="45"/>
        <v>3.4151724137931021</v>
      </c>
      <c r="M372" s="19">
        <f t="shared" si="46"/>
        <v>21.614662098644061</v>
      </c>
      <c r="N372" s="57">
        <f t="shared" si="47"/>
        <v>0.15800258168307632</v>
      </c>
    </row>
    <row r="373" spans="1:14" x14ac:dyDescent="0.2">
      <c r="A373" s="16">
        <v>4526</v>
      </c>
      <c r="B373" s="17">
        <f>VLOOKUP(A373,'[1]Nebris 11.27'!E:I,5,FALSE)</f>
        <v>714</v>
      </c>
      <c r="C373" s="4">
        <f>VLOOKUP(A373,'[1]Nebris 11.28.23'!E:I,5,FALSE)</f>
        <v>730</v>
      </c>
      <c r="D373" s="56">
        <f t="shared" si="43"/>
        <v>-16</v>
      </c>
      <c r="E373" s="18">
        <f t="shared" si="42"/>
        <v>722</v>
      </c>
      <c r="F373" s="4">
        <v>3</v>
      </c>
      <c r="G373" s="4">
        <v>8</v>
      </c>
      <c r="H373" s="4">
        <v>0.1251232853870814</v>
      </c>
      <c r="I373" s="4">
        <v>406</v>
      </c>
      <c r="J373" s="4" t="str">
        <f t="shared" si="44"/>
        <v xml:space="preserve">10% MDGS Constant </v>
      </c>
      <c r="K373" s="18">
        <f>VLOOKUP(A373,'[1]Interim '!E:I,5,FALSE)*0.96</f>
        <v>973.43999999999994</v>
      </c>
      <c r="L373" s="31">
        <f t="shared" si="45"/>
        <v>4.335172413793102</v>
      </c>
      <c r="M373" s="19">
        <f t="shared" si="46"/>
        <v>22.4464491938983</v>
      </c>
      <c r="N373" s="57">
        <f t="shared" si="47"/>
        <v>0.19313399533016332</v>
      </c>
    </row>
    <row r="374" spans="1:14" x14ac:dyDescent="0.2">
      <c r="A374" s="16">
        <v>4745</v>
      </c>
      <c r="B374" s="17">
        <f>VLOOKUP(A374,'[1]Nebris 11.27'!E:I,5,FALSE)</f>
        <v>718</v>
      </c>
      <c r="C374" s="4">
        <f>VLOOKUP(A374,'[1]Nebris 11.28.23'!E:I,5,FALSE)</f>
        <v>736</v>
      </c>
      <c r="D374" s="56">
        <f t="shared" si="43"/>
        <v>-18</v>
      </c>
      <c r="E374" s="18">
        <f t="shared" si="42"/>
        <v>727</v>
      </c>
      <c r="F374" s="4">
        <v>3</v>
      </c>
      <c r="G374" s="4">
        <v>8</v>
      </c>
      <c r="H374" s="4">
        <v>0.37471778601852368</v>
      </c>
      <c r="I374" s="4">
        <v>407</v>
      </c>
      <c r="J374" s="4" t="str">
        <f t="shared" si="44"/>
        <v>25% MDGS Variable</v>
      </c>
      <c r="K374" s="18">
        <f>VLOOKUP(A374,'[1]Interim '!E:I,5,FALSE)*0.96</f>
        <v>877.43999999999994</v>
      </c>
      <c r="L374" s="31">
        <f t="shared" si="45"/>
        <v>2.5937931034482746</v>
      </c>
      <c r="M374" s="19">
        <f t="shared" si="46"/>
        <v>21.57522001084747</v>
      </c>
      <c r="N374" s="57">
        <f t="shared" si="47"/>
        <v>0.12022093411534999</v>
      </c>
    </row>
    <row r="375" spans="1:14" x14ac:dyDescent="0.2">
      <c r="A375" s="16">
        <v>4538</v>
      </c>
      <c r="B375" s="17">
        <f>VLOOKUP(A375,'[1]Nebris 11.27'!E:I,5,FALSE)</f>
        <v>710</v>
      </c>
      <c r="C375" s="4">
        <f>VLOOKUP(A375,'[1]Nebris 11.28.23'!E:I,5,FALSE)</f>
        <v>702</v>
      </c>
      <c r="D375" s="56">
        <f t="shared" si="43"/>
        <v>8</v>
      </c>
      <c r="E375" s="18">
        <f t="shared" si="42"/>
        <v>706</v>
      </c>
      <c r="F375" s="4">
        <v>3</v>
      </c>
      <c r="G375" s="4">
        <v>8</v>
      </c>
      <c r="H375" s="4">
        <v>0.41428808057254352</v>
      </c>
      <c r="I375" s="4">
        <v>408</v>
      </c>
      <c r="J375" s="4" t="str">
        <f t="shared" si="44"/>
        <v>Control</v>
      </c>
      <c r="K375" s="18">
        <f>VLOOKUP(A375,'[1]Interim '!E:I,5,FALSE)*0.96</f>
        <v>754.56</v>
      </c>
      <c r="L375" s="31">
        <f t="shared" si="45"/>
        <v>0.83724137931034393</v>
      </c>
      <c r="M375" s="19">
        <f t="shared" si="46"/>
        <v>20.467026300338979</v>
      </c>
      <c r="N375" s="57">
        <f t="shared" si="47"/>
        <v>4.0906840447870893E-2</v>
      </c>
    </row>
    <row r="376" spans="1:14" x14ac:dyDescent="0.2">
      <c r="A376" s="16">
        <v>4688</v>
      </c>
      <c r="B376" s="17">
        <f>VLOOKUP(A376,'[1]Nebris 11.27'!E:I,5,FALSE)</f>
        <v>708</v>
      </c>
      <c r="C376" s="4">
        <f>VLOOKUP(A376,'[1]Nebris 11.28.23'!E:I,5,FALSE)</f>
        <v>708</v>
      </c>
      <c r="D376" s="56">
        <f t="shared" si="43"/>
        <v>0</v>
      </c>
      <c r="E376" s="18">
        <f t="shared" si="42"/>
        <v>708</v>
      </c>
      <c r="F376" s="4">
        <v>3</v>
      </c>
      <c r="G376" s="4">
        <v>8</v>
      </c>
      <c r="H376" s="4">
        <v>0.51166062329100004</v>
      </c>
      <c r="I376" s="4">
        <v>409</v>
      </c>
      <c r="J376" s="4" t="str">
        <f t="shared" si="44"/>
        <v xml:space="preserve">25% MDGS Constant </v>
      </c>
      <c r="K376" s="18">
        <f>VLOOKUP(A376,'[1]Interim '!E:I,5,FALSE)*0.96</f>
        <v>856.31999999999994</v>
      </c>
      <c r="L376" s="31">
        <f t="shared" si="45"/>
        <v>2.5572413793103439</v>
      </c>
      <c r="M376" s="19">
        <f t="shared" si="46"/>
        <v>22.10041812305084</v>
      </c>
      <c r="N376" s="57">
        <f t="shared" si="47"/>
        <v>0.11571009041874773</v>
      </c>
    </row>
    <row r="377" spans="1:14" x14ac:dyDescent="0.2">
      <c r="A377" s="16">
        <v>4377</v>
      </c>
      <c r="B377" s="17">
        <f>VLOOKUP(A377,'[1]Nebris 11.27'!E:I,5,FALSE)</f>
        <v>712</v>
      </c>
      <c r="C377" s="4">
        <f>VLOOKUP(A377,'[1]Nebris 11.28.23'!E:I,5,FALSE)</f>
        <v>714</v>
      </c>
      <c r="D377" s="56">
        <f t="shared" si="43"/>
        <v>-2</v>
      </c>
      <c r="E377" s="18">
        <f t="shared" si="42"/>
        <v>713</v>
      </c>
      <c r="F377" s="4">
        <v>3</v>
      </c>
      <c r="G377" s="4">
        <v>8</v>
      </c>
      <c r="H377" s="4">
        <v>0.53036504405443385</v>
      </c>
      <c r="I377" s="4">
        <v>410</v>
      </c>
      <c r="J377" s="4" t="str">
        <f t="shared" si="44"/>
        <v>25% MDGS Variable</v>
      </c>
      <c r="K377" s="18">
        <f>VLOOKUP(A377,'[1]Interim '!E:I,5,FALSE)*0.96</f>
        <v>931.19999999999993</v>
      </c>
      <c r="L377" s="31">
        <f t="shared" si="45"/>
        <v>3.7620689655172401</v>
      </c>
      <c r="M377" s="19">
        <f t="shared" si="46"/>
        <v>20.77588098728814</v>
      </c>
      <c r="N377" s="57">
        <f t="shared" si="47"/>
        <v>0.18107867328557989</v>
      </c>
    </row>
    <row r="378" spans="1:14" x14ac:dyDescent="0.2">
      <c r="A378" s="16">
        <v>4367</v>
      </c>
      <c r="B378" s="17">
        <f>VLOOKUP(A378,'[1]Nebris 11.27'!E:I,5,FALSE)</f>
        <v>708</v>
      </c>
      <c r="C378" s="4">
        <f>VLOOKUP(A378,'[1]Nebris 11.28.23'!E:I,5,FALSE)</f>
        <v>710</v>
      </c>
      <c r="D378" s="56">
        <f t="shared" si="43"/>
        <v>-2</v>
      </c>
      <c r="E378" s="18">
        <f t="shared" si="42"/>
        <v>709</v>
      </c>
      <c r="F378" s="4">
        <v>3</v>
      </c>
      <c r="G378" s="4">
        <v>8</v>
      </c>
      <c r="H378" s="4">
        <v>0.54097210938070484</v>
      </c>
      <c r="I378" s="4">
        <v>411</v>
      </c>
      <c r="J378" s="4" t="str">
        <f t="shared" si="44"/>
        <v xml:space="preserve">10% MDGS Constant </v>
      </c>
      <c r="K378" s="18">
        <f>VLOOKUP(A378,'[1]Interim '!E:I,5,FALSE)*0.96</f>
        <v>923.52</v>
      </c>
      <c r="L378" s="31">
        <f t="shared" si="45"/>
        <v>3.6986206896551721</v>
      </c>
      <c r="M378" s="19">
        <f t="shared" si="46"/>
        <v>20.84857577757062</v>
      </c>
      <c r="N378" s="57">
        <f t="shared" si="47"/>
        <v>0.17740399771739968</v>
      </c>
    </row>
    <row r="379" spans="1:14" x14ac:dyDescent="0.2">
      <c r="A379" s="16">
        <v>4753</v>
      </c>
      <c r="B379" s="17">
        <f>VLOOKUP(A379,'[1]Nebris 11.27'!E:I,5,FALSE)</f>
        <v>708</v>
      </c>
      <c r="C379" s="4">
        <f>VLOOKUP(A379,'[1]Nebris 11.28.23'!E:I,5,FALSE)</f>
        <v>706</v>
      </c>
      <c r="D379" s="56">
        <f t="shared" si="43"/>
        <v>2</v>
      </c>
      <c r="E379" s="18">
        <f t="shared" si="42"/>
        <v>707</v>
      </c>
      <c r="F379" s="4">
        <v>3</v>
      </c>
      <c r="G379" s="4">
        <v>8</v>
      </c>
      <c r="H379" s="4">
        <v>0.56687157706399338</v>
      </c>
      <c r="I379" s="4">
        <v>412</v>
      </c>
      <c r="J379" s="4" t="str">
        <f t="shared" si="44"/>
        <v>Control</v>
      </c>
      <c r="K379" s="18">
        <f>VLOOKUP(A379,'[1]Interim '!E:I,5,FALSE)*0.96</f>
        <v>950.4</v>
      </c>
      <c r="L379" s="31">
        <f t="shared" si="45"/>
        <v>4.1965517241379304</v>
      </c>
      <c r="M379" s="19">
        <f t="shared" si="46"/>
        <v>20.855004456685496</v>
      </c>
      <c r="N379" s="57">
        <f t="shared" si="47"/>
        <v>0.20122516554018957</v>
      </c>
    </row>
    <row r="380" spans="1:14" x14ac:dyDescent="0.2">
      <c r="A380" s="16">
        <v>4669</v>
      </c>
      <c r="B380" s="17">
        <f>VLOOKUP(A380,'[1]Nebris 11.27'!E:I,5,FALSE)</f>
        <v>720</v>
      </c>
      <c r="C380" s="4">
        <f>VLOOKUP(A380,'[1]Nebris 11.28.23'!E:I,5,FALSE)</f>
        <v>728</v>
      </c>
      <c r="D380" s="56">
        <f t="shared" si="43"/>
        <v>-8</v>
      </c>
      <c r="E380" s="18">
        <f t="shared" si="42"/>
        <v>724</v>
      </c>
      <c r="F380" s="4">
        <v>3</v>
      </c>
      <c r="G380" s="4">
        <v>8</v>
      </c>
      <c r="H380" s="4">
        <v>0.83506102587960751</v>
      </c>
      <c r="I380" s="4">
        <v>413</v>
      </c>
      <c r="J380" s="4" t="str">
        <f t="shared" si="44"/>
        <v xml:space="preserve">25% MDGS Constant </v>
      </c>
      <c r="K380" s="18">
        <f>VLOOKUP(A380,'[1]Interim '!E:I,5,FALSE)*0.96</f>
        <v>938.88</v>
      </c>
      <c r="L380" s="31">
        <f t="shared" si="45"/>
        <v>3.7048275862068967</v>
      </c>
      <c r="M380" s="19">
        <f t="shared" si="46"/>
        <v>22.388855908644061</v>
      </c>
      <c r="N380" s="57">
        <f t="shared" si="47"/>
        <v>0.16547641386072384</v>
      </c>
    </row>
    <row r="381" spans="1:14" x14ac:dyDescent="0.2">
      <c r="A381" s="16">
        <v>4478</v>
      </c>
      <c r="B381" s="17">
        <f>VLOOKUP(A381,'[1]Nebris 11.27'!E:I,5,FALSE)</f>
        <v>714</v>
      </c>
      <c r="C381" s="4">
        <f>VLOOKUP(A381,'[1]Nebris 11.28.23'!E:I,5,FALSE)</f>
        <v>700</v>
      </c>
      <c r="D381" s="56">
        <f t="shared" si="43"/>
        <v>14</v>
      </c>
      <c r="E381" s="18">
        <f t="shared" si="42"/>
        <v>707</v>
      </c>
      <c r="F381" s="4">
        <v>3</v>
      </c>
      <c r="G381" s="4">
        <v>8</v>
      </c>
      <c r="H381" s="4">
        <v>0.95861220936497038</v>
      </c>
      <c r="I381" s="4">
        <v>414</v>
      </c>
      <c r="J381" s="4" t="str">
        <f t="shared" si="44"/>
        <v>10% MDGS Variable</v>
      </c>
      <c r="K381" s="18">
        <f>VLOOKUP(A381,'[1]Interim '!E:I,5,FALSE)*0.96</f>
        <v>846.71999999999991</v>
      </c>
      <c r="L381" s="31">
        <f t="shared" si="45"/>
        <v>2.408965517241378</v>
      </c>
      <c r="M381" s="19">
        <f t="shared" si="46"/>
        <v>22.8017127959322</v>
      </c>
      <c r="N381" s="57">
        <f t="shared" si="47"/>
        <v>0.10564844574619564</v>
      </c>
    </row>
    <row r="382" spans="1:14" x14ac:dyDescent="0.2">
      <c r="A382" s="16">
        <v>4635</v>
      </c>
      <c r="B382" s="17">
        <f>VLOOKUP(A382,'[1]Nebris 11.27'!E:I,5,FALSE)</f>
        <v>722</v>
      </c>
      <c r="C382" s="4">
        <f>VLOOKUP(A382,'[1]Nebris 11.28.23'!E:I,5,FALSE)</f>
        <v>730</v>
      </c>
      <c r="D382" s="56">
        <f t="shared" si="43"/>
        <v>-8</v>
      </c>
      <c r="E382" s="18">
        <f t="shared" si="42"/>
        <v>726</v>
      </c>
      <c r="F382" s="4">
        <v>3</v>
      </c>
      <c r="G382" s="4">
        <v>9</v>
      </c>
      <c r="H382" s="4">
        <v>6.7664598245780749E-2</v>
      </c>
      <c r="I382" s="4">
        <v>405</v>
      </c>
      <c r="J382" s="4" t="str">
        <f t="shared" si="44"/>
        <v>10% MDGS Variable</v>
      </c>
      <c r="K382" s="18">
        <f>VLOOKUP(A382,'[1]Interim '!E:I,5,FALSE)*0.96</f>
        <v>925.43999999999994</v>
      </c>
      <c r="L382" s="31">
        <f t="shared" si="45"/>
        <v>3.4386206896551714</v>
      </c>
      <c r="M382" s="19">
        <f t="shared" si="46"/>
        <v>21.614662098644061</v>
      </c>
      <c r="N382" s="57">
        <f t="shared" si="47"/>
        <v>0.15908741362516532</v>
      </c>
    </row>
    <row r="383" spans="1:14" x14ac:dyDescent="0.2">
      <c r="A383" s="16">
        <v>4436</v>
      </c>
      <c r="B383" s="17">
        <f>VLOOKUP(A383,'[1]Nebris 11.27'!E:I,5,FALSE)</f>
        <v>738</v>
      </c>
      <c r="C383" s="4">
        <f>VLOOKUP(A383,'[1]Nebris 11.28.23'!E:I,5,FALSE)</f>
        <v>746</v>
      </c>
      <c r="D383" s="56">
        <f t="shared" si="43"/>
        <v>-8</v>
      </c>
      <c r="E383" s="18">
        <f t="shared" si="42"/>
        <v>742</v>
      </c>
      <c r="F383" s="4">
        <v>3</v>
      </c>
      <c r="G383" s="4">
        <v>9</v>
      </c>
      <c r="H383" s="4">
        <v>0.10826440543608318</v>
      </c>
      <c r="I383" s="4">
        <v>406</v>
      </c>
      <c r="J383" s="4" t="str">
        <f t="shared" si="44"/>
        <v xml:space="preserve">10% MDGS Constant </v>
      </c>
      <c r="K383" s="18">
        <f>VLOOKUP(A383,'[1]Interim '!E:I,5,FALSE)*0.96</f>
        <v>1050.24</v>
      </c>
      <c r="L383" s="31">
        <f t="shared" si="45"/>
        <v>5.3144827586206898</v>
      </c>
      <c r="M383" s="19">
        <f t="shared" si="46"/>
        <v>22.4464491938983</v>
      </c>
      <c r="N383" s="57">
        <f t="shared" si="47"/>
        <v>0.23676273751419646</v>
      </c>
    </row>
    <row r="384" spans="1:14" x14ac:dyDescent="0.2">
      <c r="A384" s="16">
        <v>4474</v>
      </c>
      <c r="B384" s="17">
        <f>VLOOKUP(A384,'[1]Nebris 11.27'!E:I,5,FALSE)</f>
        <v>726</v>
      </c>
      <c r="C384" s="4">
        <f>VLOOKUP(A384,'[1]Nebris 11.28.23'!E:I,5,FALSE)</f>
        <v>738</v>
      </c>
      <c r="D384" s="56">
        <f t="shared" si="43"/>
        <v>-12</v>
      </c>
      <c r="E384" s="18">
        <f t="shared" si="42"/>
        <v>732</v>
      </c>
      <c r="F384" s="4">
        <v>3</v>
      </c>
      <c r="G384" s="4">
        <v>9</v>
      </c>
      <c r="H384" s="4">
        <v>0.15508757749248303</v>
      </c>
      <c r="I384" s="4">
        <v>407</v>
      </c>
      <c r="J384" s="4" t="str">
        <f t="shared" si="44"/>
        <v>25% MDGS Variable</v>
      </c>
      <c r="K384" s="18">
        <f>VLOOKUP(A384,'[1]Interim '!E:I,5,FALSE)*0.96</f>
        <v>894.71999999999991</v>
      </c>
      <c r="L384" s="31">
        <f t="shared" si="45"/>
        <v>2.805517241379309</v>
      </c>
      <c r="M384" s="19">
        <f t="shared" si="46"/>
        <v>21.57522001084747</v>
      </c>
      <c r="N384" s="57">
        <f t="shared" si="47"/>
        <v>0.13003423557065774</v>
      </c>
    </row>
    <row r="385" spans="1:14" x14ac:dyDescent="0.2">
      <c r="A385" s="16">
        <v>4730</v>
      </c>
      <c r="B385" s="17">
        <f>VLOOKUP(A385,'[1]Nebris 11.27'!E:I,5,FALSE)</f>
        <v>724</v>
      </c>
      <c r="C385" s="4">
        <f>VLOOKUP(A385,'[1]Nebris 11.28.23'!E:I,5,FALSE)</f>
        <v>740</v>
      </c>
      <c r="D385" s="56">
        <f t="shared" si="43"/>
        <v>-16</v>
      </c>
      <c r="E385" s="18">
        <f t="shared" si="42"/>
        <v>732</v>
      </c>
      <c r="F385" s="4">
        <v>3</v>
      </c>
      <c r="G385" s="4">
        <v>9</v>
      </c>
      <c r="H385" s="4">
        <v>0.15777937392071606</v>
      </c>
      <c r="I385" s="4">
        <v>408</v>
      </c>
      <c r="J385" s="4" t="str">
        <f t="shared" si="44"/>
        <v>Control</v>
      </c>
      <c r="K385" s="18">
        <f>VLOOKUP(A385,'[1]Interim '!E:I,5,FALSE)*0.96</f>
        <v>975.36</v>
      </c>
      <c r="L385" s="31">
        <f t="shared" si="45"/>
        <v>4.1958620689655177</v>
      </c>
      <c r="M385" s="19">
        <f t="shared" si="46"/>
        <v>20.467026300338979</v>
      </c>
      <c r="N385" s="57">
        <f t="shared" si="47"/>
        <v>0.20500594504517861</v>
      </c>
    </row>
    <row r="386" spans="1:14" x14ac:dyDescent="0.2">
      <c r="A386" s="16">
        <v>4654</v>
      </c>
      <c r="B386" s="17">
        <f>VLOOKUP(A386,'[1]Nebris 11.27'!E:I,5,FALSE)</f>
        <v>732</v>
      </c>
      <c r="C386" s="4">
        <f>VLOOKUP(A386,'[1]Nebris 11.28.23'!E:I,5,FALSE)</f>
        <v>726</v>
      </c>
      <c r="D386" s="56">
        <f t="shared" si="43"/>
        <v>6</v>
      </c>
      <c r="E386" s="18">
        <f t="shared" ref="E386:E401" si="48">AVERAGE(B386:C386)</f>
        <v>729</v>
      </c>
      <c r="F386" s="4">
        <v>3</v>
      </c>
      <c r="G386" s="4">
        <v>9</v>
      </c>
      <c r="H386" s="4">
        <v>0.22575154780788953</v>
      </c>
      <c r="I386" s="4">
        <v>409</v>
      </c>
      <c r="J386" s="4" t="str">
        <f t="shared" si="44"/>
        <v xml:space="preserve">25% MDGS Constant </v>
      </c>
      <c r="K386" s="18">
        <f>VLOOKUP(A386,'[1]Interim '!E:I,5,FALSE)*0.96</f>
        <v>958.07999999999993</v>
      </c>
      <c r="L386" s="31">
        <f t="shared" si="45"/>
        <v>3.949655172413792</v>
      </c>
      <c r="M386" s="19">
        <f t="shared" si="46"/>
        <v>22.10041812305084</v>
      </c>
      <c r="N386" s="57">
        <f t="shared" si="47"/>
        <v>0.17871404741859989</v>
      </c>
    </row>
    <row r="387" spans="1:14" x14ac:dyDescent="0.2">
      <c r="A387" s="16">
        <v>4412</v>
      </c>
      <c r="B387" s="17">
        <f>VLOOKUP(A387,'[1]Nebris 11.27'!E:I,5,FALSE)</f>
        <v>730</v>
      </c>
      <c r="C387" s="4">
        <f>VLOOKUP(A387,'[1]Nebris 11.28.23'!E:I,5,FALSE)</f>
        <v>724</v>
      </c>
      <c r="D387" s="56">
        <f t="shared" ref="D387:D401" si="49">B387-C387</f>
        <v>6</v>
      </c>
      <c r="E387" s="18">
        <f t="shared" si="48"/>
        <v>727</v>
      </c>
      <c r="F387" s="4">
        <v>3</v>
      </c>
      <c r="G387" s="4">
        <v>9</v>
      </c>
      <c r="H387" s="4">
        <v>0.46889534351927775</v>
      </c>
      <c r="I387" s="4">
        <v>410</v>
      </c>
      <c r="J387" s="4" t="str">
        <f t="shared" ref="J387:J401" si="50">VLOOKUP(I387,$T$2:$X$57,5,FALSE)</f>
        <v>25% MDGS Variable</v>
      </c>
      <c r="K387" s="18">
        <f>VLOOKUP(A387,'[1]Interim '!E:I,5,FALSE)*0.96</f>
        <v>908.16</v>
      </c>
      <c r="L387" s="31">
        <f t="shared" ref="L387:L401" si="51">(K387-E387)/58</f>
        <v>3.1234482758620685</v>
      </c>
      <c r="M387" s="19">
        <f t="shared" ref="M387:M401" si="52">VLOOKUP(I387,$AL$1:$AM$40,2,FALSE)</f>
        <v>20.77588098728814</v>
      </c>
      <c r="N387" s="57">
        <f t="shared" ref="N387:N401" si="53">L387/M387</f>
        <v>0.15034011206423309</v>
      </c>
    </row>
    <row r="388" spans="1:14" x14ac:dyDescent="0.2">
      <c r="A388" s="16">
        <v>4606</v>
      </c>
      <c r="B388" s="17">
        <f>VLOOKUP(A388,'[1]Nebris 11.27'!E:I,5,FALSE)</f>
        <v>730</v>
      </c>
      <c r="C388" s="4">
        <f>VLOOKUP(A388,'[1]Nebris 11.28.23'!E:I,5,FALSE)</f>
        <v>740</v>
      </c>
      <c r="D388" s="56">
        <f t="shared" si="49"/>
        <v>-10</v>
      </c>
      <c r="E388" s="18">
        <f t="shared" si="48"/>
        <v>735</v>
      </c>
      <c r="F388" s="4">
        <v>3</v>
      </c>
      <c r="G388" s="4">
        <v>9</v>
      </c>
      <c r="H388" s="4">
        <v>0.47017251519118242</v>
      </c>
      <c r="I388" s="4">
        <v>411</v>
      </c>
      <c r="J388" s="4" t="str">
        <f t="shared" si="50"/>
        <v xml:space="preserve">10% MDGS Constant </v>
      </c>
      <c r="K388" s="18">
        <f>VLOOKUP(A388,'[1]Interim '!E:I,5,FALSE)*0.96</f>
        <v>973.43999999999994</v>
      </c>
      <c r="L388" s="31">
        <f t="shared" si="51"/>
        <v>4.1110344827586198</v>
      </c>
      <c r="M388" s="19">
        <f t="shared" si="52"/>
        <v>20.84857577757062</v>
      </c>
      <c r="N388" s="57">
        <f t="shared" si="53"/>
        <v>0.19718538698366944</v>
      </c>
    </row>
    <row r="389" spans="1:14" x14ac:dyDescent="0.2">
      <c r="A389" s="16">
        <v>4723</v>
      </c>
      <c r="B389" s="17">
        <f>VLOOKUP(A389,'[1]Nebris 11.27'!E:I,5,FALSE)</f>
        <v>738</v>
      </c>
      <c r="C389" s="4">
        <f>VLOOKUP(A389,'[1]Nebris 11.28.23'!E:I,5,FALSE)</f>
        <v>730</v>
      </c>
      <c r="D389" s="56">
        <f t="shared" si="49"/>
        <v>8</v>
      </c>
      <c r="E389" s="18">
        <f t="shared" si="48"/>
        <v>734</v>
      </c>
      <c r="F389" s="4">
        <v>3</v>
      </c>
      <c r="G389" s="4">
        <v>9</v>
      </c>
      <c r="H389" s="4">
        <v>0.69686853523329606</v>
      </c>
      <c r="I389" s="4">
        <v>412</v>
      </c>
      <c r="J389" s="4" t="str">
        <f t="shared" si="50"/>
        <v>Control</v>
      </c>
      <c r="K389" s="18">
        <f>VLOOKUP(A389,'[1]Interim '!E:I,5,FALSE)*0.96</f>
        <v>890.88</v>
      </c>
      <c r="L389" s="31">
        <f t="shared" si="51"/>
        <v>2.7048275862068967</v>
      </c>
      <c r="M389" s="19">
        <f t="shared" si="52"/>
        <v>20.855004456685496</v>
      </c>
      <c r="N389" s="57">
        <f t="shared" si="53"/>
        <v>0.1296968117088946</v>
      </c>
    </row>
    <row r="390" spans="1:14" x14ac:dyDescent="0.2">
      <c r="A390" s="16">
        <v>4687</v>
      </c>
      <c r="B390" s="17">
        <f>VLOOKUP(A390,'[1]Nebris 11.27'!E:I,5,FALSE)</f>
        <v>740</v>
      </c>
      <c r="C390" s="4">
        <f>VLOOKUP(A390,'[1]Nebris 11.28.23'!E:I,5,FALSE)</f>
        <v>738</v>
      </c>
      <c r="D390" s="56">
        <f t="shared" si="49"/>
        <v>2</v>
      </c>
      <c r="E390" s="18">
        <f t="shared" si="48"/>
        <v>739</v>
      </c>
      <c r="F390" s="4">
        <v>3</v>
      </c>
      <c r="G390" s="4">
        <v>9</v>
      </c>
      <c r="H390" s="4">
        <v>0.8151969313093369</v>
      </c>
      <c r="I390" s="4">
        <v>413</v>
      </c>
      <c r="J390" s="4" t="str">
        <f t="shared" si="50"/>
        <v xml:space="preserve">25% MDGS Constant </v>
      </c>
      <c r="K390" s="18">
        <f>VLOOKUP(A390,'[1]Interim '!E:I,5,FALSE)*0.96</f>
        <v>969.59999999999991</v>
      </c>
      <c r="L390" s="31">
        <f t="shared" si="51"/>
        <v>3.9758620689655157</v>
      </c>
      <c r="M390" s="19">
        <f t="shared" si="52"/>
        <v>22.388855908644061</v>
      </c>
      <c r="N390" s="57">
        <f t="shared" si="53"/>
        <v>0.17758219022842003</v>
      </c>
    </row>
    <row r="391" spans="1:14" x14ac:dyDescent="0.2">
      <c r="A391" s="16">
        <v>4627</v>
      </c>
      <c r="B391" s="17">
        <f>VLOOKUP(A391,'[1]Nebris 11.27'!E:I,5,FALSE)</f>
        <v>734</v>
      </c>
      <c r="C391" s="4">
        <f>VLOOKUP(A391,'[1]Nebris 11.28.23'!E:I,5,FALSE)</f>
        <v>728</v>
      </c>
      <c r="D391" s="56">
        <f t="shared" si="49"/>
        <v>6</v>
      </c>
      <c r="E391" s="18">
        <f t="shared" si="48"/>
        <v>731</v>
      </c>
      <c r="F391" s="4">
        <v>3</v>
      </c>
      <c r="G391" s="4">
        <v>9</v>
      </c>
      <c r="H391" s="4">
        <v>0.90001070983302445</v>
      </c>
      <c r="I391" s="4">
        <v>414</v>
      </c>
      <c r="J391" s="4" t="str">
        <f t="shared" si="50"/>
        <v>10% MDGS Variable</v>
      </c>
      <c r="K391" s="18">
        <f>VLOOKUP(A391,'[1]Interim '!E:I,5,FALSE)*0.96</f>
        <v>906.24</v>
      </c>
      <c r="L391" s="31">
        <f t="shared" si="51"/>
        <v>3.0213793103448277</v>
      </c>
      <c r="M391" s="19">
        <f t="shared" si="52"/>
        <v>22.8017127959322</v>
      </c>
      <c r="N391" s="57">
        <f t="shared" si="53"/>
        <v>0.13250668216836053</v>
      </c>
    </row>
    <row r="392" spans="1:14" x14ac:dyDescent="0.2">
      <c r="A392" s="16">
        <v>4656</v>
      </c>
      <c r="B392" s="17">
        <f>VLOOKUP(A392,'[1]Nebris 11.27'!E:I,5,FALSE)</f>
        <v>744</v>
      </c>
      <c r="C392" s="4">
        <f>VLOOKUP(A392,'[1]Nebris 11.28.23'!E:I,5,FALSE)</f>
        <v>754</v>
      </c>
      <c r="D392" s="56">
        <f t="shared" si="49"/>
        <v>-10</v>
      </c>
      <c r="E392" s="18">
        <f t="shared" si="48"/>
        <v>749</v>
      </c>
      <c r="F392" s="4">
        <v>3</v>
      </c>
      <c r="G392" s="4">
        <v>10</v>
      </c>
      <c r="H392" s="4">
        <v>5.9644364168587871E-2</v>
      </c>
      <c r="I392" s="4">
        <v>405</v>
      </c>
      <c r="J392" s="4" t="str">
        <f t="shared" si="50"/>
        <v>10% MDGS Variable</v>
      </c>
      <c r="K392" s="18">
        <f>VLOOKUP(A392,'[1]Interim '!E:I,5,FALSE)*0.96</f>
        <v>952.31999999999994</v>
      </c>
      <c r="L392" s="31">
        <f t="shared" si="51"/>
        <v>3.5055172413793092</v>
      </c>
      <c r="M392" s="19">
        <f t="shared" si="52"/>
        <v>21.614662098644061</v>
      </c>
      <c r="N392" s="57">
        <f t="shared" si="53"/>
        <v>0.16218237534230148</v>
      </c>
    </row>
    <row r="393" spans="1:14" x14ac:dyDescent="0.2">
      <c r="A393" s="16">
        <v>4441</v>
      </c>
      <c r="B393" s="17">
        <f>VLOOKUP(A393,'[1]Nebris 11.27'!E:I,5,FALSE)</f>
        <v>758</v>
      </c>
      <c r="C393" s="4">
        <f>VLOOKUP(A393,'[1]Nebris 11.28.23'!E:I,5,FALSE)</f>
        <v>768</v>
      </c>
      <c r="D393" s="56">
        <f t="shared" si="49"/>
        <v>-10</v>
      </c>
      <c r="E393" s="18">
        <f t="shared" si="48"/>
        <v>763</v>
      </c>
      <c r="F393" s="4">
        <v>3</v>
      </c>
      <c r="G393" s="4">
        <v>10</v>
      </c>
      <c r="H393" s="4">
        <v>0.11015406139840334</v>
      </c>
      <c r="I393" s="4">
        <v>406</v>
      </c>
      <c r="J393" s="4" t="str">
        <f t="shared" si="50"/>
        <v xml:space="preserve">10% MDGS Constant </v>
      </c>
      <c r="K393" s="18">
        <f>VLOOKUP(A393,'[1]Interim '!E:I,5,FALSE)*0.96</f>
        <v>1063.68</v>
      </c>
      <c r="L393" s="31">
        <f t="shared" si="51"/>
        <v>5.1841379310344839</v>
      </c>
      <c r="M393" s="19">
        <f t="shared" si="52"/>
        <v>22.4464491938983</v>
      </c>
      <c r="N393" s="57">
        <f t="shared" si="53"/>
        <v>0.23095581337843435</v>
      </c>
    </row>
    <row r="394" spans="1:14" x14ac:dyDescent="0.2">
      <c r="A394" s="16">
        <v>4539</v>
      </c>
      <c r="B394" s="17">
        <f>VLOOKUP(A394,'[1]Nebris 11.27'!E:I,5,FALSE)</f>
        <v>756</v>
      </c>
      <c r="C394" s="4">
        <f>VLOOKUP(A394,'[1]Nebris 11.28.23'!E:I,5,FALSE)</f>
        <v>744</v>
      </c>
      <c r="D394" s="56">
        <f t="shared" si="49"/>
        <v>12</v>
      </c>
      <c r="E394" s="18">
        <f t="shared" si="48"/>
        <v>750</v>
      </c>
      <c r="F394" s="4">
        <v>3</v>
      </c>
      <c r="G394" s="4">
        <v>10</v>
      </c>
      <c r="H394" s="4">
        <v>0.17161122728811562</v>
      </c>
      <c r="I394" s="4">
        <v>407</v>
      </c>
      <c r="J394" s="4" t="str">
        <f t="shared" si="50"/>
        <v>25% MDGS Variable</v>
      </c>
      <c r="K394" s="18">
        <f>VLOOKUP(A394,'[1]Interim '!E:I,5,FALSE)*0.96</f>
        <v>933.12</v>
      </c>
      <c r="L394" s="31">
        <f t="shared" si="51"/>
        <v>3.1572413793103449</v>
      </c>
      <c r="M394" s="19">
        <f t="shared" si="52"/>
        <v>21.57522001084747</v>
      </c>
      <c r="N394" s="57">
        <f t="shared" si="53"/>
        <v>0.14633646274397036</v>
      </c>
    </row>
    <row r="395" spans="1:14" x14ac:dyDescent="0.2">
      <c r="A395" s="16">
        <v>4451</v>
      </c>
      <c r="B395" s="17">
        <f>VLOOKUP(A395,'[1]Nebris 11.27'!E:I,5,FALSE)</f>
        <v>760</v>
      </c>
      <c r="C395" s="4">
        <f>VLOOKUP(A395,'[1]Nebris 11.28.23'!E:I,5,FALSE)</f>
        <v>744</v>
      </c>
      <c r="D395" s="56">
        <f t="shared" si="49"/>
        <v>16</v>
      </c>
      <c r="E395" s="18">
        <f t="shared" si="48"/>
        <v>752</v>
      </c>
      <c r="F395" s="4">
        <v>3</v>
      </c>
      <c r="G395" s="4">
        <v>10</v>
      </c>
      <c r="H395" s="4">
        <v>0.32818779103592344</v>
      </c>
      <c r="I395" s="4">
        <v>408</v>
      </c>
      <c r="J395" s="4" t="str">
        <f t="shared" si="50"/>
        <v>Control</v>
      </c>
      <c r="K395" s="18">
        <f>VLOOKUP(A395,'[1]Interim '!E:I,5,FALSE)*0.96</f>
        <v>973.43999999999994</v>
      </c>
      <c r="L395" s="31">
        <f t="shared" si="51"/>
        <v>3.8179310344827577</v>
      </c>
      <c r="M395" s="19">
        <f t="shared" si="52"/>
        <v>20.467026300338979</v>
      </c>
      <c r="N395" s="57">
        <f t="shared" si="53"/>
        <v>0.18654058378864372</v>
      </c>
    </row>
    <row r="396" spans="1:14" x14ac:dyDescent="0.2">
      <c r="A396" s="16">
        <v>4447</v>
      </c>
      <c r="B396" s="17">
        <f>VLOOKUP(A396,'[1]Nebris 11.27'!E:I,5,FALSE)</f>
        <v>744</v>
      </c>
      <c r="C396" s="4">
        <f>VLOOKUP(A396,'[1]Nebris 11.28.23'!E:I,5,FALSE)</f>
        <v>742</v>
      </c>
      <c r="D396" s="56">
        <f t="shared" si="49"/>
        <v>2</v>
      </c>
      <c r="E396" s="18">
        <f t="shared" si="48"/>
        <v>743</v>
      </c>
      <c r="F396" s="4">
        <v>3</v>
      </c>
      <c r="G396" s="4">
        <v>10</v>
      </c>
      <c r="H396" s="4">
        <v>0.34062185957035007</v>
      </c>
      <c r="I396" s="4">
        <v>409</v>
      </c>
      <c r="J396" s="4" t="str">
        <f t="shared" si="50"/>
        <v xml:space="preserve">25% MDGS Constant </v>
      </c>
      <c r="K396" s="18">
        <f>VLOOKUP(A396,'[1]Interim '!E:I,5,FALSE)*0.96</f>
        <v>1002.24</v>
      </c>
      <c r="L396" s="31">
        <f t="shared" si="51"/>
        <v>4.469655172413793</v>
      </c>
      <c r="M396" s="19">
        <f t="shared" si="52"/>
        <v>22.10041812305084</v>
      </c>
      <c r="N396" s="57">
        <f t="shared" si="53"/>
        <v>0.20224301402478542</v>
      </c>
    </row>
    <row r="397" spans="1:14" x14ac:dyDescent="0.2">
      <c r="A397" s="16">
        <v>4641</v>
      </c>
      <c r="B397" s="17">
        <f>VLOOKUP(A397,'[1]Nebris 11.27'!E:I,5,FALSE)</f>
        <v>742</v>
      </c>
      <c r="C397" s="4">
        <f>VLOOKUP(A397,'[1]Nebris 11.28.23'!E:I,5,FALSE)</f>
        <v>736</v>
      </c>
      <c r="D397" s="56">
        <f t="shared" si="49"/>
        <v>6</v>
      </c>
      <c r="E397" s="18">
        <f t="shared" si="48"/>
        <v>739</v>
      </c>
      <c r="F397" s="4">
        <v>3</v>
      </c>
      <c r="G397" s="4">
        <v>10</v>
      </c>
      <c r="H397" s="4">
        <v>0.40936182229806595</v>
      </c>
      <c r="I397" s="4">
        <v>410</v>
      </c>
      <c r="J397" s="4" t="str">
        <f t="shared" si="50"/>
        <v>25% MDGS Variable</v>
      </c>
      <c r="K397" s="18">
        <f>VLOOKUP(A397,'[1]Interim '!E:I,5,FALSE)*0.96</f>
        <v>900.48</v>
      </c>
      <c r="L397" s="31">
        <f t="shared" si="51"/>
        <v>2.7841379310344831</v>
      </c>
      <c r="M397" s="19">
        <f t="shared" si="52"/>
        <v>20.77588098728814</v>
      </c>
      <c r="N397" s="57">
        <f t="shared" si="53"/>
        <v>0.13400817672848514</v>
      </c>
    </row>
    <row r="398" spans="1:14" x14ac:dyDescent="0.2">
      <c r="A398" s="16">
        <v>4707</v>
      </c>
      <c r="B398" s="17">
        <f>VLOOKUP(A398,'[1]Nebris 11.27'!E:I,5,FALSE)</f>
        <v>750</v>
      </c>
      <c r="C398" s="4">
        <f>VLOOKUP(A398,'[1]Nebris 11.28.23'!E:I,5,FALSE)</f>
        <v>720</v>
      </c>
      <c r="D398" s="43">
        <f t="shared" si="49"/>
        <v>30</v>
      </c>
      <c r="E398" s="18">
        <f t="shared" si="48"/>
        <v>735</v>
      </c>
      <c r="F398" s="4">
        <v>3</v>
      </c>
      <c r="G398" s="4">
        <v>10</v>
      </c>
      <c r="H398" s="4">
        <v>0.45252313837782576</v>
      </c>
      <c r="I398" s="4">
        <v>411</v>
      </c>
      <c r="J398" s="4" t="str">
        <f t="shared" si="50"/>
        <v xml:space="preserve">10% MDGS Constant </v>
      </c>
      <c r="K398" s="18">
        <f>VLOOKUP(A398,'[1]Interim '!E:I,5,FALSE)*0.96</f>
        <v>927.36</v>
      </c>
      <c r="L398" s="31">
        <f t="shared" si="51"/>
        <v>3.3165517241379314</v>
      </c>
      <c r="M398" s="19">
        <f t="shared" si="52"/>
        <v>20.84857577757062</v>
      </c>
      <c r="N398" s="57">
        <f t="shared" si="53"/>
        <v>0.15907809528677516</v>
      </c>
    </row>
    <row r="399" spans="1:14" x14ac:dyDescent="0.2">
      <c r="A399" s="16">
        <v>4748</v>
      </c>
      <c r="B399" s="17">
        <f>VLOOKUP(A399,'[1]Nebris 11.27'!E:I,5,FALSE)</f>
        <v>766</v>
      </c>
      <c r="C399" s="4">
        <f>VLOOKUP(A399,'[1]Nebris 11.28.23'!E:I,5,FALSE)</f>
        <v>764</v>
      </c>
      <c r="D399" s="56">
        <f t="shared" si="49"/>
        <v>2</v>
      </c>
      <c r="E399" s="18">
        <f t="shared" si="48"/>
        <v>765</v>
      </c>
      <c r="F399" s="4">
        <v>3</v>
      </c>
      <c r="G399" s="4">
        <v>10</v>
      </c>
      <c r="H399" s="4">
        <v>0.80612970674018247</v>
      </c>
      <c r="I399" s="4">
        <v>412</v>
      </c>
      <c r="J399" s="4" t="str">
        <f t="shared" si="50"/>
        <v>Control</v>
      </c>
      <c r="K399" s="18">
        <f>VLOOKUP(A399,'[1]Interim '!E:I,5,FALSE)*0.96</f>
        <v>967.68</v>
      </c>
      <c r="L399" s="31">
        <f t="shared" si="51"/>
        <v>3.4944827586206886</v>
      </c>
      <c r="M399" s="19">
        <f t="shared" si="52"/>
        <v>20.855004456685496</v>
      </c>
      <c r="N399" s="57">
        <f t="shared" si="53"/>
        <v>0.16756087326082833</v>
      </c>
    </row>
    <row r="400" spans="1:14" x14ac:dyDescent="0.2">
      <c r="A400" s="16">
        <v>4449</v>
      </c>
      <c r="B400" s="17">
        <f>VLOOKUP(A400,'[1]Nebris 11.27'!E:I,5,FALSE)</f>
        <v>746</v>
      </c>
      <c r="C400" s="4">
        <f>VLOOKUP(A400,'[1]Nebris 11.28.23'!E:I,5,FALSE)</f>
        <v>748</v>
      </c>
      <c r="D400" s="56">
        <f t="shared" si="49"/>
        <v>-2</v>
      </c>
      <c r="E400" s="18">
        <f t="shared" si="48"/>
        <v>747</v>
      </c>
      <c r="F400" s="4">
        <v>3</v>
      </c>
      <c r="G400" s="4">
        <v>10</v>
      </c>
      <c r="H400" s="4">
        <v>0.82758283275983813</v>
      </c>
      <c r="I400" s="4">
        <v>413</v>
      </c>
      <c r="J400" s="4" t="str">
        <f t="shared" si="50"/>
        <v xml:space="preserve">25% MDGS Constant </v>
      </c>
      <c r="K400" s="18">
        <f>VLOOKUP(A400,'[1]Interim '!E:I,5,FALSE)*0.96</f>
        <v>1025.28</v>
      </c>
      <c r="L400" s="31">
        <f t="shared" si="51"/>
        <v>4.7979310344827582</v>
      </c>
      <c r="M400" s="19">
        <f t="shared" si="52"/>
        <v>22.388855908644061</v>
      </c>
      <c r="N400" s="57">
        <f t="shared" si="53"/>
        <v>0.21429996486021138</v>
      </c>
    </row>
    <row r="401" spans="1:14" x14ac:dyDescent="0.2">
      <c r="A401" s="16">
        <v>4364</v>
      </c>
      <c r="B401" s="17">
        <f>VLOOKUP(A401,'[1]Nebris 11.27'!E:I,5,FALSE)</f>
        <v>756</v>
      </c>
      <c r="C401" s="4">
        <f>VLOOKUP(A401,'[1]Nebris 11.28.23'!E:I,5,FALSE)</f>
        <v>746</v>
      </c>
      <c r="D401" s="56">
        <f t="shared" si="49"/>
        <v>10</v>
      </c>
      <c r="E401" s="18">
        <f t="shared" si="48"/>
        <v>751</v>
      </c>
      <c r="F401" s="4">
        <v>3</v>
      </c>
      <c r="G401" s="4">
        <v>10</v>
      </c>
      <c r="H401" s="4">
        <v>0.96364738776814163</v>
      </c>
      <c r="I401" s="4">
        <v>414</v>
      </c>
      <c r="J401" s="4" t="str">
        <f t="shared" si="50"/>
        <v>10% MDGS Variable</v>
      </c>
      <c r="K401" s="18">
        <f>VLOOKUP(A401,'[1]Interim '!E:I,5,FALSE)*0.96</f>
        <v>996.48</v>
      </c>
      <c r="L401" s="31">
        <f t="shared" si="51"/>
        <v>4.2324137931034489</v>
      </c>
      <c r="M401" s="19">
        <f t="shared" si="52"/>
        <v>22.8017127959322</v>
      </c>
      <c r="N401" s="57">
        <f t="shared" si="53"/>
        <v>0.1856182397779568</v>
      </c>
    </row>
    <row r="402" spans="1:14" x14ac:dyDescent="0.2">
      <c r="A402" s="4"/>
      <c r="B402" s="4"/>
      <c r="E402" s="18"/>
    </row>
    <row r="403" spans="1:14" x14ac:dyDescent="0.2">
      <c r="A403" s="44"/>
      <c r="B403" s="44"/>
      <c r="D403" s="4" t="s">
        <v>50</v>
      </c>
      <c r="E403" s="18">
        <f>AVERAGE(E2:E401)</f>
        <v>631.87874999999997</v>
      </c>
      <c r="J403" s="4" t="s">
        <v>1</v>
      </c>
      <c r="K403" s="4">
        <f>AVERAGE(K2:K401)</f>
        <v>820.48484848484804</v>
      </c>
      <c r="L403" s="31">
        <f>AVERAGE(L2:L401)</f>
        <v>3.2579371453513741</v>
      </c>
    </row>
    <row r="404" spans="1:14" x14ac:dyDescent="0.2">
      <c r="A404" s="44"/>
      <c r="B404" s="44"/>
      <c r="E404" s="18"/>
      <c r="L404" s="48"/>
    </row>
    <row r="405" spans="1:14" x14ac:dyDescent="0.2">
      <c r="A405" s="44"/>
      <c r="B405" s="44"/>
      <c r="E405" s="18"/>
      <c r="L405" s="48"/>
    </row>
    <row r="406" spans="1:14" x14ac:dyDescent="0.2">
      <c r="A406" s="44"/>
      <c r="B406" s="44"/>
      <c r="E406" s="18"/>
      <c r="L406" s="48"/>
    </row>
    <row r="407" spans="1:14" x14ac:dyDescent="0.2">
      <c r="A407" s="4"/>
      <c r="B407" s="4"/>
      <c r="E407" s="18"/>
      <c r="L407" s="48"/>
    </row>
    <row r="408" spans="1:14" x14ac:dyDescent="0.2">
      <c r="A408" s="45"/>
      <c r="B408" s="45"/>
      <c r="E408" s="18"/>
      <c r="L408" s="48"/>
    </row>
    <row r="409" spans="1:14" x14ac:dyDescent="0.2">
      <c r="A409" s="44"/>
      <c r="B409" s="44"/>
      <c r="E409" s="18"/>
      <c r="L409" s="48"/>
    </row>
    <row r="410" spans="1:14" x14ac:dyDescent="0.2">
      <c r="A410" s="4"/>
      <c r="B410" s="4"/>
      <c r="E410" s="18"/>
      <c r="L410" s="48"/>
    </row>
    <row r="411" spans="1:14" x14ac:dyDescent="0.2">
      <c r="A411" s="4"/>
      <c r="B411" s="4"/>
      <c r="E411" s="18"/>
      <c r="L411" s="48"/>
    </row>
    <row r="412" spans="1:14" x14ac:dyDescent="0.2">
      <c r="A412" s="44"/>
      <c r="B412" s="44"/>
      <c r="E412" s="18"/>
      <c r="L412" s="48"/>
    </row>
    <row r="413" spans="1:14" x14ac:dyDescent="0.2">
      <c r="A413" s="44"/>
      <c r="B413" s="44"/>
      <c r="E413" s="18"/>
      <c r="L413" s="48"/>
    </row>
    <row r="414" spans="1:14" x14ac:dyDescent="0.2">
      <c r="A414" s="4"/>
      <c r="B414" s="4"/>
      <c r="E414" s="18"/>
      <c r="L414" s="48"/>
    </row>
    <row r="415" spans="1:14" x14ac:dyDescent="0.2">
      <c r="A415" s="44"/>
      <c r="B415" s="44"/>
      <c r="E415" s="18"/>
      <c r="L415" s="48"/>
    </row>
    <row r="416" spans="1:14" x14ac:dyDescent="0.2">
      <c r="A416" s="4"/>
      <c r="B416" s="4"/>
      <c r="E416" s="18"/>
      <c r="L416" s="48"/>
    </row>
    <row r="417" spans="1:12" x14ac:dyDescent="0.2">
      <c r="A417" s="4"/>
      <c r="B417" s="4"/>
      <c r="E417" s="18"/>
      <c r="L417" s="48"/>
    </row>
    <row r="418" spans="1:12" x14ac:dyDescent="0.2">
      <c r="A418" s="44"/>
      <c r="B418" s="44"/>
      <c r="E418" s="18"/>
      <c r="L418" s="48"/>
    </row>
    <row r="419" spans="1:12" x14ac:dyDescent="0.2">
      <c r="A419" s="44"/>
      <c r="B419" s="44"/>
      <c r="E419" s="18"/>
      <c r="L419" s="48"/>
    </row>
    <row r="420" spans="1:12" x14ac:dyDescent="0.2">
      <c r="A420" s="44"/>
      <c r="B420" s="44"/>
      <c r="E420" s="18"/>
      <c r="L420" s="48"/>
    </row>
    <row r="421" spans="1:12" x14ac:dyDescent="0.2">
      <c r="A421" s="44"/>
      <c r="B421" s="44"/>
      <c r="E421" s="18"/>
      <c r="L421" s="48"/>
    </row>
    <row r="422" spans="1:12" x14ac:dyDescent="0.2">
      <c r="A422" s="44"/>
      <c r="B422" s="44"/>
      <c r="E422" s="18"/>
      <c r="L422" s="48"/>
    </row>
    <row r="423" spans="1:12" x14ac:dyDescent="0.2">
      <c r="A423" s="45"/>
      <c r="B423" s="45"/>
      <c r="E423" s="18"/>
      <c r="L423" s="48"/>
    </row>
    <row r="424" spans="1:12" x14ac:dyDescent="0.2">
      <c r="A424" s="44"/>
      <c r="B424" s="44"/>
      <c r="E424" s="18"/>
      <c r="L424" s="48"/>
    </row>
    <row r="425" spans="1:12" x14ac:dyDescent="0.2">
      <c r="A425" s="45"/>
      <c r="B425" s="45"/>
      <c r="E425" s="18"/>
      <c r="L425" s="48"/>
    </row>
    <row r="426" spans="1:12" x14ac:dyDescent="0.2">
      <c r="A426" s="44"/>
      <c r="B426" s="44"/>
      <c r="E426" s="18"/>
      <c r="L426" s="48"/>
    </row>
    <row r="427" spans="1:12" x14ac:dyDescent="0.2">
      <c r="A427" s="4"/>
      <c r="B427" s="4"/>
      <c r="E427" s="18"/>
      <c r="L427" s="48"/>
    </row>
    <row r="428" spans="1:12" x14ac:dyDescent="0.2">
      <c r="A428" s="4"/>
      <c r="B428" s="4"/>
      <c r="E428" s="18"/>
      <c r="L428" s="48"/>
    </row>
    <row r="429" spans="1:12" x14ac:dyDescent="0.2">
      <c r="A429" s="45"/>
      <c r="B429" s="45"/>
      <c r="E429" s="18"/>
      <c r="L429" s="48"/>
    </row>
    <row r="430" spans="1:12" x14ac:dyDescent="0.2">
      <c r="A430" s="4"/>
      <c r="B430" s="4"/>
      <c r="E430" s="18"/>
      <c r="L430" s="48"/>
    </row>
    <row r="431" spans="1:12" x14ac:dyDescent="0.2">
      <c r="A431" s="44"/>
      <c r="B431" s="44"/>
      <c r="E431" s="18"/>
      <c r="L431" s="48"/>
    </row>
    <row r="432" spans="1:12" x14ac:dyDescent="0.2">
      <c r="A432" s="4"/>
      <c r="B432" s="4"/>
      <c r="E432" s="18"/>
      <c r="L432" s="48"/>
    </row>
    <row r="433" spans="1:12" x14ac:dyDescent="0.2">
      <c r="A433" s="4"/>
      <c r="B433" s="4"/>
      <c r="E433" s="18"/>
      <c r="L433" s="48"/>
    </row>
    <row r="434" spans="1:12" x14ac:dyDescent="0.2">
      <c r="A434" s="45"/>
      <c r="B434" s="45"/>
      <c r="E434" s="18"/>
      <c r="L434" s="48"/>
    </row>
    <row r="435" spans="1:12" x14ac:dyDescent="0.2">
      <c r="A435" s="44"/>
      <c r="B435" s="44"/>
      <c r="E435" s="18"/>
      <c r="L435" s="48"/>
    </row>
    <row r="436" spans="1:12" x14ac:dyDescent="0.2">
      <c r="A436" s="45"/>
      <c r="B436" s="45"/>
      <c r="E436" s="18"/>
      <c r="L436" s="48"/>
    </row>
    <row r="437" spans="1:12" x14ac:dyDescent="0.2">
      <c r="A437" s="44"/>
      <c r="B437" s="44"/>
      <c r="E437" s="18"/>
      <c r="L437" s="48"/>
    </row>
    <row r="438" spans="1:12" x14ac:dyDescent="0.2">
      <c r="A438" s="4"/>
      <c r="B438" s="4"/>
      <c r="E438" s="18"/>
      <c r="L438" s="48"/>
    </row>
    <row r="439" spans="1:12" x14ac:dyDescent="0.2">
      <c r="A439" s="44"/>
      <c r="B439" s="44"/>
      <c r="E439" s="18"/>
      <c r="L439" s="48"/>
    </row>
    <row r="440" spans="1:12" x14ac:dyDescent="0.2">
      <c r="A440" s="44"/>
      <c r="B440" s="44"/>
      <c r="E440" s="18"/>
      <c r="L440" s="48"/>
    </row>
    <row r="441" spans="1:12" x14ac:dyDescent="0.2">
      <c r="A441" s="45"/>
      <c r="B441" s="45"/>
      <c r="E441" s="18"/>
      <c r="L441" s="48"/>
    </row>
    <row r="442" spans="1:12" x14ac:dyDescent="0.2">
      <c r="A442" s="4"/>
      <c r="B442" s="4"/>
      <c r="E442" s="18"/>
      <c r="L442" s="48"/>
    </row>
    <row r="443" spans="1:12" x14ac:dyDescent="0.2">
      <c r="A443" s="4"/>
      <c r="B443" s="4"/>
      <c r="E443" s="18"/>
      <c r="L443" s="48"/>
    </row>
    <row r="444" spans="1:12" x14ac:dyDescent="0.2">
      <c r="A444" s="44"/>
      <c r="B444" s="44"/>
      <c r="E444" s="18"/>
      <c r="L444" s="48"/>
    </row>
    <row r="445" spans="1:12" x14ac:dyDescent="0.2">
      <c r="A445" s="4"/>
      <c r="B445" s="4"/>
      <c r="E445" s="18"/>
      <c r="L445" s="48"/>
    </row>
    <row r="446" spans="1:12" x14ac:dyDescent="0.2">
      <c r="A446" s="45"/>
      <c r="B446" s="45"/>
      <c r="E446" s="18"/>
      <c r="L446" s="48"/>
    </row>
    <row r="447" spans="1:12" x14ac:dyDescent="0.2">
      <c r="A447" s="44"/>
      <c r="B447" s="44"/>
      <c r="E447" s="18"/>
      <c r="L447" s="48"/>
    </row>
    <row r="448" spans="1:12" x14ac:dyDescent="0.2">
      <c r="A448" s="44"/>
      <c r="B448" s="44"/>
      <c r="E448" s="18"/>
      <c r="L448" s="48"/>
    </row>
    <row r="449" spans="1:12" x14ac:dyDescent="0.2">
      <c r="A449" s="44"/>
      <c r="B449" s="44"/>
      <c r="E449" s="18"/>
      <c r="L449" s="48"/>
    </row>
    <row r="450" spans="1:12" x14ac:dyDescent="0.2">
      <c r="A450" s="45"/>
      <c r="B450" s="45"/>
      <c r="E450" s="18"/>
      <c r="L450" s="48"/>
    </row>
    <row r="451" spans="1:12" x14ac:dyDescent="0.2">
      <c r="A451" s="44"/>
      <c r="B451" s="44"/>
      <c r="E451" s="18"/>
      <c r="L451" s="48"/>
    </row>
    <row r="452" spans="1:12" x14ac:dyDescent="0.2">
      <c r="A452" s="4"/>
      <c r="B452" s="4"/>
      <c r="E452" s="18"/>
      <c r="L452" s="48"/>
    </row>
    <row r="453" spans="1:12" x14ac:dyDescent="0.2">
      <c r="A453" s="44"/>
      <c r="B453" s="44"/>
      <c r="E453" s="18"/>
      <c r="L453" s="48"/>
    </row>
    <row r="454" spans="1:12" x14ac:dyDescent="0.2">
      <c r="A454" s="4"/>
      <c r="B454" s="4"/>
      <c r="E454" s="18"/>
      <c r="L454" s="48"/>
    </row>
    <row r="455" spans="1:12" x14ac:dyDescent="0.2">
      <c r="A455" s="45"/>
      <c r="B455" s="45"/>
      <c r="E455" s="18"/>
      <c r="L455" s="48"/>
    </row>
    <row r="456" spans="1:12" x14ac:dyDescent="0.2">
      <c r="A456" s="44"/>
      <c r="B456" s="44"/>
      <c r="E456" s="18"/>
      <c r="L456" s="48"/>
    </row>
    <row r="457" spans="1:12" x14ac:dyDescent="0.2">
      <c r="A457" s="4"/>
      <c r="B457" s="4"/>
      <c r="E457" s="18"/>
      <c r="L457" s="48"/>
    </row>
    <row r="458" spans="1:12" x14ac:dyDescent="0.2">
      <c r="A458" s="44"/>
      <c r="B458" s="44"/>
      <c r="E458" s="18"/>
      <c r="L458" s="48"/>
    </row>
    <row r="459" spans="1:12" x14ac:dyDescent="0.2">
      <c r="A459" s="44"/>
      <c r="B459" s="44"/>
      <c r="E459" s="18"/>
      <c r="L459" s="48"/>
    </row>
    <row r="460" spans="1:12" x14ac:dyDescent="0.2">
      <c r="A460" s="4"/>
      <c r="B460" s="4"/>
      <c r="E460" s="18"/>
      <c r="L460" s="48"/>
    </row>
    <row r="461" spans="1:12" x14ac:dyDescent="0.2">
      <c r="A461" s="44"/>
      <c r="B461" s="44"/>
      <c r="E461" s="18"/>
      <c r="L461" s="48"/>
    </row>
    <row r="462" spans="1:12" x14ac:dyDescent="0.2">
      <c r="A462" s="44"/>
      <c r="B462" s="44"/>
      <c r="E462" s="18"/>
      <c r="L462" s="48"/>
    </row>
    <row r="463" spans="1:12" x14ac:dyDescent="0.2">
      <c r="A463" s="45"/>
      <c r="B463" s="45"/>
      <c r="E463" s="18"/>
      <c r="L463" s="48"/>
    </row>
    <row r="464" spans="1:12" x14ac:dyDescent="0.2">
      <c r="A464" s="44"/>
      <c r="B464" s="44"/>
      <c r="E464" s="18"/>
      <c r="L464" s="48"/>
    </row>
    <row r="465" spans="1:12" x14ac:dyDescent="0.2">
      <c r="A465" s="44"/>
      <c r="B465" s="44"/>
      <c r="E465" s="18"/>
      <c r="L465" s="48"/>
    </row>
    <row r="466" spans="1:12" x14ac:dyDescent="0.2">
      <c r="A466" s="4"/>
      <c r="B466" s="4"/>
      <c r="E466" s="18"/>
      <c r="L466" s="48"/>
    </row>
    <row r="467" spans="1:12" x14ac:dyDescent="0.2">
      <c r="A467" s="4"/>
      <c r="B467" s="4"/>
      <c r="E467" s="18"/>
      <c r="L467" s="48"/>
    </row>
    <row r="468" spans="1:12" x14ac:dyDescent="0.2">
      <c r="A468" s="4"/>
      <c r="B468" s="4"/>
      <c r="E468" s="18"/>
      <c r="L468" s="48"/>
    </row>
    <row r="469" spans="1:12" x14ac:dyDescent="0.2">
      <c r="A469" s="4"/>
      <c r="B469" s="4"/>
      <c r="E469" s="18"/>
      <c r="L469" s="48"/>
    </row>
    <row r="470" spans="1:12" x14ac:dyDescent="0.2">
      <c r="A470" s="4"/>
      <c r="B470" s="4"/>
      <c r="E470" s="18"/>
      <c r="L470" s="48"/>
    </row>
    <row r="471" spans="1:12" x14ac:dyDescent="0.2">
      <c r="A471" s="4"/>
      <c r="B471" s="4"/>
      <c r="E471" s="18"/>
      <c r="L471" s="48"/>
    </row>
    <row r="472" spans="1:12" x14ac:dyDescent="0.2">
      <c r="A472" s="45"/>
      <c r="B472" s="45"/>
      <c r="E472" s="18"/>
      <c r="L472" s="48"/>
    </row>
    <row r="473" spans="1:12" x14ac:dyDescent="0.2">
      <c r="A473" s="4"/>
      <c r="B473" s="4"/>
      <c r="E473" s="18"/>
      <c r="L473" s="48"/>
    </row>
    <row r="474" spans="1:12" x14ac:dyDescent="0.2">
      <c r="A474" s="44"/>
      <c r="B474" s="44"/>
      <c r="E474" s="18"/>
      <c r="L474" s="48"/>
    </row>
    <row r="475" spans="1:12" x14ac:dyDescent="0.2">
      <c r="A475" s="44"/>
      <c r="B475" s="44"/>
      <c r="E475" s="18"/>
      <c r="L475" s="48"/>
    </row>
    <row r="476" spans="1:12" x14ac:dyDescent="0.2">
      <c r="A476" s="45"/>
      <c r="B476" s="45"/>
      <c r="E476" s="18"/>
      <c r="L476" s="48"/>
    </row>
    <row r="477" spans="1:12" x14ac:dyDescent="0.2">
      <c r="A477" s="4"/>
      <c r="B477" s="4"/>
      <c r="E477" s="18"/>
      <c r="L477" s="48"/>
    </row>
    <row r="478" spans="1:12" x14ac:dyDescent="0.2">
      <c r="A478" s="45"/>
      <c r="B478" s="45"/>
      <c r="E478" s="18"/>
      <c r="L478" s="48"/>
    </row>
    <row r="479" spans="1:12" x14ac:dyDescent="0.2">
      <c r="A479" s="45"/>
      <c r="B479" s="45"/>
      <c r="E479" s="18"/>
      <c r="L479" s="48"/>
    </row>
    <row r="480" spans="1:12" x14ac:dyDescent="0.2">
      <c r="A480" s="4"/>
      <c r="B480" s="4"/>
      <c r="E480" s="18"/>
      <c r="L480" s="48"/>
    </row>
    <row r="481" spans="1:12" x14ac:dyDescent="0.2">
      <c r="A481" s="4"/>
      <c r="B481" s="4"/>
      <c r="E481" s="18"/>
      <c r="L481" s="48"/>
    </row>
    <row r="482" spans="1:12" x14ac:dyDescent="0.2">
      <c r="A482" s="46"/>
      <c r="B482" s="46"/>
      <c r="E482" s="18"/>
      <c r="L482" s="48"/>
    </row>
    <row r="483" spans="1:12" x14ac:dyDescent="0.2">
      <c r="A483" s="46"/>
      <c r="B483" s="46"/>
      <c r="E483" s="18"/>
      <c r="L483" s="48"/>
    </row>
    <row r="484" spans="1:12" x14ac:dyDescent="0.2">
      <c r="A484" s="46"/>
      <c r="B484" s="46"/>
      <c r="E484" s="18"/>
      <c r="L484" s="48"/>
    </row>
    <row r="485" spans="1:12" x14ac:dyDescent="0.2">
      <c r="A485" s="46"/>
      <c r="B485" s="46"/>
      <c r="E485" s="18"/>
      <c r="L485" s="48"/>
    </row>
    <row r="486" spans="1:12" x14ac:dyDescent="0.2">
      <c r="A486" s="46"/>
      <c r="B486" s="46"/>
      <c r="E486" s="18"/>
      <c r="L486" s="48"/>
    </row>
    <row r="487" spans="1:12" x14ac:dyDescent="0.2">
      <c r="A487" s="46"/>
      <c r="B487" s="46"/>
      <c r="E487" s="18"/>
      <c r="L487" s="48"/>
    </row>
    <row r="488" spans="1:12" x14ac:dyDescent="0.2">
      <c r="A488" s="46"/>
      <c r="B488" s="46"/>
      <c r="E488" s="18"/>
      <c r="L488" s="48"/>
    </row>
    <row r="489" spans="1:12" x14ac:dyDescent="0.2">
      <c r="A489" s="46"/>
      <c r="B489" s="46"/>
      <c r="E489" s="18"/>
      <c r="L489" s="48"/>
    </row>
    <row r="490" spans="1:12" x14ac:dyDescent="0.2">
      <c r="A490" s="46"/>
      <c r="B490" s="46"/>
      <c r="E490" s="18"/>
      <c r="L490" s="48"/>
    </row>
    <row r="491" spans="1:12" x14ac:dyDescent="0.2">
      <c r="A491" s="46"/>
      <c r="B491" s="46"/>
      <c r="E491" s="18"/>
      <c r="L491" s="48"/>
    </row>
    <row r="492" spans="1:12" x14ac:dyDescent="0.2">
      <c r="A492" s="46"/>
      <c r="B492" s="46"/>
      <c r="E492" s="18"/>
      <c r="L492" s="48"/>
    </row>
    <row r="493" spans="1:12" x14ac:dyDescent="0.2">
      <c r="A493" s="46"/>
      <c r="B493" s="46"/>
      <c r="E493" s="18"/>
      <c r="L493" s="48"/>
    </row>
    <row r="494" spans="1:12" x14ac:dyDescent="0.2">
      <c r="A494" s="46"/>
      <c r="B494" s="46"/>
      <c r="E494" s="18"/>
      <c r="L494" s="48"/>
    </row>
    <row r="495" spans="1:12" x14ac:dyDescent="0.2">
      <c r="A495" s="46"/>
      <c r="B495" s="46"/>
      <c r="E495" s="18"/>
      <c r="L495" s="48"/>
    </row>
    <row r="496" spans="1:12" x14ac:dyDescent="0.2">
      <c r="A496" s="46"/>
      <c r="B496" s="46"/>
      <c r="E496" s="18"/>
      <c r="L496" s="48"/>
    </row>
    <row r="497" spans="1:12" x14ac:dyDescent="0.2">
      <c r="A497" s="46"/>
      <c r="B497" s="46"/>
      <c r="E497" s="18"/>
      <c r="L497" s="48"/>
    </row>
    <row r="498" spans="1:12" x14ac:dyDescent="0.2">
      <c r="A498" s="46"/>
      <c r="B498" s="46"/>
      <c r="E498" s="18"/>
      <c r="L498" s="48"/>
    </row>
    <row r="499" spans="1:12" x14ac:dyDescent="0.2">
      <c r="A499" s="46"/>
      <c r="B499" s="46"/>
      <c r="E499" s="18"/>
      <c r="L499" s="48"/>
    </row>
    <row r="500" spans="1:12" x14ac:dyDescent="0.2">
      <c r="A500" s="46"/>
      <c r="B500" s="46"/>
      <c r="E500" s="18"/>
      <c r="L500" s="48"/>
    </row>
    <row r="501" spans="1:12" x14ac:dyDescent="0.2">
      <c r="A501" s="46"/>
      <c r="B501" s="46"/>
      <c r="E501" s="18"/>
      <c r="L501" s="48"/>
    </row>
    <row r="502" spans="1:12" x14ac:dyDescent="0.2">
      <c r="A502" s="46"/>
      <c r="B502" s="46"/>
      <c r="E502" s="18"/>
      <c r="L502" s="48"/>
    </row>
    <row r="503" spans="1:12" x14ac:dyDescent="0.2">
      <c r="A503" s="46"/>
      <c r="B503" s="46"/>
      <c r="E503" s="18"/>
      <c r="L503" s="48"/>
    </row>
    <row r="504" spans="1:12" x14ac:dyDescent="0.2">
      <c r="A504" s="46"/>
      <c r="B504" s="46"/>
      <c r="E504" s="18"/>
      <c r="L504" s="48"/>
    </row>
    <row r="505" spans="1:12" x14ac:dyDescent="0.2">
      <c r="A505" s="46"/>
      <c r="B505" s="46"/>
      <c r="E505" s="18"/>
      <c r="L505" s="48"/>
    </row>
    <row r="506" spans="1:12" x14ac:dyDescent="0.2">
      <c r="A506" s="46"/>
      <c r="B506" s="46"/>
      <c r="E506" s="18"/>
      <c r="L506" s="48"/>
    </row>
    <row r="507" spans="1:12" x14ac:dyDescent="0.2">
      <c r="A507" s="46"/>
      <c r="B507" s="46"/>
      <c r="E507" s="18"/>
      <c r="L507" s="48"/>
    </row>
    <row r="508" spans="1:12" x14ac:dyDescent="0.2">
      <c r="A508" s="46"/>
      <c r="B508" s="46"/>
      <c r="E508" s="18"/>
      <c r="L508" s="48"/>
    </row>
    <row r="509" spans="1:12" x14ac:dyDescent="0.2">
      <c r="A509" s="46"/>
      <c r="B509" s="46"/>
      <c r="E509" s="18"/>
      <c r="L509" s="48"/>
    </row>
    <row r="510" spans="1:12" x14ac:dyDescent="0.2">
      <c r="A510" s="46"/>
      <c r="B510" s="46"/>
      <c r="E510" s="18"/>
      <c r="L510" s="48"/>
    </row>
    <row r="511" spans="1:12" x14ac:dyDescent="0.2">
      <c r="A511" s="46"/>
      <c r="B511" s="46"/>
      <c r="E511" s="18"/>
      <c r="L511" s="48"/>
    </row>
    <row r="512" spans="1:12" x14ac:dyDescent="0.2">
      <c r="A512" s="46"/>
      <c r="B512" s="46"/>
      <c r="E512" s="18"/>
      <c r="L512" s="48"/>
    </row>
    <row r="513" spans="1:12" x14ac:dyDescent="0.2">
      <c r="A513" s="46"/>
      <c r="B513" s="46"/>
      <c r="E513" s="18"/>
      <c r="L513" s="48"/>
    </row>
    <row r="514" spans="1:12" x14ac:dyDescent="0.2">
      <c r="A514" s="46"/>
      <c r="B514" s="46"/>
      <c r="E514" s="18"/>
      <c r="L514" s="48"/>
    </row>
    <row r="515" spans="1:12" x14ac:dyDescent="0.2">
      <c r="A515" s="46"/>
      <c r="B515" s="46"/>
      <c r="E515" s="18"/>
      <c r="L515" s="48"/>
    </row>
    <row r="516" spans="1:12" x14ac:dyDescent="0.2">
      <c r="A516" s="46"/>
      <c r="B516" s="46"/>
      <c r="E516" s="18"/>
      <c r="L516" s="48"/>
    </row>
    <row r="517" spans="1:12" x14ac:dyDescent="0.2">
      <c r="A517" s="46"/>
      <c r="B517" s="46"/>
      <c r="E517" s="18"/>
      <c r="L517" s="48"/>
    </row>
    <row r="518" spans="1:12" x14ac:dyDescent="0.2">
      <c r="A518" s="46"/>
      <c r="B518" s="46"/>
      <c r="E518" s="18"/>
      <c r="L518" s="48"/>
    </row>
    <row r="519" spans="1:12" x14ac:dyDescent="0.2">
      <c r="A519" s="46"/>
      <c r="B519" s="46"/>
      <c r="E519" s="18"/>
      <c r="L519" s="48"/>
    </row>
    <row r="520" spans="1:12" x14ac:dyDescent="0.2">
      <c r="A520" s="46"/>
      <c r="B520" s="46"/>
      <c r="E520" s="18"/>
      <c r="L520" s="48"/>
    </row>
    <row r="521" spans="1:12" x14ac:dyDescent="0.2">
      <c r="A521" s="46"/>
      <c r="B521" s="46"/>
      <c r="E521" s="18"/>
      <c r="L521" s="48"/>
    </row>
    <row r="522" spans="1:12" x14ac:dyDescent="0.2">
      <c r="A522" s="46"/>
      <c r="B522" s="46"/>
      <c r="E522" s="18"/>
      <c r="L522" s="48"/>
    </row>
    <row r="523" spans="1:12" x14ac:dyDescent="0.2">
      <c r="A523" s="46"/>
      <c r="B523" s="46"/>
      <c r="E523" s="18"/>
      <c r="L523" s="48"/>
    </row>
    <row r="524" spans="1:12" x14ac:dyDescent="0.2">
      <c r="A524" s="46"/>
      <c r="B524" s="46"/>
      <c r="E524" s="18"/>
      <c r="L524" s="48"/>
    </row>
    <row r="525" spans="1:12" x14ac:dyDescent="0.2">
      <c r="A525" s="46"/>
      <c r="B525" s="46"/>
      <c r="E525" s="18"/>
      <c r="L525" s="48"/>
    </row>
    <row r="526" spans="1:12" x14ac:dyDescent="0.2">
      <c r="A526" s="46"/>
      <c r="B526" s="46"/>
      <c r="E526" s="18"/>
      <c r="L526" s="48"/>
    </row>
    <row r="527" spans="1:12" x14ac:dyDescent="0.2">
      <c r="A527" s="46"/>
      <c r="B527" s="46"/>
      <c r="E527" s="18"/>
      <c r="L527" s="48"/>
    </row>
    <row r="528" spans="1:12" x14ac:dyDescent="0.2">
      <c r="A528" s="46"/>
      <c r="B528" s="46"/>
      <c r="E528" s="18"/>
      <c r="L528" s="48"/>
    </row>
    <row r="529" spans="1:12" x14ac:dyDescent="0.2">
      <c r="A529" s="46"/>
      <c r="B529" s="46"/>
      <c r="E529" s="18"/>
      <c r="L529" s="48"/>
    </row>
    <row r="530" spans="1:12" x14ac:dyDescent="0.2">
      <c r="A530" s="46"/>
      <c r="B530" s="46"/>
      <c r="E530" s="18"/>
      <c r="L530" s="48"/>
    </row>
    <row r="531" spans="1:12" x14ac:dyDescent="0.2">
      <c r="A531" s="46"/>
      <c r="B531" s="46"/>
      <c r="E531" s="18"/>
      <c r="L531" s="48"/>
    </row>
    <row r="532" spans="1:12" x14ac:dyDescent="0.2">
      <c r="A532" s="46"/>
      <c r="B532" s="46"/>
      <c r="E532" s="18"/>
      <c r="L532" s="48"/>
    </row>
    <row r="533" spans="1:12" x14ac:dyDescent="0.2">
      <c r="A533" s="46"/>
      <c r="B533" s="46"/>
      <c r="E533" s="18"/>
      <c r="L533" s="48"/>
    </row>
    <row r="534" spans="1:12" x14ac:dyDescent="0.2">
      <c r="A534" s="46"/>
      <c r="B534" s="46"/>
      <c r="E534" s="18"/>
      <c r="L534" s="48"/>
    </row>
    <row r="535" spans="1:12" x14ac:dyDescent="0.2">
      <c r="A535" s="46"/>
      <c r="B535" s="46"/>
      <c r="E535" s="18"/>
      <c r="L535" s="48"/>
    </row>
    <row r="536" spans="1:12" x14ac:dyDescent="0.2">
      <c r="A536" s="46"/>
      <c r="B536" s="46"/>
      <c r="E536" s="18"/>
      <c r="L536" s="48"/>
    </row>
    <row r="537" spans="1:12" x14ac:dyDescent="0.2">
      <c r="A537" s="46"/>
      <c r="B537" s="46"/>
      <c r="E537" s="18"/>
      <c r="L537" s="48"/>
    </row>
    <row r="538" spans="1:12" x14ac:dyDescent="0.2">
      <c r="A538" s="46"/>
      <c r="B538" s="46"/>
      <c r="E538" s="18"/>
      <c r="L538" s="48"/>
    </row>
    <row r="539" spans="1:12" x14ac:dyDescent="0.2">
      <c r="A539" s="46"/>
      <c r="B539" s="46"/>
      <c r="E539" s="18"/>
      <c r="L539" s="48"/>
    </row>
    <row r="540" spans="1:12" x14ac:dyDescent="0.2">
      <c r="A540" s="46"/>
      <c r="B540" s="46"/>
      <c r="E540" s="18"/>
      <c r="L540" s="48"/>
    </row>
    <row r="541" spans="1:12" x14ac:dyDescent="0.2">
      <c r="A541" s="46"/>
      <c r="B541" s="46"/>
      <c r="E541" s="18"/>
      <c r="L541" s="48"/>
    </row>
    <row r="542" spans="1:12" x14ac:dyDescent="0.2">
      <c r="A542" s="46"/>
      <c r="B542" s="46"/>
      <c r="E542" s="18"/>
      <c r="L542" s="48"/>
    </row>
    <row r="543" spans="1:12" x14ac:dyDescent="0.2">
      <c r="A543" s="46"/>
      <c r="B543" s="46"/>
      <c r="E543" s="18"/>
      <c r="L543" s="48"/>
    </row>
    <row r="544" spans="1:12" x14ac:dyDescent="0.2">
      <c r="A544" s="46"/>
      <c r="B544" s="46"/>
      <c r="E544" s="18"/>
      <c r="L544" s="48"/>
    </row>
    <row r="545" spans="1:12" x14ac:dyDescent="0.2">
      <c r="A545" s="46"/>
      <c r="B545" s="46"/>
      <c r="E545" s="18"/>
      <c r="L545" s="48"/>
    </row>
    <row r="546" spans="1:12" x14ac:dyDescent="0.2">
      <c r="A546" s="46"/>
      <c r="B546" s="46"/>
      <c r="E546" s="18"/>
      <c r="L546" s="48"/>
    </row>
    <row r="547" spans="1:12" x14ac:dyDescent="0.2">
      <c r="A547" s="46"/>
      <c r="B547" s="46"/>
      <c r="E547" s="18"/>
      <c r="L547" s="48"/>
    </row>
    <row r="548" spans="1:12" x14ac:dyDescent="0.2">
      <c r="A548" s="46"/>
      <c r="B548" s="46"/>
      <c r="E548" s="18"/>
      <c r="L548" s="48"/>
    </row>
    <row r="549" spans="1:12" x14ac:dyDescent="0.2">
      <c r="A549" s="46"/>
      <c r="B549" s="46"/>
      <c r="E549" s="18"/>
      <c r="L549" s="48"/>
    </row>
    <row r="550" spans="1:12" x14ac:dyDescent="0.2">
      <c r="A550" s="46"/>
      <c r="B550" s="46"/>
      <c r="E550" s="18"/>
      <c r="L550" s="48"/>
    </row>
    <row r="551" spans="1:12" x14ac:dyDescent="0.2">
      <c r="A551" s="46"/>
      <c r="B551" s="46"/>
      <c r="E551" s="18"/>
      <c r="L551" s="48"/>
    </row>
    <row r="552" spans="1:12" x14ac:dyDescent="0.2">
      <c r="A552" s="46"/>
      <c r="B552" s="46"/>
      <c r="E552" s="18"/>
      <c r="L552" s="48"/>
    </row>
    <row r="553" spans="1:12" x14ac:dyDescent="0.2">
      <c r="A553" s="46"/>
      <c r="B553" s="46"/>
      <c r="E553" s="18"/>
      <c r="L553" s="48"/>
    </row>
    <row r="554" spans="1:12" x14ac:dyDescent="0.2">
      <c r="A554" s="46"/>
      <c r="B554" s="46"/>
      <c r="E554" s="18"/>
      <c r="L554" s="48"/>
    </row>
    <row r="555" spans="1:12" x14ac:dyDescent="0.2">
      <c r="A555" s="46"/>
      <c r="B555" s="46"/>
      <c r="E555" s="18"/>
      <c r="L555" s="48"/>
    </row>
    <row r="556" spans="1:12" x14ac:dyDescent="0.2">
      <c r="A556" s="46"/>
      <c r="B556" s="46"/>
      <c r="E556" s="18"/>
      <c r="L556" s="48"/>
    </row>
    <row r="557" spans="1:12" x14ac:dyDescent="0.2">
      <c r="A557" s="46"/>
      <c r="B557" s="46"/>
      <c r="E557" s="18"/>
      <c r="L557" s="48"/>
    </row>
    <row r="558" spans="1:12" x14ac:dyDescent="0.2">
      <c r="A558" s="46"/>
      <c r="B558" s="46"/>
      <c r="E558" s="18"/>
      <c r="L558" s="48"/>
    </row>
    <row r="559" spans="1:12" x14ac:dyDescent="0.2">
      <c r="A559" s="46"/>
      <c r="B559" s="46"/>
      <c r="E559" s="18"/>
      <c r="L559" s="48"/>
    </row>
    <row r="560" spans="1:12" x14ac:dyDescent="0.2">
      <c r="A560" s="46"/>
      <c r="B560" s="46"/>
      <c r="E560" s="18"/>
      <c r="L560" s="48"/>
    </row>
    <row r="561" spans="1:12" x14ac:dyDescent="0.2">
      <c r="A561" s="46"/>
      <c r="B561" s="46"/>
      <c r="E561" s="18"/>
      <c r="L561" s="48"/>
    </row>
    <row r="562" spans="1:12" x14ac:dyDescent="0.2">
      <c r="A562" s="46"/>
      <c r="B562" s="46"/>
      <c r="E562" s="18"/>
      <c r="L562" s="48"/>
    </row>
    <row r="563" spans="1:12" x14ac:dyDescent="0.2">
      <c r="A563" s="46"/>
      <c r="B563" s="46"/>
      <c r="E563" s="18"/>
      <c r="L563" s="48"/>
    </row>
    <row r="564" spans="1:12" x14ac:dyDescent="0.2">
      <c r="A564" s="46"/>
      <c r="B564" s="46"/>
      <c r="E564" s="18"/>
      <c r="L564" s="48"/>
    </row>
    <row r="565" spans="1:12" x14ac:dyDescent="0.2">
      <c r="A565" s="46"/>
      <c r="B565" s="46"/>
      <c r="E565" s="18"/>
      <c r="L565" s="48"/>
    </row>
    <row r="566" spans="1:12" x14ac:dyDescent="0.2">
      <c r="A566" s="46"/>
      <c r="B566" s="46"/>
      <c r="E566" s="18"/>
      <c r="L566" s="48"/>
    </row>
    <row r="567" spans="1:12" x14ac:dyDescent="0.2">
      <c r="A567" s="46"/>
      <c r="B567" s="46"/>
      <c r="E567" s="18"/>
      <c r="L567" s="48"/>
    </row>
    <row r="568" spans="1:12" x14ac:dyDescent="0.2">
      <c r="A568" s="46"/>
      <c r="B568" s="46"/>
      <c r="E568" s="18"/>
      <c r="L568" s="48"/>
    </row>
    <row r="569" spans="1:12" x14ac:dyDescent="0.2">
      <c r="A569" s="46"/>
      <c r="B569" s="46"/>
      <c r="E569" s="18"/>
      <c r="L569" s="48"/>
    </row>
    <row r="570" spans="1:12" x14ac:dyDescent="0.2">
      <c r="A570" s="46"/>
      <c r="B570" s="46"/>
      <c r="E570" s="18"/>
      <c r="L570" s="48"/>
    </row>
    <row r="571" spans="1:12" x14ac:dyDescent="0.2">
      <c r="A571" s="46"/>
      <c r="B571" s="46"/>
      <c r="E571" s="18"/>
      <c r="L571" s="48"/>
    </row>
    <row r="572" spans="1:12" x14ac:dyDescent="0.2">
      <c r="A572" s="46"/>
      <c r="B572" s="46"/>
      <c r="E572" s="18"/>
      <c r="L572" s="48"/>
    </row>
    <row r="573" spans="1:12" x14ac:dyDescent="0.2">
      <c r="A573" s="46"/>
      <c r="B573" s="46"/>
      <c r="E573" s="18"/>
      <c r="L573" s="48"/>
    </row>
    <row r="574" spans="1:12" x14ac:dyDescent="0.2">
      <c r="A574" s="46"/>
      <c r="B574" s="46"/>
      <c r="E574" s="18"/>
      <c r="L574" s="48"/>
    </row>
    <row r="575" spans="1:12" x14ac:dyDescent="0.2">
      <c r="A575" s="46"/>
      <c r="B575" s="46"/>
      <c r="E575" s="18"/>
      <c r="L575" s="48"/>
    </row>
    <row r="576" spans="1:12" x14ac:dyDescent="0.2">
      <c r="A576" s="46"/>
      <c r="B576" s="46"/>
      <c r="E576" s="18"/>
      <c r="L576" s="48"/>
    </row>
    <row r="577" spans="1:12" x14ac:dyDescent="0.2">
      <c r="A577" s="46"/>
      <c r="B577" s="46"/>
      <c r="E577" s="18"/>
      <c r="L577" s="48"/>
    </row>
    <row r="578" spans="1:12" x14ac:dyDescent="0.2">
      <c r="A578" s="47"/>
      <c r="L578" s="48"/>
    </row>
    <row r="579" spans="1:12" x14ac:dyDescent="0.2">
      <c r="L579" s="48"/>
    </row>
    <row r="580" spans="1:12" x14ac:dyDescent="0.2">
      <c r="L580" s="48"/>
    </row>
    <row r="581" spans="1:12" x14ac:dyDescent="0.2">
      <c r="L581" s="48"/>
    </row>
    <row r="582" spans="1:12" x14ac:dyDescent="0.2">
      <c r="L582" s="48"/>
    </row>
    <row r="583" spans="1:12" x14ac:dyDescent="0.2">
      <c r="L583" s="48"/>
    </row>
    <row r="584" spans="1:12" x14ac:dyDescent="0.2">
      <c r="L584" s="48"/>
    </row>
    <row r="585" spans="1:12" x14ac:dyDescent="0.2">
      <c r="L585" s="48"/>
    </row>
    <row r="586" spans="1:12" x14ac:dyDescent="0.2">
      <c r="L586" s="48"/>
    </row>
    <row r="587" spans="1:12" x14ac:dyDescent="0.2">
      <c r="L587" s="48"/>
    </row>
    <row r="588" spans="1:12" x14ac:dyDescent="0.2">
      <c r="L588" s="48"/>
    </row>
    <row r="589" spans="1:12" x14ac:dyDescent="0.2">
      <c r="L589" s="48"/>
    </row>
    <row r="590" spans="1:12" x14ac:dyDescent="0.2">
      <c r="L590" s="48"/>
    </row>
    <row r="591" spans="1:12" x14ac:dyDescent="0.2">
      <c r="L591" s="48"/>
    </row>
    <row r="592" spans="1:12" x14ac:dyDescent="0.2">
      <c r="L592" s="48"/>
    </row>
    <row r="593" spans="12:12" x14ac:dyDescent="0.2">
      <c r="L593" s="48"/>
    </row>
    <row r="594" spans="12:12" x14ac:dyDescent="0.2">
      <c r="L594" s="48"/>
    </row>
    <row r="595" spans="12:12" x14ac:dyDescent="0.2">
      <c r="L595" s="48"/>
    </row>
    <row r="596" spans="12:12" x14ac:dyDescent="0.2">
      <c r="L596" s="48"/>
    </row>
    <row r="597" spans="12:12" x14ac:dyDescent="0.2">
      <c r="L597" s="48"/>
    </row>
    <row r="598" spans="12:12" x14ac:dyDescent="0.2">
      <c r="L598" s="48"/>
    </row>
    <row r="599" spans="12:12" x14ac:dyDescent="0.2">
      <c r="L599" s="48"/>
    </row>
    <row r="600" spans="12:12" x14ac:dyDescent="0.2">
      <c r="L600" s="48"/>
    </row>
    <row r="601" spans="12:12" x14ac:dyDescent="0.2">
      <c r="L601" s="48"/>
    </row>
    <row r="602" spans="12:12" x14ac:dyDescent="0.2">
      <c r="L602" s="48"/>
    </row>
    <row r="603" spans="12:12" x14ac:dyDescent="0.2">
      <c r="L603" s="48"/>
    </row>
    <row r="604" spans="12:12" x14ac:dyDescent="0.2">
      <c r="L604" s="48"/>
    </row>
    <row r="605" spans="12:12" x14ac:dyDescent="0.2">
      <c r="L605" s="48"/>
    </row>
    <row r="606" spans="12:12" x14ac:dyDescent="0.2">
      <c r="L606" s="48"/>
    </row>
    <row r="607" spans="12:12" x14ac:dyDescent="0.2">
      <c r="L607" s="48"/>
    </row>
    <row r="608" spans="12:12" x14ac:dyDescent="0.2">
      <c r="L608" s="48"/>
    </row>
    <row r="609" spans="12:12" x14ac:dyDescent="0.2">
      <c r="L609" s="48"/>
    </row>
    <row r="610" spans="12:12" x14ac:dyDescent="0.2">
      <c r="L610" s="48"/>
    </row>
    <row r="611" spans="12:12" x14ac:dyDescent="0.2">
      <c r="L611" s="48"/>
    </row>
    <row r="612" spans="12:12" x14ac:dyDescent="0.2">
      <c r="L612" s="48"/>
    </row>
    <row r="613" spans="12:12" x14ac:dyDescent="0.2">
      <c r="L613" s="48"/>
    </row>
    <row r="614" spans="12:12" x14ac:dyDescent="0.2">
      <c r="L614" s="48"/>
    </row>
    <row r="615" spans="12:12" x14ac:dyDescent="0.2">
      <c r="L615" s="48"/>
    </row>
    <row r="616" spans="12:12" x14ac:dyDescent="0.2">
      <c r="L616" s="48"/>
    </row>
    <row r="617" spans="12:12" x14ac:dyDescent="0.2">
      <c r="L617" s="48"/>
    </row>
    <row r="618" spans="12:12" x14ac:dyDescent="0.2">
      <c r="L618" s="48"/>
    </row>
    <row r="619" spans="12:12" x14ac:dyDescent="0.2">
      <c r="L619" s="48"/>
    </row>
    <row r="620" spans="12:12" x14ac:dyDescent="0.2">
      <c r="L620" s="48"/>
    </row>
    <row r="621" spans="12:12" x14ac:dyDescent="0.2">
      <c r="L621" s="48"/>
    </row>
    <row r="622" spans="12:12" x14ac:dyDescent="0.2">
      <c r="L622" s="48"/>
    </row>
    <row r="623" spans="12:12" x14ac:dyDescent="0.2">
      <c r="L623" s="48"/>
    </row>
    <row r="624" spans="12:12" x14ac:dyDescent="0.2">
      <c r="L624" s="48"/>
    </row>
    <row r="625" spans="12:12" x14ac:dyDescent="0.2">
      <c r="L625" s="48"/>
    </row>
    <row r="626" spans="12:12" x14ac:dyDescent="0.2">
      <c r="L626" s="48"/>
    </row>
    <row r="627" spans="12:12" x14ac:dyDescent="0.2">
      <c r="L627" s="48"/>
    </row>
    <row r="628" spans="12:12" x14ac:dyDescent="0.2">
      <c r="L628" s="48"/>
    </row>
    <row r="629" spans="12:12" x14ac:dyDescent="0.2">
      <c r="L629" s="48"/>
    </row>
    <row r="630" spans="12:12" x14ac:dyDescent="0.2">
      <c r="L630" s="48"/>
    </row>
    <row r="631" spans="12:12" x14ac:dyDescent="0.2">
      <c r="L631" s="48"/>
    </row>
    <row r="632" spans="12:12" x14ac:dyDescent="0.2">
      <c r="L632" s="48"/>
    </row>
    <row r="633" spans="12:12" x14ac:dyDescent="0.2">
      <c r="L633" s="48"/>
    </row>
    <row r="634" spans="12:12" x14ac:dyDescent="0.2">
      <c r="L634" s="48"/>
    </row>
    <row r="635" spans="12:12" x14ac:dyDescent="0.2">
      <c r="L635" s="48"/>
    </row>
    <row r="636" spans="12:12" x14ac:dyDescent="0.2">
      <c r="L636" s="48"/>
    </row>
    <row r="637" spans="12:12" x14ac:dyDescent="0.2">
      <c r="L637" s="48"/>
    </row>
    <row r="638" spans="12:12" x14ac:dyDescent="0.2">
      <c r="L638" s="48"/>
    </row>
    <row r="639" spans="12:12" x14ac:dyDescent="0.2">
      <c r="L639" s="48"/>
    </row>
    <row r="640" spans="12:12" x14ac:dyDescent="0.2">
      <c r="L640" s="48"/>
    </row>
    <row r="641" spans="12:12" x14ac:dyDescent="0.2">
      <c r="L641" s="48"/>
    </row>
    <row r="642" spans="12:12" x14ac:dyDescent="0.2">
      <c r="L642" s="48"/>
    </row>
    <row r="643" spans="12:12" x14ac:dyDescent="0.2">
      <c r="L643" s="48"/>
    </row>
    <row r="644" spans="12:12" x14ac:dyDescent="0.2">
      <c r="L644" s="48"/>
    </row>
    <row r="645" spans="12:12" x14ac:dyDescent="0.2">
      <c r="L645" s="48"/>
    </row>
    <row r="646" spans="12:12" x14ac:dyDescent="0.2">
      <c r="L646" s="48"/>
    </row>
    <row r="647" spans="12:12" x14ac:dyDescent="0.2">
      <c r="L647" s="48"/>
    </row>
    <row r="648" spans="12:12" x14ac:dyDescent="0.2">
      <c r="L648" s="48"/>
    </row>
    <row r="649" spans="12:12" x14ac:dyDescent="0.2">
      <c r="L649" s="48"/>
    </row>
    <row r="650" spans="12:12" x14ac:dyDescent="0.2">
      <c r="L650" s="48"/>
    </row>
    <row r="651" spans="12:12" x14ac:dyDescent="0.2">
      <c r="L651" s="48"/>
    </row>
    <row r="652" spans="12:12" x14ac:dyDescent="0.2">
      <c r="L652" s="48"/>
    </row>
    <row r="653" spans="12:12" x14ac:dyDescent="0.2">
      <c r="L653" s="48"/>
    </row>
    <row r="654" spans="12:12" x14ac:dyDescent="0.2">
      <c r="L654" s="48"/>
    </row>
    <row r="655" spans="12:12" x14ac:dyDescent="0.2">
      <c r="L655" s="48"/>
    </row>
    <row r="656" spans="12:12" x14ac:dyDescent="0.2">
      <c r="L656" s="48"/>
    </row>
    <row r="657" spans="12:12" x14ac:dyDescent="0.2">
      <c r="L657" s="48"/>
    </row>
    <row r="658" spans="12:12" x14ac:dyDescent="0.2">
      <c r="L658" s="48"/>
    </row>
    <row r="659" spans="12:12" x14ac:dyDescent="0.2">
      <c r="L659" s="48"/>
    </row>
    <row r="660" spans="12:12" x14ac:dyDescent="0.2">
      <c r="L660" s="48"/>
    </row>
    <row r="661" spans="12:12" x14ac:dyDescent="0.2">
      <c r="L661" s="48"/>
    </row>
    <row r="662" spans="12:12" x14ac:dyDescent="0.2">
      <c r="L662" s="48"/>
    </row>
    <row r="663" spans="12:12" x14ac:dyDescent="0.2">
      <c r="L663" s="48"/>
    </row>
    <row r="664" spans="12:12" x14ac:dyDescent="0.2">
      <c r="L664" s="48"/>
    </row>
    <row r="665" spans="12:12" x14ac:dyDescent="0.2">
      <c r="L665" s="48"/>
    </row>
    <row r="666" spans="12:12" x14ac:dyDescent="0.2">
      <c r="L666" s="48"/>
    </row>
    <row r="667" spans="12:12" x14ac:dyDescent="0.2">
      <c r="L667" s="48"/>
    </row>
    <row r="668" spans="12:12" x14ac:dyDescent="0.2">
      <c r="L668" s="48"/>
    </row>
    <row r="669" spans="12:12" x14ac:dyDescent="0.2">
      <c r="L669" s="48"/>
    </row>
    <row r="670" spans="12:12" x14ac:dyDescent="0.2">
      <c r="L670" s="48"/>
    </row>
    <row r="671" spans="12:12" x14ac:dyDescent="0.2">
      <c r="L671" s="48"/>
    </row>
    <row r="672" spans="12:12" x14ac:dyDescent="0.2">
      <c r="L672" s="48"/>
    </row>
    <row r="673" spans="12:12" x14ac:dyDescent="0.2">
      <c r="L673" s="48"/>
    </row>
    <row r="674" spans="12:12" x14ac:dyDescent="0.2">
      <c r="L674" s="48"/>
    </row>
    <row r="675" spans="12:12" x14ac:dyDescent="0.2">
      <c r="L675" s="48"/>
    </row>
    <row r="676" spans="12:12" x14ac:dyDescent="0.2">
      <c r="L676" s="48"/>
    </row>
    <row r="677" spans="12:12" x14ac:dyDescent="0.2">
      <c r="L677" s="48"/>
    </row>
    <row r="678" spans="12:12" x14ac:dyDescent="0.2">
      <c r="L678" s="48"/>
    </row>
    <row r="679" spans="12:12" x14ac:dyDescent="0.2">
      <c r="L679" s="48"/>
    </row>
    <row r="680" spans="12:12" x14ac:dyDescent="0.2">
      <c r="L680" s="48"/>
    </row>
    <row r="681" spans="12:12" x14ac:dyDescent="0.2">
      <c r="L681" s="48"/>
    </row>
    <row r="682" spans="12:12" x14ac:dyDescent="0.2">
      <c r="L682" s="48"/>
    </row>
    <row r="683" spans="12:12" x14ac:dyDescent="0.2">
      <c r="L683" s="48"/>
    </row>
    <row r="684" spans="12:12" x14ac:dyDescent="0.2">
      <c r="L684" s="48"/>
    </row>
    <row r="685" spans="12:12" x14ac:dyDescent="0.2">
      <c r="L685" s="48"/>
    </row>
    <row r="686" spans="12:12" x14ac:dyDescent="0.2">
      <c r="L686" s="48"/>
    </row>
    <row r="687" spans="12:12" x14ac:dyDescent="0.2">
      <c r="L687" s="48"/>
    </row>
  </sheetData>
  <conditionalFormatting sqref="L1:L403 L688:L1048576">
    <cfRule type="cellIs" dxfId="0" priority="1" operator="lessThan">
      <formula>2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FED3D-B462-2849-AE03-E2B138C09ED3}">
  <dimension ref="A1:AY565"/>
  <sheetViews>
    <sheetView topLeftCell="Z1" zoomScaleNormal="100" workbookViewId="0">
      <selection activeCell="AN14" sqref="AN14"/>
    </sheetView>
  </sheetViews>
  <sheetFormatPr baseColWidth="10" defaultColWidth="8.83203125" defaultRowHeight="15" x14ac:dyDescent="0.2"/>
  <cols>
    <col min="1" max="1" width="12.83203125" style="48" bestFit="1" customWidth="1"/>
    <col min="2" max="2" width="10.6640625" style="48" bestFit="1" customWidth="1"/>
    <col min="3" max="4" width="8.83203125" style="4"/>
    <col min="5" max="5" width="18.1640625" style="4" bestFit="1" customWidth="1"/>
    <col min="6" max="11" width="8.83203125" style="4"/>
    <col min="12" max="17" width="19.83203125" style="4" customWidth="1"/>
    <col min="18" max="18" width="8.83203125" style="4"/>
    <col min="19" max="19" width="11.33203125" style="4" customWidth="1"/>
    <col min="20" max="21" width="8.83203125" style="4" customWidth="1"/>
    <col min="22" max="22" width="8.83203125" style="42" customWidth="1"/>
    <col min="23" max="25" width="8.83203125" style="4"/>
    <col min="26" max="26" width="18.1640625" style="4" bestFit="1" customWidth="1"/>
    <col min="27" max="27" width="18.1640625" style="31" customWidth="1"/>
    <col min="28" max="28" width="8.83203125" style="18"/>
    <col min="29" max="33" width="8.83203125" style="4"/>
    <col min="34" max="34" width="12" style="4" customWidth="1"/>
    <col min="35" max="35" width="8" style="4" customWidth="1"/>
    <col min="36" max="36" width="9.83203125" style="4" customWidth="1"/>
    <col min="37" max="38" width="8.83203125" style="4"/>
    <col min="39" max="39" width="8.83203125" style="42"/>
    <col min="40" max="40" width="19.83203125" style="4" customWidth="1"/>
    <col min="41" max="43" width="8.83203125" style="4"/>
    <col min="44" max="44" width="9" style="4" bestFit="1" customWidth="1"/>
    <col min="45" max="45" width="10.6640625" style="4" bestFit="1" customWidth="1"/>
    <col min="46" max="46" width="8.83203125" style="4"/>
    <col min="47" max="47" width="11.83203125" style="4" customWidth="1"/>
    <col min="48" max="48" width="8.83203125" style="4"/>
    <col min="49" max="49" width="11" style="4" customWidth="1"/>
    <col min="50" max="50" width="8.83203125" style="4"/>
    <col min="51" max="51" width="12.1640625" style="4" bestFit="1" customWidth="1"/>
    <col min="52" max="16384" width="8.83203125" style="4"/>
  </cols>
  <sheetData>
    <row r="1" spans="1:51" ht="16" thickBot="1" x14ac:dyDescent="0.25">
      <c r="A1" s="79" t="s">
        <v>0</v>
      </c>
      <c r="B1" s="80" t="s">
        <v>36</v>
      </c>
      <c r="C1" s="4" t="s">
        <v>2</v>
      </c>
      <c r="D1" s="4" t="s">
        <v>5</v>
      </c>
      <c r="E1" s="4" t="s">
        <v>51</v>
      </c>
      <c r="F1" s="4" t="s">
        <v>52</v>
      </c>
      <c r="G1" s="4" t="s">
        <v>53</v>
      </c>
      <c r="H1" s="4" t="s">
        <v>16</v>
      </c>
      <c r="I1" s="4" t="s">
        <v>14</v>
      </c>
      <c r="J1" s="4" t="s">
        <v>54</v>
      </c>
      <c r="K1" s="4" t="s">
        <v>34</v>
      </c>
      <c r="L1" s="4" t="s">
        <v>55</v>
      </c>
      <c r="P1" s="4" t="s">
        <v>56</v>
      </c>
      <c r="Q1" s="4" t="s">
        <v>57</v>
      </c>
      <c r="R1" s="4" t="s">
        <v>58</v>
      </c>
      <c r="S1" s="4" t="s">
        <v>59</v>
      </c>
      <c r="T1" s="4" t="s">
        <v>60</v>
      </c>
      <c r="U1" s="4" t="s">
        <v>61</v>
      </c>
      <c r="W1" s="81" t="s">
        <v>5</v>
      </c>
      <c r="X1" s="82" t="s">
        <v>2</v>
      </c>
      <c r="Y1" s="82" t="s">
        <v>10</v>
      </c>
      <c r="Z1" s="82" t="s">
        <v>6</v>
      </c>
      <c r="AA1" s="83" t="s">
        <v>8</v>
      </c>
      <c r="AB1" s="82" t="s">
        <v>52</v>
      </c>
      <c r="AC1" s="82" t="s">
        <v>53</v>
      </c>
      <c r="AD1" s="82" t="s">
        <v>16</v>
      </c>
      <c r="AE1" s="82" t="s">
        <v>14</v>
      </c>
      <c r="AF1" s="82" t="s">
        <v>34</v>
      </c>
      <c r="AG1" s="82" t="s">
        <v>62</v>
      </c>
      <c r="AH1" s="82" t="s">
        <v>55</v>
      </c>
      <c r="AI1" s="82" t="s">
        <v>58</v>
      </c>
      <c r="AJ1" s="82" t="s">
        <v>59</v>
      </c>
      <c r="AK1" s="82" t="s">
        <v>60</v>
      </c>
      <c r="AL1" s="84" t="s">
        <v>61</v>
      </c>
      <c r="AN1" s="4" t="s">
        <v>63</v>
      </c>
      <c r="AO1" s="4" t="s">
        <v>36</v>
      </c>
      <c r="AP1" s="85" t="s">
        <v>52</v>
      </c>
      <c r="AQ1" s="85" t="s">
        <v>53</v>
      </c>
      <c r="AR1" s="85" t="s">
        <v>16</v>
      </c>
      <c r="AS1" s="85" t="s">
        <v>33</v>
      </c>
      <c r="AT1" s="85" t="s">
        <v>34</v>
      </c>
      <c r="AU1" s="85" t="s">
        <v>55</v>
      </c>
      <c r="AV1" s="85" t="s">
        <v>58</v>
      </c>
      <c r="AW1" s="85" t="s">
        <v>59</v>
      </c>
      <c r="AX1" s="85" t="s">
        <v>60</v>
      </c>
      <c r="AY1" s="85" t="s">
        <v>61</v>
      </c>
    </row>
    <row r="2" spans="1:51" x14ac:dyDescent="0.2">
      <c r="A2" s="86">
        <v>4437</v>
      </c>
      <c r="B2" s="87">
        <f>VLOOKUP(A2,[1]Assign!$A:$D,4,FALSE)</f>
        <v>561</v>
      </c>
      <c r="C2" s="4">
        <v>1</v>
      </c>
      <c r="D2" s="4">
        <v>205</v>
      </c>
      <c r="E2" s="4" t="str">
        <f>VLOOKUP(A2,[1]Assign!$A:$I,9,FALSE)</f>
        <v xml:space="preserve">10% MDGS Constant </v>
      </c>
      <c r="F2" s="4">
        <f>VLOOKUP(A2,'[1]Carcass '!$C$105:$D$397,2,FALSE)</f>
        <v>774</v>
      </c>
      <c r="G2" s="4">
        <f t="shared" ref="G2:G65" si="0">F2/0.63</f>
        <v>1228.5714285714287</v>
      </c>
      <c r="H2" s="31">
        <f>(G2-B2)/196</f>
        <v>3.40597667638484</v>
      </c>
      <c r="I2" s="4">
        <f>VLOOKUP(D2,'[1]DMO head'!$A$2:$D$49,4,FALSE)</f>
        <v>21.582642370891651</v>
      </c>
      <c r="J2" s="19">
        <f>G2-B2</f>
        <v>667.57142857142867</v>
      </c>
      <c r="L2" s="4">
        <f>VLOOKUP(A2,'[1]Carcass '!$C$10:$J$397,8,FALSE)</f>
        <v>0</v>
      </c>
      <c r="M2" s="4">
        <f>COUNTIF(L2,"A")</f>
        <v>0</v>
      </c>
      <c r="N2" s="4">
        <f>COUNTIF(L2,"A-")</f>
        <v>0</v>
      </c>
      <c r="O2" s="4">
        <f>COUNTIF(L2,"A+")</f>
        <v>0</v>
      </c>
      <c r="P2" s="4">
        <f>SUM(M2:O2)</f>
        <v>0</v>
      </c>
      <c r="Q2" s="4">
        <f>COUNTIF(L2,"C")</f>
        <v>0</v>
      </c>
      <c r="R2" s="19">
        <f>VLOOKUP(A2,'[1]Carcass '!$C$107:$E$399,3,FALSE)</f>
        <v>12.6</v>
      </c>
      <c r="S2" s="4">
        <f>VLOOKUP(A2,'[1]Carcass '!$C$107:$F$399,4,FALSE)</f>
        <v>3.3</v>
      </c>
      <c r="T2" s="4">
        <f>VLOOKUP(A2,'[1]Carcass '!$C$10:$G$397,5, FALSE)</f>
        <v>0.57999999999999996</v>
      </c>
      <c r="U2" s="4">
        <f>VLOOKUP(A2,'[1]Carcass '!$C$107:$I$399,7,FALSE)</f>
        <v>708</v>
      </c>
      <c r="W2" s="88">
        <v>205</v>
      </c>
      <c r="X2" s="56">
        <v>1</v>
      </c>
      <c r="Y2" s="56">
        <v>1</v>
      </c>
      <c r="Z2" s="89" t="s">
        <v>22</v>
      </c>
      <c r="AA2" s="90">
        <f>AVERAGEIF(D:D,W2,B:B)</f>
        <v>572.4</v>
      </c>
      <c r="AB2" s="90">
        <f t="shared" ref="AB2:AB41" si="1">AVERAGEIF(D:D,W2,F:F)</f>
        <v>776.9</v>
      </c>
      <c r="AC2" s="90">
        <f t="shared" ref="AC2:AC41" si="2">AVERAGEIF(D:D,W2,G:G)</f>
        <v>1233.1746031746031</v>
      </c>
      <c r="AD2" s="91">
        <f t="shared" ref="AD2:AD41" si="3">AVERAGEIF(D:D,W2,H:H)</f>
        <v>3.3712989957887922</v>
      </c>
      <c r="AE2" s="91">
        <f>VLOOKUP(W2,'[1]DMO head'!$A$2:$D$49,4,FALSE)</f>
        <v>21.582642370891651</v>
      </c>
      <c r="AF2" s="92">
        <f>AD2/AE2</f>
        <v>0.15620418194649038</v>
      </c>
      <c r="AG2" s="92">
        <f>AE2/AD2</f>
        <v>6.401877257950507</v>
      </c>
      <c r="AH2" s="56"/>
      <c r="AI2" s="91">
        <f>AVERAGEIF(D:D,W2,R:R)</f>
        <v>13.422000000000002</v>
      </c>
      <c r="AJ2" s="91">
        <f>AVERAGEIF(D:D,W2,S:S)</f>
        <v>3.0970000000000004</v>
      </c>
      <c r="AK2" s="91">
        <f>AVERAGEIF(D:D,W2,T:T)</f>
        <v>0.52280000000000004</v>
      </c>
      <c r="AL2" s="93">
        <f>AVERAGEIF(D:D,W2,U:U)</f>
        <v>533.66666666666663</v>
      </c>
      <c r="AN2" s="4" t="s">
        <v>21</v>
      </c>
      <c r="AO2" s="18">
        <f>AVERAGEIF(Z:Z,AN2,AA:AA)</f>
        <v>631.80555555555554</v>
      </c>
      <c r="AP2" s="18">
        <f>AVERAGEIF(Z:Z,AN2,AB:AB)</f>
        <v>821.27395833333333</v>
      </c>
      <c r="AQ2" s="18">
        <f ca="1">AVERAGEIF(Z:Z,AN2,$AC$1:$AC$41)</f>
        <v>1303.6094576719577</v>
      </c>
      <c r="AR2" s="31">
        <f>AVERAGEIF(Z:Z,AN2,AD:AD)</f>
        <v>3.4895653194122582</v>
      </c>
      <c r="AS2" s="31">
        <f>AVERAGEIF(Z:Z,AN2,AE:AE)</f>
        <v>22.134382116692326</v>
      </c>
      <c r="AT2" s="57">
        <f>AVERAGEIF(Z:Z,AN2,AF:AF)</f>
        <v>0.15788146866022706</v>
      </c>
      <c r="AV2" s="31">
        <f>AVERAGEIF(Z:Z,AN2,AI:AI)</f>
        <v>13.651954861111111</v>
      </c>
      <c r="AW2" s="31">
        <f>AVERAGEIF(Z:Z,AN2,AJ:AJ)</f>
        <v>3.3295104166666669</v>
      </c>
      <c r="AX2" s="4">
        <f>AVERAGEIF(Z:Z,AN2,AK:AK)</f>
        <v>0.62500277777777768</v>
      </c>
      <c r="AY2" s="4">
        <f>AVERAGEIF(Z:Z,AN2,AL:AL)</f>
        <v>535.17425595238092</v>
      </c>
    </row>
    <row r="3" spans="1:51" x14ac:dyDescent="0.2">
      <c r="A3" s="94">
        <v>4315</v>
      </c>
      <c r="B3" s="87">
        <f>VLOOKUP(A3,[1]Assign!$A:$D,4,FALSE)</f>
        <v>554</v>
      </c>
      <c r="C3" s="4">
        <v>1</v>
      </c>
      <c r="D3" s="4">
        <v>206</v>
      </c>
      <c r="E3" s="4" t="str">
        <f>VLOOKUP(A3,[1]Assign!$A:$I,9,FALSE)</f>
        <v>10% MDGS Variable</v>
      </c>
      <c r="F3" s="4">
        <f>VLOOKUP(A3,'[1]Carcass '!$C$105:$D$397,2,FALSE)</f>
        <v>750</v>
      </c>
      <c r="G3" s="4">
        <f t="shared" si="0"/>
        <v>1190.4761904761904</v>
      </c>
      <c r="H3" s="31">
        <f t="shared" ref="H3:H66" si="4">(G3-B3)/196</f>
        <v>3.2473275024295427</v>
      </c>
      <c r="I3" s="4">
        <f>VLOOKUP(D3,'[1]DMO head'!$A$2:$D$49,4,FALSE)</f>
        <v>20.595227026767663</v>
      </c>
      <c r="J3" s="19">
        <f t="shared" ref="J3:J66" si="5">G3-B3</f>
        <v>636.47619047619037</v>
      </c>
      <c r="L3" s="4">
        <f>VLOOKUP(A3,'[1]Carcass '!$C$10:$J$397,8,FALSE)</f>
        <v>0</v>
      </c>
      <c r="M3" s="4">
        <f t="shared" ref="M3:M66" si="6">COUNTIF(L3,"A")</f>
        <v>0</v>
      </c>
      <c r="N3" s="4">
        <f t="shared" ref="N3:N66" si="7">COUNTIF(L3,"A-")</f>
        <v>0</v>
      </c>
      <c r="O3" s="4">
        <f t="shared" ref="O3:O66" si="8">COUNTIF(L3,"A+")</f>
        <v>0</v>
      </c>
      <c r="P3" s="4">
        <f t="shared" ref="P3:P66" si="9">SUM(M3:O3)</f>
        <v>0</v>
      </c>
      <c r="Q3" s="4">
        <f t="shared" ref="Q3:Q66" si="10">COUNTIF(L3,"C")</f>
        <v>0</v>
      </c>
      <c r="R3" s="19">
        <f>VLOOKUP(A3,'[1]Carcass '!$C$107:$E$399,3,FALSE)</f>
        <v>14.1</v>
      </c>
      <c r="S3" s="4">
        <f>VLOOKUP(A3,'[1]Carcass '!$C$107:$F$399,4,FALSE)</f>
        <v>3.6</v>
      </c>
      <c r="T3" s="4">
        <f>VLOOKUP(A3,'[1]Carcass '!$C$10:$G$397,5, FALSE)</f>
        <v>0.66</v>
      </c>
      <c r="U3" s="4">
        <f>VLOOKUP(A3,'[1]Carcass '!$C$107:$I$399,7,FALSE)</f>
        <v>469</v>
      </c>
      <c r="W3" s="95">
        <v>206</v>
      </c>
      <c r="X3" s="56">
        <v>1</v>
      </c>
      <c r="Y3" s="56">
        <v>1</v>
      </c>
      <c r="Z3" s="56" t="s">
        <v>24</v>
      </c>
      <c r="AA3" s="90">
        <f t="shared" ref="AA3:AA41" si="11">AVERAGEIF(D:D,W3,B:B)</f>
        <v>575.4</v>
      </c>
      <c r="AB3" s="90">
        <f t="shared" si="1"/>
        <v>772.1</v>
      </c>
      <c r="AC3" s="90">
        <f t="shared" si="2"/>
        <v>1232.1428571428573</v>
      </c>
      <c r="AD3" s="91">
        <f t="shared" si="3"/>
        <v>3.3597849854227397</v>
      </c>
      <c r="AE3" s="91">
        <f>VLOOKUP(W3,'[1]DMO head'!$A$2:$D$49,4,FALSE)</f>
        <v>20.595227026767663</v>
      </c>
      <c r="AF3" s="92">
        <f t="shared" ref="AF3:AF41" si="12">AD3/AE3</f>
        <v>0.16313415632932909</v>
      </c>
      <c r="AG3" s="92">
        <f t="shared" ref="AG3:AG41" si="13">AE3/AD3</f>
        <v>6.1299241219676741</v>
      </c>
      <c r="AH3" s="56"/>
      <c r="AI3" s="91">
        <f t="shared" ref="AI3:AI41" si="14">AVERAGEIF(D:D,W3,R:R)</f>
        <v>14.01888888888889</v>
      </c>
      <c r="AJ3" s="91">
        <f t="shared" ref="AJ3:AJ41" si="15">AVERAGEIF(D:D,W3,S:S)</f>
        <v>3.3288888888888888</v>
      </c>
      <c r="AK3" s="91">
        <f t="shared" ref="AK3:AK41" si="16">AVERAGEIF(D:D,W3,T:T)</f>
        <v>0.57314285714285707</v>
      </c>
      <c r="AL3" s="93">
        <f t="shared" ref="AL3:AL41" si="17">AVERAGEIF(D:D,W3,U:U)</f>
        <v>485</v>
      </c>
      <c r="AN3" s="4" t="s">
        <v>22</v>
      </c>
      <c r="AO3" s="18">
        <f>AVERAGEIF(Z:Z,AN3,AA:AA)</f>
        <v>632.45555555555563</v>
      </c>
      <c r="AP3" s="18">
        <f>AVERAGEIF(Z:Z,AN3,AB:AB)</f>
        <v>830.17777777777781</v>
      </c>
      <c r="AQ3" s="18">
        <f ca="1">AVERAGEIF(Z:Z,AN3,$AC$1:$AC$41)</f>
        <v>1318.5339506172841</v>
      </c>
      <c r="AR3" s="31">
        <f>AVERAGEIF(Z:Z,AN3,AD:AD)</f>
        <v>3.5671272243125984</v>
      </c>
      <c r="AS3" s="31">
        <f>AVERAGEIF(Z:Z,AN3,AE:AE)</f>
        <v>22.339123607666696</v>
      </c>
      <c r="AT3" s="57">
        <f>AVERAGEIF(Z:Z,AN3,AF:AF)</f>
        <v>0.1598418983148594</v>
      </c>
      <c r="AV3" s="31">
        <f>AVERAGEIF(Z:Z,AN3,AI:AI)</f>
        <v>13.779760416666669</v>
      </c>
      <c r="AW3" s="31">
        <f>AVERAGEIF(Z:Z,AN3,AJ:AJ)</f>
        <v>3.3848854166666671</v>
      </c>
      <c r="AX3" s="4">
        <f t="shared" ref="AX3:AX6" si="18">AVERAGEIF(Z:Z,AN3,AK:AK)</f>
        <v>0.62793412698412698</v>
      </c>
      <c r="AY3" s="4">
        <f>AVERAGEIF(Z:Z,AN3,AL:AL)</f>
        <v>560.95932539682531</v>
      </c>
    </row>
    <row r="4" spans="1:51" x14ac:dyDescent="0.2">
      <c r="A4" s="94">
        <v>4322</v>
      </c>
      <c r="B4" s="87">
        <f>VLOOKUP(A4,[1]Assign!$A:$D,4,FALSE)</f>
        <v>565</v>
      </c>
      <c r="C4" s="4">
        <v>1</v>
      </c>
      <c r="D4" s="4">
        <v>207</v>
      </c>
      <c r="E4" s="4" t="str">
        <f>VLOOKUP(A4,[1]Assign!$A:$I,9,FALSE)</f>
        <v>Control</v>
      </c>
      <c r="F4" s="4">
        <f>VLOOKUP(A4,'[1]Carcass '!$C$105:$D$397,2,FALSE)</f>
        <v>736</v>
      </c>
      <c r="G4" s="4">
        <f t="shared" si="0"/>
        <v>1168.2539682539682</v>
      </c>
      <c r="H4" s="31">
        <f t="shared" si="4"/>
        <v>3.077826368642695</v>
      </c>
      <c r="I4" s="4">
        <f>VLOOKUP(D4,'[1]DMO head'!$A$2:$D$49,4,FALSE)</f>
        <v>21.495747185717072</v>
      </c>
      <c r="J4" s="19">
        <f t="shared" si="5"/>
        <v>603.2539682539682</v>
      </c>
      <c r="L4" s="4" t="str">
        <f>VLOOKUP(A4,'[1]Carcass '!$C$10:$J$397,8,FALSE)</f>
        <v>A+</v>
      </c>
      <c r="M4" s="4">
        <f t="shared" si="6"/>
        <v>0</v>
      </c>
      <c r="N4" s="4">
        <f t="shared" si="7"/>
        <v>0</v>
      </c>
      <c r="O4" s="4">
        <f t="shared" si="8"/>
        <v>1</v>
      </c>
      <c r="P4" s="4">
        <f t="shared" si="9"/>
        <v>1</v>
      </c>
      <c r="Q4" s="4">
        <f t="shared" si="10"/>
        <v>0</v>
      </c>
      <c r="R4" s="19">
        <f>VLOOKUP(A4,'[1]Carcass '!$C$107:$E$399,3,FALSE)</f>
        <v>13.4</v>
      </c>
      <c r="S4" s="4">
        <f>VLOOKUP(A4,'[1]Carcass '!$C$107:$F$399,4,FALSE)</f>
        <v>3.25</v>
      </c>
      <c r="T4" s="4">
        <f>VLOOKUP(A4,'[1]Carcass '!$C$10:$G$397,5, FALSE)</f>
        <v>0.52400000000000002</v>
      </c>
      <c r="U4" s="4">
        <f>VLOOKUP(A4,'[1]Carcass '!$C$107:$I$399,7,FALSE)</f>
        <v>550</v>
      </c>
      <c r="W4" s="95">
        <v>207</v>
      </c>
      <c r="X4" s="56">
        <v>1</v>
      </c>
      <c r="Y4" s="56">
        <v>1</v>
      </c>
      <c r="Z4" s="56" t="s">
        <v>21</v>
      </c>
      <c r="AA4" s="90">
        <f t="shared" si="11"/>
        <v>579</v>
      </c>
      <c r="AB4" s="90">
        <f t="shared" si="1"/>
        <v>802.2</v>
      </c>
      <c r="AC4" s="90">
        <f t="shared" si="2"/>
        <v>1273.3333333333333</v>
      </c>
      <c r="AD4" s="91">
        <f t="shared" si="3"/>
        <v>3.5425170068027221</v>
      </c>
      <c r="AE4" s="91">
        <f>VLOOKUP(W4,'[1]DMO head'!$A$2:$D$49,4,FALSE)</f>
        <v>21.495747185717072</v>
      </c>
      <c r="AF4" s="92">
        <f t="shared" si="12"/>
        <v>0.16480083135498358</v>
      </c>
      <c r="AG4" s="92">
        <f t="shared" si="13"/>
        <v>6.0679305545855184</v>
      </c>
      <c r="AH4" s="56"/>
      <c r="AI4" s="91">
        <f t="shared" si="14"/>
        <v>13.706999999999999</v>
      </c>
      <c r="AJ4" s="91">
        <f t="shared" si="15"/>
        <v>3.3199999999999994</v>
      </c>
      <c r="AK4" s="91">
        <f t="shared" si="16"/>
        <v>0.60466666666666669</v>
      </c>
      <c r="AL4" s="93">
        <f t="shared" si="17"/>
        <v>556.77777777777783</v>
      </c>
      <c r="AN4" s="4" t="s">
        <v>24</v>
      </c>
      <c r="AO4" s="18">
        <f>AVERAGEIF(Z:Z,AN4,AA:AA)</f>
        <v>631.71388888888885</v>
      </c>
      <c r="AP4" s="18">
        <f>AVERAGEIF(Z:Z,AN4,AB:AB)</f>
        <v>833.53750000000002</v>
      </c>
      <c r="AQ4" s="18">
        <f ca="1">AVERAGEIF(Z:Z,AN4,$AC$1:$AC$41)</f>
        <v>1322.2993827160494</v>
      </c>
      <c r="AR4" s="31">
        <f>AVERAGEIF(Z:Z,AN4,AD:AD)</f>
        <v>3.5893564440173709</v>
      </c>
      <c r="AS4" s="31">
        <f>AVERAGEIF(Z:Z,AN4,AE:AE)</f>
        <v>22.695846666978351</v>
      </c>
      <c r="AT4" s="57">
        <f>AVERAGEIF(Z:Z,AN4,AF:AF)</f>
        <v>0.15841923986552606</v>
      </c>
      <c r="AV4" s="31">
        <f>AVERAGEIF(Z:Z,AN4,AI:AI)</f>
        <v>13.817293650793651</v>
      </c>
      <c r="AW4" s="31">
        <f>AVERAGEIF(Z:Z,AN4,AJ:AJ)</f>
        <v>3.4278943452380952</v>
      </c>
      <c r="AX4" s="4">
        <f>AVERAGEIF(Z:Z,AN4,AK:AK)</f>
        <v>0.66074910714285706</v>
      </c>
      <c r="AY4" s="4">
        <f>AVERAGEIF(Z:Z,AN4,AL:AL)</f>
        <v>571.65590277777778</v>
      </c>
    </row>
    <row r="5" spans="1:51" x14ac:dyDescent="0.2">
      <c r="A5" s="94">
        <v>4765</v>
      </c>
      <c r="B5" s="87">
        <f>VLOOKUP(A5,[1]Assign!$A:$D,4,FALSE)</f>
        <v>556</v>
      </c>
      <c r="C5" s="4">
        <v>1</v>
      </c>
      <c r="D5" s="4">
        <v>209</v>
      </c>
      <c r="E5" s="4" t="str">
        <f>VLOOKUP(A5,[1]Assign!$A:$I,9,FALSE)</f>
        <v xml:space="preserve">25% MDGS Constant </v>
      </c>
      <c r="F5" s="4">
        <f>VLOOKUP(A5,'[1]Carcass '!$C$105:$D$397,2,FALSE)</f>
        <v>796</v>
      </c>
      <c r="G5" s="4">
        <f t="shared" si="0"/>
        <v>1263.4920634920634</v>
      </c>
      <c r="H5" s="31">
        <f t="shared" si="4"/>
        <v>3.6096533851635888</v>
      </c>
      <c r="I5" s="4">
        <f>VLOOKUP(D5,'[1]DMO head'!$A$2:$D$49,4,FALSE)</f>
        <v>21.32140895794052</v>
      </c>
      <c r="J5" s="19">
        <f t="shared" si="5"/>
        <v>707.49206349206338</v>
      </c>
      <c r="L5" s="4" t="str">
        <f>VLOOKUP(A5,'[1]Carcass '!$C$10:$J$397,8,FALSE)</f>
        <v>A+</v>
      </c>
      <c r="M5" s="4">
        <f t="shared" si="6"/>
        <v>0</v>
      </c>
      <c r="N5" s="4">
        <f t="shared" si="7"/>
        <v>0</v>
      </c>
      <c r="O5" s="4">
        <f t="shared" si="8"/>
        <v>1</v>
      </c>
      <c r="P5" s="4">
        <f t="shared" si="9"/>
        <v>1</v>
      </c>
      <c r="Q5" s="4">
        <f t="shared" si="10"/>
        <v>0</v>
      </c>
      <c r="R5" s="19">
        <f>VLOOKUP(A5,'[1]Carcass '!$C$107:$E$399,3,FALSE)</f>
        <v>13.4</v>
      </c>
      <c r="S5" s="4">
        <f>VLOOKUP(A5,'[1]Carcass '!$C$107:$F$399,4,FALSE)</f>
        <v>4.0999999999999996</v>
      </c>
      <c r="T5" s="4">
        <f>VLOOKUP(A5,'[1]Carcass '!$C$10:$G$397,5, FALSE)</f>
        <v>1</v>
      </c>
      <c r="U5" s="4">
        <f>VLOOKUP(A5,'[1]Carcass '!$C$107:$I$399,7,FALSE)</f>
        <v>531</v>
      </c>
      <c r="W5" s="95">
        <v>208</v>
      </c>
      <c r="X5" s="56">
        <v>1</v>
      </c>
      <c r="Y5" s="56">
        <v>1</v>
      </c>
      <c r="Z5" s="56" t="s">
        <v>26</v>
      </c>
      <c r="AA5" s="90">
        <f t="shared" si="11"/>
        <v>580.5</v>
      </c>
      <c r="AB5" s="90">
        <f t="shared" si="1"/>
        <v>816.5</v>
      </c>
      <c r="AC5" s="90">
        <f t="shared" si="2"/>
        <v>1296.031746031746</v>
      </c>
      <c r="AD5" s="91">
        <f t="shared" si="3"/>
        <v>3.650672173631357</v>
      </c>
      <c r="AE5" s="91">
        <f>VLOOKUP(W5,'[1]DMO head'!$A$2:$D$49,4,FALSE)</f>
        <v>22.92374071584624</v>
      </c>
      <c r="AF5" s="92">
        <f t="shared" si="12"/>
        <v>0.15925289937989037</v>
      </c>
      <c r="AG5" s="92">
        <f t="shared" si="13"/>
        <v>6.2793205266206593</v>
      </c>
      <c r="AH5" s="56"/>
      <c r="AI5" s="91">
        <f t="shared" si="14"/>
        <v>14.25</v>
      </c>
      <c r="AJ5" s="91">
        <f t="shared" si="15"/>
        <v>3.3537499999999998</v>
      </c>
      <c r="AK5" s="91">
        <f t="shared" si="16"/>
        <v>0.63625000000000009</v>
      </c>
      <c r="AL5" s="93">
        <f t="shared" si="17"/>
        <v>547.875</v>
      </c>
      <c r="AN5" s="4" t="s">
        <v>25</v>
      </c>
      <c r="AO5" s="18">
        <f>AVERAGEIF(Z:Z,AN5,AA:AA)</f>
        <v>630.28472222222217</v>
      </c>
      <c r="AP5" s="18">
        <f>AVERAGEIF(Z:Z,AN5,AB:AB)</f>
        <v>852.02638888888896</v>
      </c>
      <c r="AQ5" s="18">
        <f ca="1">AVERAGEIF(Z:Z,AN5,$AC$1:$AC$41)</f>
        <v>1353.8668430335097</v>
      </c>
      <c r="AR5" s="31">
        <f>AVERAGEIF(Z:Z,AN5,AD:AD)</f>
        <v>3.760393487370528</v>
      </c>
      <c r="AS5" s="31">
        <f>AVERAGEIF(Z:Z,AN5,AE:AE)</f>
        <v>23.239688503696112</v>
      </c>
      <c r="AT5" s="57">
        <f>AVERAGEIF(Z:Z,AN5,AF:AF)</f>
        <v>0.16180511199325368</v>
      </c>
      <c r="AV5" s="31">
        <f>AVERAGEIF(Z:Z,AN5,AI:AI)</f>
        <v>13.921048611111111</v>
      </c>
      <c r="AW5" s="31">
        <f>AVERAGEIF(Z:Z,AN5,AJ:AJ)</f>
        <v>3.56984375</v>
      </c>
      <c r="AX5" s="4">
        <f t="shared" si="18"/>
        <v>0.70233263888888886</v>
      </c>
      <c r="AY5" s="4">
        <f>AVERAGEIF(Z:Z,AN5,AL:AL)</f>
        <v>553.86790674603174</v>
      </c>
    </row>
    <row r="6" spans="1:51" x14ac:dyDescent="0.2">
      <c r="A6" s="94">
        <v>4744</v>
      </c>
      <c r="B6" s="87">
        <f>VLOOKUP(A6,[1]Assign!$A:$D,4,FALSE)</f>
        <v>554</v>
      </c>
      <c r="C6" s="4">
        <v>1</v>
      </c>
      <c r="D6" s="4">
        <v>210</v>
      </c>
      <c r="E6" s="4" t="str">
        <f>VLOOKUP(A6,[1]Assign!$A:$I,9,FALSE)</f>
        <v xml:space="preserve">10% MDGS Constant </v>
      </c>
      <c r="F6" s="4">
        <f>VLOOKUP(A6,'[1]Carcass '!$C$105:$D$397,2,FALSE)</f>
        <v>876</v>
      </c>
      <c r="G6" s="4">
        <f t="shared" si="0"/>
        <v>1390.4761904761904</v>
      </c>
      <c r="H6" s="31">
        <f t="shared" si="4"/>
        <v>4.2677356656948486</v>
      </c>
      <c r="I6" s="4">
        <f>VLOOKUP(D6,'[1]DMO head'!$A$2:$D$49,4,FALSE)</f>
        <v>19.910351814073994</v>
      </c>
      <c r="J6" s="19">
        <f t="shared" si="5"/>
        <v>836.47619047619037</v>
      </c>
      <c r="L6" s="4" t="str">
        <f>VLOOKUP(A6,'[1]Carcass '!$C$10:$J$397,8,FALSE)</f>
        <v>C</v>
      </c>
      <c r="M6" s="4">
        <f t="shared" si="6"/>
        <v>0</v>
      </c>
      <c r="N6" s="4">
        <f t="shared" si="7"/>
        <v>0</v>
      </c>
      <c r="O6" s="4">
        <f t="shared" si="8"/>
        <v>0</v>
      </c>
      <c r="P6" s="4">
        <f t="shared" si="9"/>
        <v>0</v>
      </c>
      <c r="Q6" s="4">
        <f t="shared" si="10"/>
        <v>1</v>
      </c>
      <c r="R6" s="19">
        <f>VLOOKUP(A6,'[1]Carcass '!$C$107:$E$399,3,FALSE)</f>
        <v>17.7</v>
      </c>
      <c r="S6" s="4">
        <f>VLOOKUP(A6,'[1]Carcass '!$C$107:$F$399,4,FALSE)</f>
        <v>3.3</v>
      </c>
      <c r="T6" s="4">
        <f>VLOOKUP(A6,'[1]Carcass '!$C$10:$G$397,5, FALSE)</f>
        <v>0.63</v>
      </c>
      <c r="U6" s="4">
        <f>VLOOKUP(A6,'[1]Carcass '!$C$107:$I$399,7,FALSE)</f>
        <v>367</v>
      </c>
      <c r="W6" s="95">
        <v>209</v>
      </c>
      <c r="X6" s="56">
        <v>1</v>
      </c>
      <c r="Y6" s="56">
        <v>1</v>
      </c>
      <c r="Z6" s="56" t="s">
        <v>25</v>
      </c>
      <c r="AA6" s="90">
        <f t="shared" si="11"/>
        <v>573.55555555555554</v>
      </c>
      <c r="AB6" s="90">
        <f t="shared" si="1"/>
        <v>770.33333333333337</v>
      </c>
      <c r="AC6" s="90">
        <f t="shared" si="2"/>
        <v>1222.7513227513227</v>
      </c>
      <c r="AD6" s="91">
        <f t="shared" si="3"/>
        <v>3.3122233020192198</v>
      </c>
      <c r="AE6" s="91">
        <f>VLOOKUP(W6,'[1]DMO head'!$A$2:$D$49,4,FALSE)</f>
        <v>21.32140895794052</v>
      </c>
      <c r="AF6" s="92">
        <f t="shared" si="12"/>
        <v>0.15534729944691023</v>
      </c>
      <c r="AG6" s="92">
        <f t="shared" si="13"/>
        <v>6.4371894687602795</v>
      </c>
      <c r="AH6" s="56"/>
      <c r="AI6" s="91">
        <f t="shared" si="14"/>
        <v>13.434444444444445</v>
      </c>
      <c r="AJ6" s="91">
        <f t="shared" si="15"/>
        <v>3.4633333333333334</v>
      </c>
      <c r="AK6" s="91">
        <f t="shared" si="16"/>
        <v>0.67200000000000004</v>
      </c>
      <c r="AL6" s="93">
        <f t="shared" si="17"/>
        <v>486.55555555555554</v>
      </c>
      <c r="AN6" s="4" t="s">
        <v>26</v>
      </c>
      <c r="AO6" s="18">
        <f>AVERAGEIF(Z:Z,AN6,AA:AA)</f>
        <v>633.42812500000002</v>
      </c>
      <c r="AP6" s="18">
        <f>AVERAGEIF(Z:Z,AN6,AB:AB)</f>
        <v>840.44375000000002</v>
      </c>
      <c r="AQ6" s="18">
        <f ca="1">AVERAGEIF(Z:Z,AN6,$AC$1:$AC$41)</f>
        <v>1336.2797619047619</v>
      </c>
      <c r="AR6" s="31">
        <f>AVERAGEIF(Z:Z,AN6,AD:AD)</f>
        <v>3.6512056024332815</v>
      </c>
      <c r="AS6" s="31">
        <f>AVERAGEIF(Z:Z,AN6,AE:AE)</f>
        <v>22.679489506465043</v>
      </c>
      <c r="AT6" s="57">
        <f>AVERAGEIF(Z:Z,AN6,AF:AF)</f>
        <v>0.16101845414201896</v>
      </c>
      <c r="AV6" s="31">
        <f>AVERAGEIF(Z:Z,AN6,AI:AI)</f>
        <v>13.78129513888889</v>
      </c>
      <c r="AW6" s="31">
        <f>AVERAGEIF(Z:Z,AN6,AJ:AJ)</f>
        <v>3.4426006944444443</v>
      </c>
      <c r="AX6" s="4">
        <f t="shared" si="18"/>
        <v>0.66102490079365084</v>
      </c>
      <c r="AY6" s="4">
        <f>AVERAGEIF(Z:Z,AN6,AL:AL)</f>
        <v>546.23993055555547</v>
      </c>
    </row>
    <row r="7" spans="1:51" x14ac:dyDescent="0.2">
      <c r="A7" s="94">
        <v>4773</v>
      </c>
      <c r="B7" s="87">
        <f>VLOOKUP(A7,[1]Assign!$A:$D,4,FALSE)</f>
        <v>566</v>
      </c>
      <c r="C7" s="4">
        <v>1</v>
      </c>
      <c r="D7" s="4">
        <v>211</v>
      </c>
      <c r="E7" s="4" t="str">
        <f>VLOOKUP(A7,[1]Assign!$A:$I,9,FALSE)</f>
        <v>Control</v>
      </c>
      <c r="F7" s="4">
        <f>VLOOKUP(A7,'[1]Carcass '!$C$105:$D$397,2,FALSE)</f>
        <v>725</v>
      </c>
      <c r="G7" s="4">
        <f t="shared" si="0"/>
        <v>1150.7936507936508</v>
      </c>
      <c r="H7" s="31">
        <f t="shared" si="4"/>
        <v>2.9836410754778102</v>
      </c>
      <c r="I7" s="4">
        <f>VLOOKUP(D7,'[1]DMO head'!$A$2:$D$49,4,FALSE)</f>
        <v>19.728557757304522</v>
      </c>
      <c r="J7" s="19">
        <f t="shared" si="5"/>
        <v>584.79365079365084</v>
      </c>
      <c r="L7" s="4">
        <f>VLOOKUP(A7,'[1]Carcass '!$C$10:$J$397,8,FALSE)</f>
        <v>0</v>
      </c>
      <c r="M7" s="4">
        <f t="shared" si="6"/>
        <v>0</v>
      </c>
      <c r="N7" s="4">
        <f t="shared" si="7"/>
        <v>0</v>
      </c>
      <c r="O7" s="4">
        <f t="shared" si="8"/>
        <v>0</v>
      </c>
      <c r="P7" s="4">
        <f t="shared" si="9"/>
        <v>0</v>
      </c>
      <c r="Q7" s="4">
        <f t="shared" si="10"/>
        <v>0</v>
      </c>
      <c r="R7" s="19">
        <f>VLOOKUP(A7,'[1]Carcass '!$C$107:$E$399,3,FALSE)</f>
        <v>13.2</v>
      </c>
      <c r="S7" s="4">
        <f>VLOOKUP(A7,'[1]Carcass '!$C$107:$F$399,4,FALSE)</f>
        <v>3.2</v>
      </c>
      <c r="T7" s="4">
        <f>VLOOKUP(A7,'[1]Carcass '!$C$10:$G$397,5, FALSE)</f>
        <v>0.63</v>
      </c>
      <c r="U7" s="4">
        <f>VLOOKUP(A7,'[1]Carcass '!$C$107:$I$399,7,FALSE)</f>
        <v>436</v>
      </c>
      <c r="W7" s="95">
        <v>210</v>
      </c>
      <c r="X7" s="56">
        <v>1</v>
      </c>
      <c r="Y7" s="56">
        <v>2</v>
      </c>
      <c r="Z7" s="56" t="s">
        <v>22</v>
      </c>
      <c r="AA7" s="90">
        <f t="shared" si="11"/>
        <v>574.83333333333337</v>
      </c>
      <c r="AB7" s="90">
        <f t="shared" si="1"/>
        <v>773.22222222222217</v>
      </c>
      <c r="AC7" s="90">
        <f t="shared" si="2"/>
        <v>1227.336860670194</v>
      </c>
      <c r="AD7" s="91">
        <f t="shared" si="3"/>
        <v>3.329099629269697</v>
      </c>
      <c r="AE7" s="91">
        <f>VLOOKUP(W7,'[1]DMO head'!$A$2:$D$49,4,FALSE)</f>
        <v>19.910351814073994</v>
      </c>
      <c r="AF7" s="92">
        <f t="shared" si="12"/>
        <v>0.16720446029067465</v>
      </c>
      <c r="AG7" s="92">
        <f t="shared" si="13"/>
        <v>5.9807017005501031</v>
      </c>
      <c r="AH7" s="56"/>
      <c r="AI7" s="91">
        <f t="shared" si="14"/>
        <v>14.002222222222223</v>
      </c>
      <c r="AJ7" s="91">
        <f t="shared" si="15"/>
        <v>3.3622222222222224</v>
      </c>
      <c r="AK7" s="91">
        <f t="shared" si="16"/>
        <v>0.64133333333333331</v>
      </c>
      <c r="AL7" s="93">
        <f t="shared" si="17"/>
        <v>521</v>
      </c>
    </row>
    <row r="8" spans="1:51" x14ac:dyDescent="0.2">
      <c r="A8" s="94">
        <v>4739</v>
      </c>
      <c r="B8" s="87">
        <f>VLOOKUP(A8,[1]Assign!$A:$D,4,FALSE)</f>
        <v>555</v>
      </c>
      <c r="C8" s="4">
        <v>1</v>
      </c>
      <c r="D8" s="4">
        <v>212</v>
      </c>
      <c r="E8" s="4" t="str">
        <f>VLOOKUP(A8,[1]Assign!$A:$I,9,FALSE)</f>
        <v>25% MDGS Variable</v>
      </c>
      <c r="F8" s="4">
        <f>VLOOKUP(A8,'[1]Carcass '!$C$105:$D$397,2,FALSE)</f>
        <v>757</v>
      </c>
      <c r="G8" s="4">
        <f t="shared" si="0"/>
        <v>1201.5873015873017</v>
      </c>
      <c r="H8" s="31">
        <f t="shared" si="4"/>
        <v>3.2989148040168454</v>
      </c>
      <c r="I8" s="4">
        <f>VLOOKUP(D8,'[1]DMO head'!$A$2:$D$49,4,FALSE)</f>
        <v>21.738935573736335</v>
      </c>
      <c r="J8" s="19">
        <f t="shared" si="5"/>
        <v>646.58730158730168</v>
      </c>
      <c r="L8" s="4">
        <f>VLOOKUP(A8,'[1]Carcass '!$C$10:$J$397,8,FALSE)</f>
        <v>0</v>
      </c>
      <c r="M8" s="4">
        <f t="shared" si="6"/>
        <v>0</v>
      </c>
      <c r="N8" s="4">
        <f t="shared" si="7"/>
        <v>0</v>
      </c>
      <c r="O8" s="4">
        <f t="shared" si="8"/>
        <v>0</v>
      </c>
      <c r="P8" s="4">
        <f t="shared" si="9"/>
        <v>0</v>
      </c>
      <c r="Q8" s="4">
        <f t="shared" si="10"/>
        <v>0</v>
      </c>
      <c r="R8" s="19">
        <f>VLOOKUP(A8,'[1]Carcass '!$C$107:$E$399,3,FALSE)</f>
        <v>12.9</v>
      </c>
      <c r="S8" s="4">
        <f>VLOOKUP(A8,'[1]Carcass '!$C$107:$F$399,4,FALSE)</f>
        <v>3.3</v>
      </c>
      <c r="T8" s="4">
        <f>VLOOKUP(A8,'[1]Carcass '!$C$10:$G$397,5, FALSE)</f>
        <v>0.60399999999999998</v>
      </c>
      <c r="U8" s="4">
        <f>VLOOKUP(A8,'[1]Carcass '!$C$107:$I$399,7,FALSE)</f>
        <v>551</v>
      </c>
      <c r="W8" s="95">
        <v>211</v>
      </c>
      <c r="X8" s="56">
        <v>1</v>
      </c>
      <c r="Y8" s="56">
        <v>2</v>
      </c>
      <c r="Z8" s="56" t="s">
        <v>21</v>
      </c>
      <c r="AA8" s="90">
        <f t="shared" si="11"/>
        <v>575.4</v>
      </c>
      <c r="AB8" s="90">
        <f t="shared" si="1"/>
        <v>752.5</v>
      </c>
      <c r="AC8" s="90">
        <f t="shared" si="2"/>
        <v>1194.4444444444446</v>
      </c>
      <c r="AD8" s="91">
        <f t="shared" si="3"/>
        <v>3.1583900226757367</v>
      </c>
      <c r="AE8" s="91">
        <f>VLOOKUP(W8,'[1]DMO head'!$A$2:$D$49,4,FALSE)</f>
        <v>19.728557757304522</v>
      </c>
      <c r="AF8" s="92">
        <f t="shared" si="12"/>
        <v>0.16009229166822087</v>
      </c>
      <c r="AG8" s="92">
        <f t="shared" si="13"/>
        <v>6.2463969350405968</v>
      </c>
      <c r="AH8" s="56"/>
      <c r="AI8" s="91">
        <f t="shared" si="14"/>
        <v>13.775</v>
      </c>
      <c r="AJ8" s="91">
        <f t="shared" si="15"/>
        <v>3.07</v>
      </c>
      <c r="AK8" s="91">
        <f t="shared" si="16"/>
        <v>0.48820000000000008</v>
      </c>
      <c r="AL8" s="93">
        <f t="shared" si="17"/>
        <v>515.6</v>
      </c>
    </row>
    <row r="9" spans="1:51" x14ac:dyDescent="0.2">
      <c r="A9" s="94">
        <v>4485</v>
      </c>
      <c r="B9" s="87">
        <f>VLOOKUP(A9,[1]Assign!$A:$D,4,FALSE)</f>
        <v>557</v>
      </c>
      <c r="C9" s="4">
        <v>1</v>
      </c>
      <c r="D9" s="4">
        <v>213</v>
      </c>
      <c r="E9" s="4" t="str">
        <f>VLOOKUP(A9,[1]Assign!$A:$I,9,FALSE)</f>
        <v>10% MDGS Variable</v>
      </c>
      <c r="F9" s="4">
        <f>VLOOKUP(A9,'[1]Carcass '!$C$105:$D$397,2,FALSE)</f>
        <v>916</v>
      </c>
      <c r="G9" s="4">
        <f t="shared" si="0"/>
        <v>1453.968253968254</v>
      </c>
      <c r="H9" s="31">
        <f t="shared" si="4"/>
        <v>4.5763686426951731</v>
      </c>
      <c r="I9" s="4">
        <f>VLOOKUP(D9,'[1]DMO head'!$A$2:$D$49,4,FALSE)</f>
        <v>22.955779082777788</v>
      </c>
      <c r="J9" s="19">
        <f t="shared" si="5"/>
        <v>896.96825396825398</v>
      </c>
      <c r="L9" s="4">
        <f>VLOOKUP(A9,'[1]Carcass '!$C$10:$J$397,8,FALSE)</f>
        <v>0</v>
      </c>
      <c r="M9" s="4">
        <f t="shared" si="6"/>
        <v>0</v>
      </c>
      <c r="N9" s="4">
        <f t="shared" si="7"/>
        <v>0</v>
      </c>
      <c r="O9" s="4">
        <f t="shared" si="8"/>
        <v>0</v>
      </c>
      <c r="P9" s="4">
        <f t="shared" si="9"/>
        <v>0</v>
      </c>
      <c r="Q9" s="4">
        <f t="shared" si="10"/>
        <v>0</v>
      </c>
      <c r="R9" s="19">
        <f>VLOOKUP(A9,'[1]Carcass '!$C$107:$E$399,3,FALSE)</f>
        <v>14.4</v>
      </c>
      <c r="S9" s="4">
        <f>VLOOKUP(A9,'[1]Carcass '!$C$107:$F$399,4,FALSE)</f>
        <v>3.5</v>
      </c>
      <c r="T9" s="4">
        <f>VLOOKUP(A9,'[1]Carcass '!$C$10:$G$397,5, FALSE)</f>
        <v>0.71</v>
      </c>
      <c r="U9" s="4">
        <f>VLOOKUP(A9,'[1]Carcass '!$C$107:$I$399,7,FALSE)</f>
        <v>722</v>
      </c>
      <c r="W9" s="95">
        <v>212</v>
      </c>
      <c r="X9" s="56">
        <v>1</v>
      </c>
      <c r="Y9" s="56">
        <v>2</v>
      </c>
      <c r="Z9" s="56" t="s">
        <v>26</v>
      </c>
      <c r="AA9" s="90">
        <f t="shared" si="11"/>
        <v>575.6</v>
      </c>
      <c r="AB9" s="90">
        <f t="shared" si="1"/>
        <v>798.5</v>
      </c>
      <c r="AC9" s="90">
        <f t="shared" si="2"/>
        <v>1267.4603174603174</v>
      </c>
      <c r="AD9" s="91">
        <f t="shared" si="3"/>
        <v>3.5298995788791707</v>
      </c>
      <c r="AE9" s="91">
        <f>VLOOKUP(W9,'[1]DMO head'!$A$2:$D$49,4,FALSE)</f>
        <v>21.738935573736335</v>
      </c>
      <c r="AF9" s="92">
        <f t="shared" si="12"/>
        <v>0.16237683611076992</v>
      </c>
      <c r="AG9" s="92">
        <f t="shared" si="13"/>
        <v>6.158513886289926</v>
      </c>
      <c r="AH9" s="56"/>
      <c r="AI9" s="91">
        <f t="shared" si="14"/>
        <v>13.280000000000001</v>
      </c>
      <c r="AJ9" s="91">
        <f t="shared" si="15"/>
        <v>3.3280000000000003</v>
      </c>
      <c r="AK9" s="91">
        <f t="shared" si="16"/>
        <v>0.57699999999999996</v>
      </c>
      <c r="AL9" s="93">
        <f t="shared" si="17"/>
        <v>526</v>
      </c>
    </row>
    <row r="10" spans="1:51" x14ac:dyDescent="0.2">
      <c r="A10" s="94">
        <v>4603</v>
      </c>
      <c r="B10" s="87">
        <f>VLOOKUP(A10,[1]Assign!$A:$D,4,FALSE)</f>
        <v>562</v>
      </c>
      <c r="C10" s="4">
        <v>1</v>
      </c>
      <c r="D10" s="4">
        <v>214</v>
      </c>
      <c r="E10" s="4" t="str">
        <f>VLOOKUP(A10,[1]Assign!$A:$I,9,FALSE)</f>
        <v xml:space="preserve">25% MDGS Constant </v>
      </c>
      <c r="F10" s="4">
        <f>VLOOKUP(A10,'[1]Carcass '!$C$105:$D$397,2,FALSE)</f>
        <v>866</v>
      </c>
      <c r="G10" s="4">
        <f t="shared" si="0"/>
        <v>1374.6031746031747</v>
      </c>
      <c r="H10" s="31">
        <f t="shared" si="4"/>
        <v>4.1459345643019114</v>
      </c>
      <c r="I10" s="4">
        <f>VLOOKUP(D10,'[1]DMO head'!$A$2:$D$49,4,FALSE)</f>
        <v>22.398784651854065</v>
      </c>
      <c r="J10" s="19">
        <f t="shared" si="5"/>
        <v>812.60317460317469</v>
      </c>
      <c r="L10" s="4" t="str">
        <f>VLOOKUP(A10,'[1]Carcass '!$C$10:$J$397,8,FALSE)</f>
        <v>C</v>
      </c>
      <c r="M10" s="4">
        <f t="shared" si="6"/>
        <v>0</v>
      </c>
      <c r="N10" s="4">
        <f t="shared" si="7"/>
        <v>0</v>
      </c>
      <c r="O10" s="4">
        <f t="shared" si="8"/>
        <v>0</v>
      </c>
      <c r="P10" s="4">
        <f t="shared" si="9"/>
        <v>0</v>
      </c>
      <c r="Q10" s="4">
        <f t="shared" si="10"/>
        <v>1</v>
      </c>
      <c r="R10" s="19">
        <f>VLOOKUP(A10,'[1]Carcass '!$C$107:$E$399,3,FALSE)</f>
        <v>14.5</v>
      </c>
      <c r="S10" s="4">
        <f>VLOOKUP(A10,'[1]Carcass '!$C$107:$F$399,4,FALSE)</f>
        <v>3.5</v>
      </c>
      <c r="T10" s="4">
        <f>VLOOKUP(A10,'[1]Carcass '!$C$10:$G$397,5, FALSE)</f>
        <v>0.71</v>
      </c>
      <c r="U10" s="4">
        <f>VLOOKUP(A10,'[1]Carcass '!$C$107:$I$399,7,FALSE)</f>
        <v>411</v>
      </c>
      <c r="W10" s="95">
        <v>213</v>
      </c>
      <c r="X10" s="56">
        <v>1</v>
      </c>
      <c r="Y10" s="56">
        <v>2</v>
      </c>
      <c r="Z10" s="56" t="s">
        <v>24</v>
      </c>
      <c r="AA10" s="90">
        <f t="shared" si="11"/>
        <v>571.9</v>
      </c>
      <c r="AB10" s="90">
        <f t="shared" si="1"/>
        <v>851.9</v>
      </c>
      <c r="AC10" s="90">
        <f t="shared" si="2"/>
        <v>1360.8465608465608</v>
      </c>
      <c r="AD10" s="91">
        <f t="shared" si="3"/>
        <v>4.0371990065867625</v>
      </c>
      <c r="AE10" s="91">
        <f>VLOOKUP(W10,'[1]DMO head'!$A$2:$D$49,4,FALSE)</f>
        <v>22.955779082777788</v>
      </c>
      <c r="AF10" s="92">
        <f t="shared" si="12"/>
        <v>0.17586852495960842</v>
      </c>
      <c r="AG10" s="92">
        <f t="shared" si="13"/>
        <v>5.6860657711757643</v>
      </c>
      <c r="AH10" s="56"/>
      <c r="AI10" s="91">
        <f t="shared" si="14"/>
        <v>14.095555555555555</v>
      </c>
      <c r="AJ10" s="91">
        <f t="shared" si="15"/>
        <v>3.5933333333333337</v>
      </c>
      <c r="AK10" s="91">
        <f t="shared" si="16"/>
        <v>0.72599999999999998</v>
      </c>
      <c r="AL10" s="93">
        <f t="shared" si="17"/>
        <v>643.11111111111109</v>
      </c>
    </row>
    <row r="11" spans="1:51" ht="16" thickBot="1" x14ac:dyDescent="0.25">
      <c r="A11" s="94">
        <v>4683</v>
      </c>
      <c r="B11" s="87">
        <f>VLOOKUP(A11,[1]Assign!$A:$D,4,FALSE)</f>
        <v>554</v>
      </c>
      <c r="C11" s="4">
        <v>1</v>
      </c>
      <c r="D11" s="4">
        <v>205</v>
      </c>
      <c r="E11" s="4" t="str">
        <f>VLOOKUP(A11,[1]Assign!$A:$I,9,FALSE)</f>
        <v xml:space="preserve">10% MDGS Constant </v>
      </c>
      <c r="F11" s="4">
        <f>VLOOKUP(A11,'[1]Carcass '!$C$105:$D$397,2,FALSE)</f>
        <v>760</v>
      </c>
      <c r="G11" s="4">
        <f t="shared" si="0"/>
        <v>1206.3492063492063</v>
      </c>
      <c r="H11" s="31">
        <f t="shared" si="4"/>
        <v>3.3283122772918685</v>
      </c>
      <c r="I11" s="4">
        <f>VLOOKUP(D11,'[1]DMO head'!$A$2:$D$49,4,FALSE)</f>
        <v>21.582642370891651</v>
      </c>
      <c r="J11" s="19">
        <f t="shared" si="5"/>
        <v>652.34920634920627</v>
      </c>
      <c r="L11" s="4">
        <f>VLOOKUP(A11,'[1]Carcass '!$C$10:$J$397,8,FALSE)</f>
        <v>0</v>
      </c>
      <c r="M11" s="4">
        <f t="shared" si="6"/>
        <v>0</v>
      </c>
      <c r="N11" s="4">
        <f t="shared" si="7"/>
        <v>0</v>
      </c>
      <c r="O11" s="4">
        <f t="shared" si="8"/>
        <v>0</v>
      </c>
      <c r="P11" s="4">
        <f t="shared" si="9"/>
        <v>0</v>
      </c>
      <c r="Q11" s="4">
        <f t="shared" si="10"/>
        <v>0</v>
      </c>
      <c r="R11" s="19">
        <f>VLOOKUP(A11,'[1]Carcass '!$C$107:$E$399,3,FALSE)</f>
        <v>15.22</v>
      </c>
      <c r="S11" s="4">
        <f>VLOOKUP(A11,'[1]Carcass '!$C$107:$F$399,4,FALSE)</f>
        <v>2.6</v>
      </c>
      <c r="T11" s="4">
        <f>VLOOKUP(A11,'[1]Carcass '!$C$10:$G$397,5, FALSE)</f>
        <v>0.36</v>
      </c>
      <c r="U11" s="4">
        <f>VLOOKUP(A11,'[1]Carcass '!$C$107:$I$399,7,FALSE)</f>
        <v>362</v>
      </c>
      <c r="W11" s="96">
        <v>214</v>
      </c>
      <c r="X11" s="56">
        <v>1</v>
      </c>
      <c r="Y11" s="56">
        <v>2</v>
      </c>
      <c r="Z11" s="56" t="s">
        <v>25</v>
      </c>
      <c r="AA11" s="90">
        <f t="shared" si="11"/>
        <v>574</v>
      </c>
      <c r="AB11" s="90">
        <f t="shared" si="1"/>
        <v>826.1</v>
      </c>
      <c r="AC11" s="90">
        <f t="shared" si="2"/>
        <v>1311.2698412698412</v>
      </c>
      <c r="AD11" s="91">
        <f t="shared" si="3"/>
        <v>3.7615808228053127</v>
      </c>
      <c r="AE11" s="91">
        <f>VLOOKUP(W11,'[1]DMO head'!$A$2:$D$49,4,FALSE)</f>
        <v>22.398784651854065</v>
      </c>
      <c r="AF11" s="92">
        <f t="shared" si="12"/>
        <v>0.16793682698734938</v>
      </c>
      <c r="AG11" s="92">
        <f t="shared" si="13"/>
        <v>5.9546200671954441</v>
      </c>
      <c r="AH11" s="56"/>
      <c r="AI11" s="91">
        <f t="shared" si="14"/>
        <v>13.51</v>
      </c>
      <c r="AJ11" s="91">
        <f t="shared" si="15"/>
        <v>3.4670000000000001</v>
      </c>
      <c r="AK11" s="91">
        <f t="shared" si="16"/>
        <v>0.67274999999999996</v>
      </c>
      <c r="AL11" s="93">
        <f t="shared" si="17"/>
        <v>539.875</v>
      </c>
    </row>
    <row r="12" spans="1:51" x14ac:dyDescent="0.2">
      <c r="A12" s="94">
        <v>4313</v>
      </c>
      <c r="B12" s="87">
        <f>VLOOKUP(A12,[1]Assign!$A:$D,4,FALSE)</f>
        <v>560</v>
      </c>
      <c r="C12" s="4">
        <v>1</v>
      </c>
      <c r="D12" s="4">
        <v>206</v>
      </c>
      <c r="E12" s="4" t="str">
        <f>VLOOKUP(A12,[1]Assign!$A:$I,9,FALSE)</f>
        <v>10% MDGS Variable</v>
      </c>
      <c r="F12" s="4">
        <f>VLOOKUP(A12,'[1]Carcass '!$C$105:$D$397,2,FALSE)</f>
        <v>782</v>
      </c>
      <c r="G12" s="4">
        <f t="shared" si="0"/>
        <v>1241.2698412698412</v>
      </c>
      <c r="H12" s="31">
        <f t="shared" si="4"/>
        <v>3.4758665370910267</v>
      </c>
      <c r="I12" s="4">
        <f>VLOOKUP(D12,'[1]DMO head'!$A$2:$D$49,4,FALSE)</f>
        <v>20.595227026767663</v>
      </c>
      <c r="J12" s="19">
        <f t="shared" si="5"/>
        <v>681.26984126984121</v>
      </c>
      <c r="L12" s="4" t="str">
        <f>VLOOKUP(A12,'[1]Carcass '!$C$10:$J$397,8,FALSE)</f>
        <v>A+</v>
      </c>
      <c r="M12" s="4">
        <f t="shared" si="6"/>
        <v>0</v>
      </c>
      <c r="N12" s="4">
        <f t="shared" si="7"/>
        <v>0</v>
      </c>
      <c r="O12" s="4">
        <f t="shared" si="8"/>
        <v>1</v>
      </c>
      <c r="P12" s="4">
        <f t="shared" si="9"/>
        <v>1</v>
      </c>
      <c r="Q12" s="4">
        <f t="shared" si="10"/>
        <v>0</v>
      </c>
      <c r="R12" s="19">
        <f>VLOOKUP(A12,'[1]Carcass '!$C$107:$E$399,3,FALSE)</f>
        <v>13.7</v>
      </c>
      <c r="S12" s="4">
        <f>VLOOKUP(A12,'[1]Carcass '!$C$107:$F$399,4,FALSE)</f>
        <v>2.8</v>
      </c>
      <c r="T12" s="4">
        <f>VLOOKUP(A12,'[1]Carcass '!$C$10:$G$397,5, FALSE)</f>
        <v>0.37</v>
      </c>
      <c r="U12" s="4">
        <f>VLOOKUP(A12,'[1]Carcass '!$C$107:$I$399,7,FALSE)</f>
        <v>389</v>
      </c>
      <c r="W12" s="88">
        <v>215</v>
      </c>
      <c r="X12" s="56">
        <v>2</v>
      </c>
      <c r="Y12" s="56">
        <v>3</v>
      </c>
      <c r="Z12" s="56" t="s">
        <v>24</v>
      </c>
      <c r="AA12" s="90">
        <f t="shared" si="11"/>
        <v>629.55555555555554</v>
      </c>
      <c r="AB12" s="90">
        <f t="shared" si="1"/>
        <v>834.11111111111109</v>
      </c>
      <c r="AC12" s="90">
        <f t="shared" si="2"/>
        <v>1323.9858906525574</v>
      </c>
      <c r="AD12" s="91">
        <f t="shared" si="3"/>
        <v>3.5430119137602127</v>
      </c>
      <c r="AE12" s="91">
        <f>VLOOKUP(W12,'[1]DMO head'!$A$2:$D$49,4,FALSE)</f>
        <v>21.5797851350505</v>
      </c>
      <c r="AF12" s="92">
        <f t="shared" si="12"/>
        <v>0.16418198288756602</v>
      </c>
      <c r="AG12" s="92">
        <f t="shared" si="13"/>
        <v>6.0908023061508105</v>
      </c>
      <c r="AH12" s="56"/>
      <c r="AI12" s="91">
        <f t="shared" si="14"/>
        <v>14.248571428571429</v>
      </c>
      <c r="AJ12" s="91">
        <f t="shared" si="15"/>
        <v>3.2585714285714289</v>
      </c>
      <c r="AK12" s="91">
        <f t="shared" si="16"/>
        <v>0.67400000000000004</v>
      </c>
      <c r="AL12" s="93">
        <f t="shared" si="17"/>
        <v>548.83333333333337</v>
      </c>
    </row>
    <row r="13" spans="1:51" x14ac:dyDescent="0.2">
      <c r="A13" s="94">
        <v>4418</v>
      </c>
      <c r="B13" s="87">
        <f>VLOOKUP(A13,[1]Assign!$A:$D,4,FALSE)</f>
        <v>572</v>
      </c>
      <c r="C13" s="4">
        <v>1</v>
      </c>
      <c r="D13" s="4">
        <v>207</v>
      </c>
      <c r="E13" s="4" t="str">
        <f>VLOOKUP(A13,[1]Assign!$A:$I,9,FALSE)</f>
        <v>Control</v>
      </c>
      <c r="F13" s="4">
        <f>VLOOKUP(A13,'[1]Carcass '!$C$105:$D$397,2,FALSE)</f>
        <v>789</v>
      </c>
      <c r="G13" s="4">
        <f t="shared" si="0"/>
        <v>1252.3809523809523</v>
      </c>
      <c r="H13" s="31">
        <f t="shared" si="4"/>
        <v>3.4713313896987361</v>
      </c>
      <c r="I13" s="4">
        <f>VLOOKUP(D13,'[1]DMO head'!$A$2:$D$49,4,FALSE)</f>
        <v>21.495747185717072</v>
      </c>
      <c r="J13" s="19">
        <f t="shared" si="5"/>
        <v>680.38095238095229</v>
      </c>
      <c r="L13" s="4" t="str">
        <f>VLOOKUP(A13,'[1]Carcass '!$C$10:$J$397,8,FALSE)</f>
        <v>C</v>
      </c>
      <c r="M13" s="4">
        <f t="shared" si="6"/>
        <v>0</v>
      </c>
      <c r="N13" s="4">
        <f t="shared" si="7"/>
        <v>0</v>
      </c>
      <c r="O13" s="4">
        <f t="shared" si="8"/>
        <v>0</v>
      </c>
      <c r="P13" s="4">
        <f t="shared" si="9"/>
        <v>0</v>
      </c>
      <c r="Q13" s="4">
        <f t="shared" si="10"/>
        <v>1</v>
      </c>
      <c r="R13" s="19">
        <f>VLOOKUP(A13,'[1]Carcass '!$C$107:$E$399,3,FALSE)</f>
        <v>13.6</v>
      </c>
      <c r="S13" s="4">
        <f>VLOOKUP(A13,'[1]Carcass '!$C$107:$F$399,4,FALSE)</f>
        <v>3.7</v>
      </c>
      <c r="T13" s="4">
        <f>VLOOKUP(A13,'[1]Carcass '!$C$10:$G$397,5, FALSE)</f>
        <v>0.71599999999999997</v>
      </c>
      <c r="U13" s="4">
        <f>VLOOKUP(A13,'[1]Carcass '!$C$107:$I$399,7,FALSE)</f>
        <v>589</v>
      </c>
      <c r="W13" s="95">
        <v>216</v>
      </c>
      <c r="X13" s="56">
        <v>2</v>
      </c>
      <c r="Y13" s="56">
        <v>3</v>
      </c>
      <c r="Z13" s="56" t="s">
        <v>22</v>
      </c>
      <c r="AA13" s="90">
        <f t="shared" si="11"/>
        <v>625.1</v>
      </c>
      <c r="AB13" s="90">
        <f t="shared" si="1"/>
        <v>803.8</v>
      </c>
      <c r="AC13" s="90">
        <f t="shared" si="2"/>
        <v>1275.8730158730161</v>
      </c>
      <c r="AD13" s="91">
        <f t="shared" si="3"/>
        <v>3.3202704891480401</v>
      </c>
      <c r="AE13" s="91">
        <f>VLOOKUP(W13,'[1]DMO head'!$A$2:$D$49,4,FALSE)</f>
        <v>21.830062429040414</v>
      </c>
      <c r="AF13" s="92">
        <f t="shared" si="12"/>
        <v>0.15209624342306516</v>
      </c>
      <c r="AG13" s="92">
        <f t="shared" si="13"/>
        <v>6.5747843437423876</v>
      </c>
      <c r="AH13" s="56"/>
      <c r="AI13" s="91">
        <f t="shared" si="14"/>
        <v>13.669999999999998</v>
      </c>
      <c r="AJ13" s="91">
        <f t="shared" si="15"/>
        <v>3.4249999999999998</v>
      </c>
      <c r="AK13" s="91">
        <f t="shared" si="16"/>
        <v>0.62539999999999996</v>
      </c>
      <c r="AL13" s="93">
        <f t="shared" si="17"/>
        <v>549.9</v>
      </c>
    </row>
    <row r="14" spans="1:51" x14ac:dyDescent="0.2">
      <c r="A14" s="94">
        <v>4376</v>
      </c>
      <c r="B14" s="87">
        <f>VLOOKUP(A14,[1]Assign!$A:$D,4,FALSE)</f>
        <v>570</v>
      </c>
      <c r="C14" s="4">
        <v>1</v>
      </c>
      <c r="D14" s="4">
        <v>208</v>
      </c>
      <c r="E14" s="4" t="str">
        <f>VLOOKUP(A14,[1]Assign!$A:$I,9,FALSE)</f>
        <v>25% MDGS Variable</v>
      </c>
      <c r="F14" s="4">
        <f>VLOOKUP(A14,'[1]Carcass '!$C$105:$D$397,2,FALSE)</f>
        <v>787</v>
      </c>
      <c r="G14" s="4">
        <f t="shared" si="0"/>
        <v>1249.2063492063492</v>
      </c>
      <c r="H14" s="31">
        <f t="shared" si="4"/>
        <v>3.4653385163589241</v>
      </c>
      <c r="I14" s="4">
        <f>VLOOKUP(D14,'[1]DMO head'!$A$2:$D$49,4,FALSE)</f>
        <v>22.92374071584624</v>
      </c>
      <c r="J14" s="19">
        <f t="shared" si="5"/>
        <v>679.20634920634916</v>
      </c>
      <c r="L14" s="4" t="str">
        <f>VLOOKUP(A14,'[1]Carcass '!$C$10:$J$397,8,FALSE)</f>
        <v>C</v>
      </c>
      <c r="M14" s="4">
        <f t="shared" si="6"/>
        <v>0</v>
      </c>
      <c r="N14" s="4">
        <f t="shared" si="7"/>
        <v>0</v>
      </c>
      <c r="O14" s="4">
        <f t="shared" si="8"/>
        <v>0</v>
      </c>
      <c r="P14" s="4">
        <f t="shared" si="9"/>
        <v>0</v>
      </c>
      <c r="Q14" s="4">
        <f t="shared" si="10"/>
        <v>1</v>
      </c>
      <c r="R14" s="19">
        <f>VLOOKUP(A14,'[1]Carcass '!$C$107:$E$399,3,FALSE)</f>
        <v>13.7</v>
      </c>
      <c r="S14" s="4">
        <f>VLOOKUP(A14,'[1]Carcass '!$C$107:$F$399,4,FALSE)</f>
        <v>3.1</v>
      </c>
      <c r="T14" s="4">
        <f>VLOOKUP(A14,'[1]Carcass '!$C$10:$G$397,5, FALSE)</f>
        <v>0.53200000000000003</v>
      </c>
      <c r="U14" s="4">
        <f>VLOOKUP(A14,'[1]Carcass '!$C$107:$I$399,7,FALSE)</f>
        <v>584</v>
      </c>
      <c r="W14" s="95">
        <v>301</v>
      </c>
      <c r="X14" s="56">
        <v>2</v>
      </c>
      <c r="Y14" s="56">
        <v>3</v>
      </c>
      <c r="Z14" s="56" t="s">
        <v>25</v>
      </c>
      <c r="AA14" s="90">
        <f t="shared" si="11"/>
        <v>627.9</v>
      </c>
      <c r="AB14" s="90">
        <f t="shared" si="1"/>
        <v>860.5</v>
      </c>
      <c r="AC14" s="90">
        <f t="shared" si="2"/>
        <v>1365.8730158730159</v>
      </c>
      <c r="AD14" s="91">
        <f t="shared" si="3"/>
        <v>3.7651684483317132</v>
      </c>
      <c r="AE14" s="91">
        <f>VLOOKUP(W14,'[1]DMO head'!$A$2:$D$49,4,FALSE)</f>
        <v>22.630176042777777</v>
      </c>
      <c r="AF14" s="92">
        <f t="shared" si="12"/>
        <v>0.16637822176965936</v>
      </c>
      <c r="AG14" s="92">
        <f t="shared" si="13"/>
        <v>6.0104020187476213</v>
      </c>
      <c r="AH14" s="56"/>
      <c r="AI14" s="91">
        <f t="shared" si="14"/>
        <v>13.860000000000003</v>
      </c>
      <c r="AJ14" s="91">
        <f t="shared" si="15"/>
        <v>3.5110000000000001</v>
      </c>
      <c r="AK14" s="91">
        <f t="shared" si="16"/>
        <v>0.67159999999999997</v>
      </c>
      <c r="AL14" s="93">
        <f t="shared" si="17"/>
        <v>574.66666666666663</v>
      </c>
    </row>
    <row r="15" spans="1:51" x14ac:dyDescent="0.2">
      <c r="A15" s="94">
        <v>4337</v>
      </c>
      <c r="B15" s="87">
        <f>VLOOKUP(A15,[1]Assign!$A:$D,4,FALSE)</f>
        <v>566</v>
      </c>
      <c r="C15" s="4">
        <v>1</v>
      </c>
      <c r="D15" s="4" t="s">
        <v>64</v>
      </c>
      <c r="E15" s="4" t="str">
        <f>VLOOKUP(A15,[1]Assign!$A:$I,9,FALSE)</f>
        <v xml:space="preserve">10% MDGS Constant </v>
      </c>
      <c r="F15" s="4">
        <f>VLOOKUP(A15,'[1]Carcass '!$C$105:$D$397,2,FALSE)</f>
        <v>502</v>
      </c>
      <c r="G15" s="4">
        <f t="shared" si="0"/>
        <v>796.82539682539687</v>
      </c>
      <c r="H15" s="31">
        <f t="shared" si="4"/>
        <v>1.1776805960479433</v>
      </c>
      <c r="I15" s="4" t="e">
        <f>VLOOKUP(D15,'[1]DMO head'!$A$2:$D$49,4,FALSE)</f>
        <v>#N/A</v>
      </c>
      <c r="J15" s="19">
        <f t="shared" si="5"/>
        <v>230.82539682539687</v>
      </c>
      <c r="L15" s="4" t="str">
        <f>VLOOKUP(A15,'[1]Carcass '!$C$10:$J$397,8,FALSE)</f>
        <v>C</v>
      </c>
      <c r="M15" s="4">
        <f t="shared" si="6"/>
        <v>0</v>
      </c>
      <c r="N15" s="4">
        <f t="shared" si="7"/>
        <v>0</v>
      </c>
      <c r="O15" s="4">
        <f t="shared" si="8"/>
        <v>0</v>
      </c>
      <c r="P15" s="4">
        <f t="shared" si="9"/>
        <v>0</v>
      </c>
      <c r="Q15" s="4">
        <f t="shared" si="10"/>
        <v>1</v>
      </c>
      <c r="R15" s="19">
        <f>VLOOKUP(A15,'[1]Carcass '!$C$107:$E$399,3,FALSE)</f>
        <v>11.4</v>
      </c>
      <c r="S15" s="4">
        <f>VLOOKUP(A15,'[1]Carcass '!$C$107:$F$399,4,FALSE)</f>
        <v>2.65</v>
      </c>
      <c r="T15" s="4">
        <f>VLOOKUP(A15,'[1]Carcass '!$C$10:$G$397,5, FALSE)</f>
        <v>0.41199999999999998</v>
      </c>
      <c r="U15" s="4">
        <f>VLOOKUP(A15,'[1]Carcass '!$C$107:$I$399,7,FALSE)</f>
        <v>389</v>
      </c>
      <c r="W15" s="95">
        <v>302</v>
      </c>
      <c r="X15" s="56">
        <v>2</v>
      </c>
      <c r="Y15" s="56">
        <v>3</v>
      </c>
      <c r="Z15" s="56" t="s">
        <v>26</v>
      </c>
      <c r="AA15" s="90">
        <f t="shared" si="11"/>
        <v>628.625</v>
      </c>
      <c r="AB15" s="90">
        <f t="shared" si="1"/>
        <v>831.25</v>
      </c>
      <c r="AC15" s="90">
        <f t="shared" si="2"/>
        <v>1319.4444444444443</v>
      </c>
      <c r="AD15" s="91">
        <f t="shared" si="3"/>
        <v>3.5245890022675734</v>
      </c>
      <c r="AE15" s="91">
        <f>VLOOKUP(W15,'[1]DMO head'!$A$2:$D$49,4,FALSE)</f>
        <v>21.718133105510006</v>
      </c>
      <c r="AF15" s="92">
        <f t="shared" si="12"/>
        <v>0.16228784422420572</v>
      </c>
      <c r="AG15" s="92">
        <f t="shared" si="13"/>
        <v>6.1618909585025277</v>
      </c>
      <c r="AH15" s="56"/>
      <c r="AI15" s="91">
        <f t="shared" si="14"/>
        <v>14.286249999999999</v>
      </c>
      <c r="AJ15" s="91">
        <f t="shared" si="15"/>
        <v>3.3374999999999999</v>
      </c>
      <c r="AK15" s="91">
        <f t="shared" si="16"/>
        <v>0.72657142857142853</v>
      </c>
      <c r="AL15" s="93">
        <f t="shared" si="17"/>
        <v>559.33333333333337</v>
      </c>
    </row>
    <row r="16" spans="1:51" x14ac:dyDescent="0.2">
      <c r="A16" s="94">
        <v>4365</v>
      </c>
      <c r="B16" s="87">
        <f>VLOOKUP(A16,[1]Assign!$A:$D,4,FALSE)</f>
        <v>566</v>
      </c>
      <c r="C16" s="4">
        <v>1</v>
      </c>
      <c r="D16" s="4">
        <v>211</v>
      </c>
      <c r="E16" s="4" t="str">
        <f>VLOOKUP(A16,[1]Assign!$A:$I,9,FALSE)</f>
        <v>Control</v>
      </c>
      <c r="F16" s="4">
        <f>VLOOKUP(A16,'[1]Carcass '!$C$105:$D$397,2,FALSE)</f>
        <v>710</v>
      </c>
      <c r="G16" s="4">
        <f t="shared" si="0"/>
        <v>1126.984126984127</v>
      </c>
      <c r="H16" s="31">
        <f t="shared" si="4"/>
        <v>2.8621639131843213</v>
      </c>
      <c r="I16" s="4">
        <f>VLOOKUP(D16,'[1]DMO head'!$A$2:$D$49,4,FALSE)</f>
        <v>19.728557757304522</v>
      </c>
      <c r="J16" s="19">
        <f t="shared" si="5"/>
        <v>560.98412698412699</v>
      </c>
      <c r="L16" s="4">
        <f>VLOOKUP(A16,'[1]Carcass '!$C$10:$J$397,8,FALSE)</f>
        <v>0</v>
      </c>
      <c r="M16" s="4">
        <f t="shared" si="6"/>
        <v>0</v>
      </c>
      <c r="N16" s="4">
        <f t="shared" si="7"/>
        <v>0</v>
      </c>
      <c r="O16" s="4">
        <f t="shared" si="8"/>
        <v>0</v>
      </c>
      <c r="P16" s="4">
        <f t="shared" si="9"/>
        <v>0</v>
      </c>
      <c r="Q16" s="4">
        <f t="shared" si="10"/>
        <v>0</v>
      </c>
      <c r="R16" s="19">
        <f>VLOOKUP(A16,'[1]Carcass '!$C$107:$E$399,3,FALSE)</f>
        <v>11</v>
      </c>
      <c r="S16" s="4">
        <f>VLOOKUP(A16,'[1]Carcass '!$C$107:$F$399,4,FALSE)</f>
        <v>3.3</v>
      </c>
      <c r="T16" s="4">
        <f>VLOOKUP(A16,'[1]Carcass '!$C$10:$G$397,5, FALSE)</f>
        <v>0.54</v>
      </c>
      <c r="U16" s="4">
        <f>VLOOKUP(A16,'[1]Carcass '!$C$107:$I$399,7,FALSE)</f>
        <v>615</v>
      </c>
      <c r="W16" s="95">
        <v>303</v>
      </c>
      <c r="X16" s="56">
        <v>2</v>
      </c>
      <c r="Y16" s="56">
        <v>3</v>
      </c>
      <c r="Z16" s="56" t="s">
        <v>21</v>
      </c>
      <c r="AA16" s="90">
        <f t="shared" si="11"/>
        <v>627.29999999999995</v>
      </c>
      <c r="AB16" s="90">
        <f t="shared" si="1"/>
        <v>831.9</v>
      </c>
      <c r="AC16" s="90">
        <f t="shared" si="2"/>
        <v>1320.4761904761906</v>
      </c>
      <c r="AD16" s="91">
        <f t="shared" si="3"/>
        <v>3.5366132167152573</v>
      </c>
      <c r="AE16" s="91">
        <f>VLOOKUP(W16,'[1]DMO head'!$A$2:$D$49,4,FALSE)</f>
        <v>21.256780292032506</v>
      </c>
      <c r="AF16" s="92">
        <f t="shared" si="12"/>
        <v>0.16637577131287637</v>
      </c>
      <c r="AG16" s="92">
        <f t="shared" si="13"/>
        <v>6.0104905426371227</v>
      </c>
      <c r="AH16" s="56"/>
      <c r="AI16" s="91">
        <f t="shared" si="14"/>
        <v>13.956999999999999</v>
      </c>
      <c r="AJ16" s="91">
        <f t="shared" si="15"/>
        <v>3.2090000000000005</v>
      </c>
      <c r="AK16" s="91">
        <f t="shared" si="16"/>
        <v>0.62260000000000004</v>
      </c>
      <c r="AL16" s="93">
        <f t="shared" si="17"/>
        <v>520.29999999999995</v>
      </c>
    </row>
    <row r="17" spans="1:38" x14ac:dyDescent="0.2">
      <c r="A17" s="94">
        <v>4502</v>
      </c>
      <c r="B17" s="87">
        <f>VLOOKUP(A17,[1]Assign!$A:$D,4,FALSE)</f>
        <v>564</v>
      </c>
      <c r="C17" s="4">
        <v>1</v>
      </c>
      <c r="D17" s="4">
        <v>212</v>
      </c>
      <c r="E17" s="4" t="str">
        <f>VLOOKUP(A17,[1]Assign!$A:$I,9,FALSE)</f>
        <v>25% MDGS Variable</v>
      </c>
      <c r="F17" s="4">
        <f>VLOOKUP(A17,'[1]Carcass '!$C$105:$D$397,2,FALSE)</f>
        <v>782</v>
      </c>
      <c r="G17" s="4">
        <f t="shared" si="0"/>
        <v>1241.2698412698412</v>
      </c>
      <c r="H17" s="31">
        <f t="shared" si="4"/>
        <v>3.4554583738257203</v>
      </c>
      <c r="I17" s="4">
        <f>VLOOKUP(D17,'[1]DMO head'!$A$2:$D$49,4,FALSE)</f>
        <v>21.738935573736335</v>
      </c>
      <c r="J17" s="19">
        <f t="shared" si="5"/>
        <v>677.26984126984121</v>
      </c>
      <c r="L17" s="4">
        <f>VLOOKUP(A17,'[1]Carcass '!$C$10:$J$397,8,FALSE)</f>
        <v>0</v>
      </c>
      <c r="M17" s="4">
        <f t="shared" si="6"/>
        <v>0</v>
      </c>
      <c r="N17" s="4">
        <f t="shared" si="7"/>
        <v>0</v>
      </c>
      <c r="O17" s="4">
        <f t="shared" si="8"/>
        <v>0</v>
      </c>
      <c r="P17" s="4">
        <f t="shared" si="9"/>
        <v>0</v>
      </c>
      <c r="Q17" s="4">
        <f t="shared" si="10"/>
        <v>0</v>
      </c>
      <c r="R17" s="19">
        <f>VLOOKUP(A17,'[1]Carcass '!$C$107:$E$399,3,FALSE)</f>
        <v>12.7</v>
      </c>
      <c r="S17" s="4">
        <f>VLOOKUP(A17,'[1]Carcass '!$C$107:$F$399,4,FALSE)</f>
        <v>3.8</v>
      </c>
      <c r="T17" s="4">
        <f>VLOOKUP(A17,'[1]Carcass '!$C$10:$G$397,5, FALSE)</f>
        <v>0.79600000000000004</v>
      </c>
      <c r="U17" s="4">
        <f>VLOOKUP(A17,'[1]Carcass '!$C$107:$I$399,7,FALSE)</f>
        <v>754</v>
      </c>
      <c r="W17" s="95">
        <v>304</v>
      </c>
      <c r="X17" s="56">
        <v>2</v>
      </c>
      <c r="Y17" s="56">
        <v>4</v>
      </c>
      <c r="Z17" s="56" t="s">
        <v>24</v>
      </c>
      <c r="AA17" s="90">
        <f t="shared" si="11"/>
        <v>625.55555555555554</v>
      </c>
      <c r="AB17" s="90">
        <f t="shared" si="1"/>
        <v>810.77777777777783</v>
      </c>
      <c r="AC17" s="90">
        <f t="shared" si="2"/>
        <v>1283.7301587301586</v>
      </c>
      <c r="AD17" s="91">
        <f t="shared" si="3"/>
        <v>3.3417355037252996</v>
      </c>
      <c r="AE17" s="91">
        <f>VLOOKUP(W17,'[1]DMO head'!$A$2:$D$49,4,FALSE)</f>
        <v>21.282594490991229</v>
      </c>
      <c r="AF17" s="92">
        <f t="shared" si="12"/>
        <v>0.15701729904875236</v>
      </c>
      <c r="AG17" s="92">
        <f t="shared" si="13"/>
        <v>6.3687250134745312</v>
      </c>
      <c r="AH17" s="56"/>
      <c r="AI17" s="91">
        <f t="shared" si="14"/>
        <v>13.575000000000001</v>
      </c>
      <c r="AJ17" s="91">
        <f t="shared" si="15"/>
        <v>3.2312499999999997</v>
      </c>
      <c r="AK17" s="91">
        <f t="shared" si="16"/>
        <v>0.59874999999999989</v>
      </c>
      <c r="AL17" s="93">
        <f t="shared" si="17"/>
        <v>546.625</v>
      </c>
    </row>
    <row r="18" spans="1:38" x14ac:dyDescent="0.2">
      <c r="A18" s="94">
        <v>4755</v>
      </c>
      <c r="B18" s="87">
        <f>VLOOKUP(A18,[1]Assign!$A:$D,4,FALSE)</f>
        <v>551</v>
      </c>
      <c r="C18" s="4">
        <v>1</v>
      </c>
      <c r="D18" s="4">
        <v>213</v>
      </c>
      <c r="E18" s="4" t="str">
        <f>VLOOKUP(A18,[1]Assign!$A:$I,9,FALSE)</f>
        <v>10% MDGS Variable</v>
      </c>
      <c r="F18" s="4">
        <f>VLOOKUP(A18,'[1]Carcass '!$C$105:$D$397,2,FALSE)</f>
        <v>889</v>
      </c>
      <c r="G18" s="4">
        <f t="shared" si="0"/>
        <v>1411.1111111111111</v>
      </c>
      <c r="H18" s="31">
        <f t="shared" si="4"/>
        <v>4.3883219954648522</v>
      </c>
      <c r="I18" s="4">
        <f>VLOOKUP(D18,'[1]DMO head'!$A$2:$D$49,4,FALSE)</f>
        <v>22.955779082777788</v>
      </c>
      <c r="J18" s="19">
        <f t="shared" si="5"/>
        <v>860.11111111111109</v>
      </c>
      <c r="L18" s="4" t="str">
        <f>VLOOKUP(A18,'[1]Carcass '!$C$10:$J$397,8,FALSE)</f>
        <v>C</v>
      </c>
      <c r="M18" s="4">
        <f t="shared" si="6"/>
        <v>0</v>
      </c>
      <c r="N18" s="4">
        <f t="shared" si="7"/>
        <v>0</v>
      </c>
      <c r="O18" s="4">
        <f t="shared" si="8"/>
        <v>0</v>
      </c>
      <c r="P18" s="4">
        <f t="shared" si="9"/>
        <v>0</v>
      </c>
      <c r="Q18" s="4">
        <f t="shared" si="10"/>
        <v>1</v>
      </c>
      <c r="R18" s="19">
        <f>VLOOKUP(A18,'[1]Carcass '!$C$107:$E$399,3,FALSE)</f>
        <v>15.18</v>
      </c>
      <c r="S18" s="4">
        <f>VLOOKUP(A18,'[1]Carcass '!$C$107:$F$399,4,FALSE)</f>
        <v>3.3</v>
      </c>
      <c r="T18" s="4">
        <f>VLOOKUP(A18,'[1]Carcass '!$C$10:$G$397,5, FALSE)</f>
        <v>0.66</v>
      </c>
      <c r="U18" s="4">
        <f>VLOOKUP(A18,'[1]Carcass '!$C$107:$I$399,7,FALSE)</f>
        <v>532</v>
      </c>
      <c r="W18" s="95">
        <v>305</v>
      </c>
      <c r="X18" s="56">
        <v>2</v>
      </c>
      <c r="Y18" s="56">
        <v>4</v>
      </c>
      <c r="Z18" s="56" t="s">
        <v>22</v>
      </c>
      <c r="AA18" s="90">
        <f t="shared" si="11"/>
        <v>626.29999999999995</v>
      </c>
      <c r="AB18" s="90">
        <f t="shared" si="1"/>
        <v>812.9</v>
      </c>
      <c r="AC18" s="90">
        <f t="shared" si="2"/>
        <v>1296.6490299823631</v>
      </c>
      <c r="AD18" s="91">
        <f t="shared" si="3"/>
        <v>3.4114746427671596</v>
      </c>
      <c r="AE18" s="91">
        <f>VLOOKUP(W18,'[1]DMO head'!$A$2:$D$49,4,FALSE)</f>
        <v>20.599573820131273</v>
      </c>
      <c r="AF18" s="92">
        <f t="shared" si="12"/>
        <v>0.16560899135851248</v>
      </c>
      <c r="AG18" s="92">
        <f t="shared" si="13"/>
        <v>6.0383194885547438</v>
      </c>
      <c r="AH18" s="56"/>
      <c r="AI18" s="91">
        <f t="shared" si="14"/>
        <v>14.190000000000003</v>
      </c>
      <c r="AJ18" s="91">
        <f t="shared" si="15"/>
        <v>3.2850000000000001</v>
      </c>
      <c r="AK18" s="91">
        <f t="shared" si="16"/>
        <v>0.56711111111111112</v>
      </c>
      <c r="AL18" s="93">
        <f t="shared" si="17"/>
        <v>525.28571428571433</v>
      </c>
    </row>
    <row r="19" spans="1:38" x14ac:dyDescent="0.2">
      <c r="A19" s="94">
        <v>4460</v>
      </c>
      <c r="B19" s="87">
        <f>VLOOKUP(A19,[1]Assign!$A:$D,4,FALSE)</f>
        <v>556</v>
      </c>
      <c r="C19" s="4">
        <v>1</v>
      </c>
      <c r="D19" s="4">
        <v>214</v>
      </c>
      <c r="E19" s="4" t="str">
        <f>VLOOKUP(A19,[1]Assign!$A:$I,9,FALSE)</f>
        <v xml:space="preserve">25% MDGS Constant </v>
      </c>
      <c r="F19" s="4">
        <f>VLOOKUP(A19,'[1]Carcass '!$C$105:$D$397,2,FALSE)</f>
        <v>760</v>
      </c>
      <c r="G19" s="4">
        <f t="shared" si="0"/>
        <v>1206.3492063492063</v>
      </c>
      <c r="H19" s="31">
        <f t="shared" si="4"/>
        <v>3.3181081956592156</v>
      </c>
      <c r="I19" s="4">
        <f>VLOOKUP(D19,'[1]DMO head'!$A$2:$D$49,4,FALSE)</f>
        <v>22.398784651854065</v>
      </c>
      <c r="J19" s="19">
        <f t="shared" si="5"/>
        <v>650.34920634920627</v>
      </c>
      <c r="L19" s="4" t="str">
        <f>VLOOKUP(A19,'[1]Carcass '!$C$10:$J$397,8,FALSE)</f>
        <v>C</v>
      </c>
      <c r="M19" s="4">
        <f t="shared" si="6"/>
        <v>0</v>
      </c>
      <c r="N19" s="4">
        <f t="shared" si="7"/>
        <v>0</v>
      </c>
      <c r="O19" s="4">
        <f t="shared" si="8"/>
        <v>0</v>
      </c>
      <c r="P19" s="4">
        <f t="shared" si="9"/>
        <v>0</v>
      </c>
      <c r="Q19" s="4">
        <f t="shared" si="10"/>
        <v>1</v>
      </c>
      <c r="R19" s="19">
        <f>VLOOKUP(A19,'[1]Carcass '!$C$107:$E$399,3,FALSE)</f>
        <v>12.75</v>
      </c>
      <c r="S19" s="4">
        <f>VLOOKUP(A19,'[1]Carcass '!$C$107:$F$399,4,FALSE)</f>
        <v>3.27</v>
      </c>
      <c r="W19" s="95">
        <v>306</v>
      </c>
      <c r="X19" s="56">
        <v>2</v>
      </c>
      <c r="Y19" s="56">
        <v>4</v>
      </c>
      <c r="Z19" s="56" t="s">
        <v>21</v>
      </c>
      <c r="AA19" s="90">
        <f t="shared" si="11"/>
        <v>625.66666666666663</v>
      </c>
      <c r="AB19" s="90">
        <f t="shared" si="1"/>
        <v>828.77777777777783</v>
      </c>
      <c r="AC19" s="90">
        <f t="shared" si="2"/>
        <v>1315.5202821869489</v>
      </c>
      <c r="AD19" s="91">
        <f t="shared" si="3"/>
        <v>3.5196613036749089</v>
      </c>
      <c r="AE19" s="91">
        <f>VLOOKUP(W19,'[1]DMO head'!$A$2:$D$49,4,FALSE)</f>
        <v>23.243543323568986</v>
      </c>
      <c r="AF19" s="92">
        <f t="shared" si="12"/>
        <v>0.15142533367991134</v>
      </c>
      <c r="AG19" s="92">
        <f t="shared" si="13"/>
        <v>6.6039147855789988</v>
      </c>
      <c r="AH19" s="56"/>
      <c r="AI19" s="91">
        <f t="shared" si="14"/>
        <v>13.484444444444446</v>
      </c>
      <c r="AJ19" s="91">
        <f t="shared" si="15"/>
        <v>3.5833333333333335</v>
      </c>
      <c r="AK19" s="91">
        <f t="shared" si="16"/>
        <v>0.72755555555555551</v>
      </c>
      <c r="AL19" s="93">
        <f t="shared" si="17"/>
        <v>561.55555555555554</v>
      </c>
    </row>
    <row r="20" spans="1:38" x14ac:dyDescent="0.2">
      <c r="A20" s="94">
        <v>4317</v>
      </c>
      <c r="B20" s="87">
        <f>VLOOKUP(A20,[1]Assign!$A:$D,4,FALSE)</f>
        <v>563</v>
      </c>
      <c r="C20" s="4">
        <v>1</v>
      </c>
      <c r="D20" s="4">
        <v>205</v>
      </c>
      <c r="E20" s="4" t="str">
        <f>VLOOKUP(A20,[1]Assign!$A:$I,9,FALSE)</f>
        <v xml:space="preserve">10% MDGS Constant </v>
      </c>
      <c r="F20" s="4">
        <f>VLOOKUP(A20,'[1]Carcass '!$C$105:$D$397,2,FALSE)</f>
        <v>698</v>
      </c>
      <c r="G20" s="4">
        <f t="shared" si="0"/>
        <v>1107.936507936508</v>
      </c>
      <c r="H20" s="31">
        <f t="shared" si="4"/>
        <v>2.7802883057985102</v>
      </c>
      <c r="I20" s="4">
        <f>VLOOKUP(D20,'[1]DMO head'!$A$2:$D$49,4,FALSE)</f>
        <v>21.582642370891651</v>
      </c>
      <c r="J20" s="19">
        <f t="shared" si="5"/>
        <v>544.93650793650795</v>
      </c>
      <c r="L20" s="4">
        <f>VLOOKUP(A20,'[1]Carcass '!$C$10:$J$397,8,FALSE)</f>
        <v>0</v>
      </c>
      <c r="M20" s="4">
        <f t="shared" si="6"/>
        <v>0</v>
      </c>
      <c r="N20" s="4">
        <f t="shared" si="7"/>
        <v>0</v>
      </c>
      <c r="O20" s="4">
        <f t="shared" si="8"/>
        <v>0</v>
      </c>
      <c r="P20" s="4">
        <f t="shared" si="9"/>
        <v>0</v>
      </c>
      <c r="Q20" s="4">
        <f t="shared" si="10"/>
        <v>0</v>
      </c>
      <c r="R20" s="19">
        <f>VLOOKUP(A20,'[1]Carcass '!$C$107:$E$399,3,FALSE)</f>
        <v>10.8</v>
      </c>
      <c r="S20" s="4">
        <f>VLOOKUP(A20,'[1]Carcass '!$C$107:$F$399,4,FALSE)</f>
        <v>3.3</v>
      </c>
      <c r="T20" s="4">
        <f>VLOOKUP(A20,'[1]Carcass '!$C$10:$G$397,5, FALSE)</f>
        <v>0.57999999999999996</v>
      </c>
      <c r="U20" s="4">
        <f>VLOOKUP(A20,'[1]Carcass '!$C$107:$I$399,7,FALSE)</f>
        <v>458</v>
      </c>
      <c r="W20" s="95">
        <v>307</v>
      </c>
      <c r="X20" s="56">
        <v>2</v>
      </c>
      <c r="Y20" s="56">
        <v>4</v>
      </c>
      <c r="Z20" s="56" t="s">
        <v>26</v>
      </c>
      <c r="AA20" s="90">
        <f t="shared" si="11"/>
        <v>624.70000000000005</v>
      </c>
      <c r="AB20" s="90">
        <f t="shared" si="1"/>
        <v>833.3</v>
      </c>
      <c r="AC20" s="90">
        <f t="shared" si="2"/>
        <v>1322.6984126984125</v>
      </c>
      <c r="AD20" s="91">
        <f t="shared" si="3"/>
        <v>3.5612163913184327</v>
      </c>
      <c r="AE20" s="91">
        <f>VLOOKUP(W20,'[1]DMO head'!$A$2:$D$49,4,FALSE)</f>
        <v>21.697158876111111</v>
      </c>
      <c r="AF20" s="92">
        <f t="shared" si="12"/>
        <v>0.16413284391991911</v>
      </c>
      <c r="AG20" s="92">
        <f t="shared" si="13"/>
        <v>6.0926258030836467</v>
      </c>
      <c r="AH20" s="56"/>
      <c r="AI20" s="91">
        <f t="shared" si="14"/>
        <v>14.209999999999999</v>
      </c>
      <c r="AJ20" s="91">
        <f t="shared" si="15"/>
        <v>3.1819999999999999</v>
      </c>
      <c r="AK20" s="91">
        <f t="shared" si="16"/>
        <v>0.56299999999999994</v>
      </c>
      <c r="AL20" s="93">
        <f t="shared" si="17"/>
        <v>522.55555555555554</v>
      </c>
    </row>
    <row r="21" spans="1:38" x14ac:dyDescent="0.2">
      <c r="A21" s="94">
        <v>4333</v>
      </c>
      <c r="B21" s="87">
        <f>VLOOKUP(A21,[1]Assign!$A:$D,4,FALSE)</f>
        <v>567</v>
      </c>
      <c r="C21" s="4">
        <v>1</v>
      </c>
      <c r="D21" s="4">
        <v>206</v>
      </c>
      <c r="E21" s="4" t="str">
        <f>VLOOKUP(A21,[1]Assign!$A:$I,9,FALSE)</f>
        <v>10% MDGS Variable</v>
      </c>
      <c r="F21" s="4">
        <f>VLOOKUP(A21,'[1]Carcass '!$C$105:$D$397,2,FALSE)</f>
        <v>718</v>
      </c>
      <c r="G21" s="4">
        <f t="shared" si="0"/>
        <v>1139.6825396825398</v>
      </c>
      <c r="H21" s="31">
        <f t="shared" si="4"/>
        <v>2.9218496922578558</v>
      </c>
      <c r="I21" s="4">
        <f>VLOOKUP(D21,'[1]DMO head'!$A$2:$D$49,4,FALSE)</f>
        <v>20.595227026767663</v>
      </c>
      <c r="J21" s="19">
        <f t="shared" si="5"/>
        <v>572.68253968253975</v>
      </c>
      <c r="L21" s="4">
        <f>VLOOKUP(A21,'[1]Carcass '!$C$10:$J$397,8,FALSE)</f>
        <v>0</v>
      </c>
      <c r="M21" s="4">
        <f t="shared" si="6"/>
        <v>0</v>
      </c>
      <c r="N21" s="4">
        <f t="shared" si="7"/>
        <v>0</v>
      </c>
      <c r="O21" s="4">
        <f t="shared" si="8"/>
        <v>0</v>
      </c>
      <c r="P21" s="4">
        <f t="shared" si="9"/>
        <v>0</v>
      </c>
      <c r="Q21" s="4">
        <f t="shared" si="10"/>
        <v>0</v>
      </c>
      <c r="R21" s="19">
        <f>VLOOKUP(A21,'[1]Carcass '!$C$107:$E$399,3,FALSE)</f>
        <v>13.9</v>
      </c>
      <c r="S21" s="4">
        <f>VLOOKUP(A21,'[1]Carcass '!$C$107:$F$399,4,FALSE)</f>
        <v>3.6</v>
      </c>
      <c r="T21" s="4">
        <f>VLOOKUP(A21,'[1]Carcass '!$C$10:$G$397,5, FALSE)</f>
        <v>0.68</v>
      </c>
      <c r="U21" s="4">
        <f>VLOOKUP(A21,'[1]Carcass '!$C$107:$I$399,7,FALSE)</f>
        <v>502</v>
      </c>
      <c r="W21" s="95">
        <v>308</v>
      </c>
      <c r="X21" s="56">
        <v>2</v>
      </c>
      <c r="Y21" s="56">
        <v>4</v>
      </c>
      <c r="Z21" s="56" t="s">
        <v>25</v>
      </c>
      <c r="AA21" s="90">
        <f t="shared" si="11"/>
        <v>626.70000000000005</v>
      </c>
      <c r="AB21" s="90">
        <f t="shared" si="1"/>
        <v>864.2</v>
      </c>
      <c r="AC21" s="90">
        <f t="shared" si="2"/>
        <v>1371.746031746032</v>
      </c>
      <c r="AD21" s="91">
        <f t="shared" si="3"/>
        <v>3.8012552640103658</v>
      </c>
      <c r="AE21" s="91">
        <f>VLOOKUP(W21,'[1]DMO head'!$A$2:$D$49,4,FALSE)</f>
        <v>23.183092460704504</v>
      </c>
      <c r="AF21" s="92">
        <f t="shared" si="12"/>
        <v>0.1639667042027943</v>
      </c>
      <c r="AG21" s="92">
        <f t="shared" si="13"/>
        <v>6.0987991730516118</v>
      </c>
      <c r="AH21" s="56"/>
      <c r="AI21" s="91">
        <f t="shared" si="14"/>
        <v>14.044444444444444</v>
      </c>
      <c r="AJ21" s="91">
        <f t="shared" si="15"/>
        <v>3.6166666666666671</v>
      </c>
      <c r="AK21" s="91">
        <f t="shared" si="16"/>
        <v>0.74777777777777776</v>
      </c>
      <c r="AL21" s="93">
        <f>AVERAGEIF(D:D,W21,U:U)</f>
        <v>594.11111111111109</v>
      </c>
    </row>
    <row r="22" spans="1:38" x14ac:dyDescent="0.2">
      <c r="A22" s="94">
        <v>4700</v>
      </c>
      <c r="B22" s="87">
        <f>VLOOKUP(A22,[1]Assign!$A:$D,4,FALSE)</f>
        <v>567</v>
      </c>
      <c r="C22" s="4">
        <v>1</v>
      </c>
      <c r="D22" s="4">
        <v>207</v>
      </c>
      <c r="E22" s="4" t="str">
        <f>VLOOKUP(A22,[1]Assign!$A:$I,9,FALSE)</f>
        <v>Control</v>
      </c>
      <c r="F22" s="4">
        <f>VLOOKUP(A22,'[1]Carcass '!$C$105:$D$397,2,FALSE)</f>
        <v>841</v>
      </c>
      <c r="G22" s="4">
        <f t="shared" si="0"/>
        <v>1334.9206349206349</v>
      </c>
      <c r="H22" s="31">
        <f t="shared" si="4"/>
        <v>3.9179624230644641</v>
      </c>
      <c r="I22" s="4">
        <f>VLOOKUP(D22,'[1]DMO head'!$A$2:$D$49,4,FALSE)</f>
        <v>21.495747185717072</v>
      </c>
      <c r="J22" s="19">
        <f t="shared" si="5"/>
        <v>767.92063492063494</v>
      </c>
      <c r="L22" s="4">
        <f>VLOOKUP(A22,'[1]Carcass '!$C$10:$J$397,8,FALSE)</f>
        <v>0</v>
      </c>
      <c r="M22" s="4">
        <f t="shared" si="6"/>
        <v>0</v>
      </c>
      <c r="N22" s="4">
        <f t="shared" si="7"/>
        <v>0</v>
      </c>
      <c r="O22" s="4">
        <f t="shared" si="8"/>
        <v>0</v>
      </c>
      <c r="P22" s="4">
        <f t="shared" si="9"/>
        <v>0</v>
      </c>
      <c r="Q22" s="4">
        <f t="shared" si="10"/>
        <v>0</v>
      </c>
      <c r="R22" s="19">
        <f>VLOOKUP(A22,'[1]Carcass '!$C$107:$E$399,3,FALSE)</f>
        <v>12.15</v>
      </c>
      <c r="S22" s="4">
        <f>VLOOKUP(A22,'[1]Carcass '!$C$107:$F$399,4,FALSE)</f>
        <v>3.7</v>
      </c>
      <c r="T22" s="4">
        <f>VLOOKUP(A22,'[1]Carcass '!$C$10:$G$397,5, FALSE)</f>
        <v>0.73199999999999998</v>
      </c>
      <c r="U22" s="4">
        <f>VLOOKUP(A22,'[1]Carcass '!$C$107:$I$399,7,FALSE)</f>
        <v>524</v>
      </c>
      <c r="W22" s="95">
        <v>309</v>
      </c>
      <c r="X22" s="56">
        <v>2</v>
      </c>
      <c r="Y22" s="56">
        <v>5</v>
      </c>
      <c r="Z22" s="56" t="s">
        <v>21</v>
      </c>
      <c r="AA22" s="90">
        <f t="shared" si="11"/>
        <v>626.70000000000005</v>
      </c>
      <c r="AB22" s="90">
        <f t="shared" si="1"/>
        <v>853.2</v>
      </c>
      <c r="AC22" s="90">
        <f t="shared" si="2"/>
        <v>1354.2857142857142</v>
      </c>
      <c r="AD22" s="91">
        <f t="shared" si="3"/>
        <v>3.7121720116618078</v>
      </c>
      <c r="AE22" s="91">
        <f>VLOOKUP(W22,'[1]DMO head'!$A$2:$D$49,4,FALSE)</f>
        <v>22.382749735000004</v>
      </c>
      <c r="AF22" s="92">
        <f t="shared" si="12"/>
        <v>0.16584968583449192</v>
      </c>
      <c r="AG22" s="92">
        <f t="shared" si="13"/>
        <v>6.0295561910074422</v>
      </c>
      <c r="AH22" s="56"/>
      <c r="AI22" s="91">
        <f t="shared" si="14"/>
        <v>13.971</v>
      </c>
      <c r="AJ22" s="91">
        <f t="shared" si="15"/>
        <v>3.4419999999999993</v>
      </c>
      <c r="AK22" s="91">
        <f t="shared" si="16"/>
        <v>0.64639999999999997</v>
      </c>
      <c r="AL22" s="93">
        <f t="shared" si="17"/>
        <v>552</v>
      </c>
    </row>
    <row r="23" spans="1:38" x14ac:dyDescent="0.2">
      <c r="A23" s="94">
        <v>4357</v>
      </c>
      <c r="B23" s="87">
        <f>VLOOKUP(A23,[1]Assign!$A:$D,4,FALSE)</f>
        <v>559</v>
      </c>
      <c r="C23" s="4">
        <v>1</v>
      </c>
      <c r="D23" s="4">
        <v>209</v>
      </c>
      <c r="E23" s="4" t="str">
        <f>VLOOKUP(A23,[1]Assign!$A:$I,9,FALSE)</f>
        <v xml:space="preserve">25% MDGS Constant </v>
      </c>
      <c r="F23" s="4">
        <f>VLOOKUP(A23,'[1]Carcass '!$C$105:$D$397,2,FALSE)</f>
        <v>777</v>
      </c>
      <c r="G23" s="4">
        <f t="shared" si="0"/>
        <v>1233.3333333333333</v>
      </c>
      <c r="H23" s="31">
        <f t="shared" si="4"/>
        <v>3.4404761904761902</v>
      </c>
      <c r="I23" s="4">
        <f>VLOOKUP(D23,'[1]DMO head'!$A$2:$D$49,4,FALSE)</f>
        <v>21.32140895794052</v>
      </c>
      <c r="J23" s="19">
        <f t="shared" si="5"/>
        <v>674.33333333333326</v>
      </c>
      <c r="L23" s="4">
        <f>VLOOKUP(A23,'[1]Carcass '!$C$10:$J$397,8,FALSE)</f>
        <v>0</v>
      </c>
      <c r="M23" s="4">
        <f t="shared" si="6"/>
        <v>0</v>
      </c>
      <c r="N23" s="4">
        <f t="shared" si="7"/>
        <v>0</v>
      </c>
      <c r="O23" s="4">
        <f t="shared" si="8"/>
        <v>0</v>
      </c>
      <c r="P23" s="4">
        <f t="shared" si="9"/>
        <v>0</v>
      </c>
      <c r="Q23" s="4">
        <f t="shared" si="10"/>
        <v>0</v>
      </c>
      <c r="R23" s="19">
        <f>VLOOKUP(A23,'[1]Carcass '!$C$107:$E$399,3,FALSE)</f>
        <v>14.2</v>
      </c>
      <c r="S23" s="4">
        <f>VLOOKUP(A23,'[1]Carcass '!$C$107:$F$399,4,FALSE)</f>
        <v>3.14</v>
      </c>
      <c r="T23" s="4">
        <f>VLOOKUP(A23,'[1]Carcass '!$C$10:$G$397,5, FALSE)</f>
        <v>0.5</v>
      </c>
      <c r="U23" s="4">
        <f>VLOOKUP(A23,'[1]Carcass '!$C$107:$I$399,7,FALSE)</f>
        <v>372</v>
      </c>
      <c r="W23" s="95">
        <v>310</v>
      </c>
      <c r="X23" s="56">
        <v>2</v>
      </c>
      <c r="Y23" s="56">
        <v>5</v>
      </c>
      <c r="Z23" s="56" t="s">
        <v>24</v>
      </c>
      <c r="AA23" s="90">
        <f t="shared" si="11"/>
        <v>632</v>
      </c>
      <c r="AB23" s="90">
        <f t="shared" si="1"/>
        <v>862.11111111111109</v>
      </c>
      <c r="AC23" s="90">
        <f t="shared" si="2"/>
        <v>1368.4303350970017</v>
      </c>
      <c r="AD23" s="91">
        <f t="shared" si="3"/>
        <v>3.7572976280459276</v>
      </c>
      <c r="AE23" s="91">
        <f>VLOOKUP(W23,'[1]DMO head'!$A$2:$D$49,4,FALSE)</f>
        <v>23.18107161691918</v>
      </c>
      <c r="AF23" s="92">
        <f t="shared" si="12"/>
        <v>0.16208472542328833</v>
      </c>
      <c r="AG23" s="92">
        <f t="shared" si="13"/>
        <v>6.169612820631154</v>
      </c>
      <c r="AH23" s="56"/>
      <c r="AI23" s="91">
        <f t="shared" si="14"/>
        <v>13.702222222222222</v>
      </c>
      <c r="AJ23" s="91">
        <f t="shared" si="15"/>
        <v>3.5411111111111113</v>
      </c>
      <c r="AK23" s="91">
        <f t="shared" si="16"/>
        <v>0.69</v>
      </c>
      <c r="AL23" s="93">
        <f t="shared" si="17"/>
        <v>582.875</v>
      </c>
    </row>
    <row r="24" spans="1:38" x14ac:dyDescent="0.2">
      <c r="A24" s="94">
        <v>4691</v>
      </c>
      <c r="B24" s="87">
        <f>VLOOKUP(A24,[1]Assign!$A:$D,4,FALSE)</f>
        <v>567</v>
      </c>
      <c r="C24" s="4">
        <v>1</v>
      </c>
      <c r="D24" s="4">
        <v>210</v>
      </c>
      <c r="E24" s="4" t="str">
        <f>VLOOKUP(A24,[1]Assign!$A:$I,9,FALSE)</f>
        <v xml:space="preserve">10% MDGS Constant </v>
      </c>
      <c r="F24" s="4">
        <f>VLOOKUP(A24,'[1]Carcass '!$C$105:$D$397,2,FALSE)</f>
        <v>665</v>
      </c>
      <c r="G24" s="4">
        <f t="shared" si="0"/>
        <v>1055.5555555555557</v>
      </c>
      <c r="H24" s="31">
        <f t="shared" si="4"/>
        <v>2.4926303854875287</v>
      </c>
      <c r="I24" s="4">
        <f>VLOOKUP(D24,'[1]DMO head'!$A$2:$D$49,4,FALSE)</f>
        <v>19.910351814073994</v>
      </c>
      <c r="J24" s="19">
        <f t="shared" si="5"/>
        <v>488.55555555555566</v>
      </c>
      <c r="L24" s="4">
        <f>VLOOKUP(A24,'[1]Carcass '!$C$10:$J$397,8,FALSE)</f>
        <v>0</v>
      </c>
      <c r="M24" s="4">
        <f t="shared" si="6"/>
        <v>0</v>
      </c>
      <c r="N24" s="4">
        <f t="shared" si="7"/>
        <v>0</v>
      </c>
      <c r="O24" s="4">
        <f t="shared" si="8"/>
        <v>0</v>
      </c>
      <c r="P24" s="4">
        <f t="shared" si="9"/>
        <v>0</v>
      </c>
      <c r="Q24" s="4">
        <f t="shared" si="10"/>
        <v>0</v>
      </c>
      <c r="R24" s="19">
        <f>VLOOKUP(A24,'[1]Carcass '!$C$107:$E$399,3,FALSE)</f>
        <v>13.25</v>
      </c>
      <c r="S24" s="4">
        <f>VLOOKUP(A24,'[1]Carcass '!$C$107:$F$399,4,FALSE)</f>
        <v>2.8</v>
      </c>
      <c r="T24" s="4">
        <f>VLOOKUP(A24,'[1]Carcass '!$C$10:$G$397,5, FALSE)</f>
        <v>0.44</v>
      </c>
      <c r="U24" s="4">
        <f>VLOOKUP(A24,'[1]Carcass '!$C$107:$I$399,7,FALSE)</f>
        <v>421</v>
      </c>
      <c r="W24" s="95">
        <v>311</v>
      </c>
      <c r="X24" s="56">
        <v>2</v>
      </c>
      <c r="Y24" s="56">
        <v>5</v>
      </c>
      <c r="Z24" s="56" t="s">
        <v>22</v>
      </c>
      <c r="AA24" s="90">
        <f t="shared" si="11"/>
        <v>631.29999999999995</v>
      </c>
      <c r="AB24" s="90">
        <f t="shared" si="1"/>
        <v>862.6</v>
      </c>
      <c r="AC24" s="90">
        <f t="shared" si="2"/>
        <v>1369.2063492063492</v>
      </c>
      <c r="AD24" s="91">
        <f t="shared" si="3"/>
        <v>3.7648283122772916</v>
      </c>
      <c r="AE24" s="91">
        <f>VLOOKUP(W24,'[1]DMO head'!$A$2:$D$49,4,FALSE)</f>
        <v>23.779243605703989</v>
      </c>
      <c r="AF24" s="92">
        <f t="shared" si="12"/>
        <v>0.15832414078024806</v>
      </c>
      <c r="AG24" s="92">
        <f t="shared" si="13"/>
        <v>6.3161561785324176</v>
      </c>
      <c r="AH24" s="56"/>
      <c r="AI24" s="91">
        <f t="shared" si="14"/>
        <v>14.088999999999999</v>
      </c>
      <c r="AJ24" s="91">
        <f t="shared" si="15"/>
        <v>3.44</v>
      </c>
      <c r="AK24" s="91">
        <f t="shared" si="16"/>
        <v>0.66639999999999999</v>
      </c>
      <c r="AL24" s="93">
        <f t="shared" si="17"/>
        <v>645.6</v>
      </c>
    </row>
    <row r="25" spans="1:38" x14ac:dyDescent="0.2">
      <c r="A25" s="94">
        <v>4423</v>
      </c>
      <c r="B25" s="87">
        <f>VLOOKUP(A25,[1]Assign!$A:$D,4,FALSE)</f>
        <v>572</v>
      </c>
      <c r="C25" s="4">
        <v>1</v>
      </c>
      <c r="D25" s="4">
        <v>211</v>
      </c>
      <c r="E25" s="4" t="str">
        <f>VLOOKUP(A25,[1]Assign!$A:$I,9,FALSE)</f>
        <v>Control</v>
      </c>
      <c r="F25" s="4">
        <f>VLOOKUP(A25,'[1]Carcass '!$C$105:$D$397,2,FALSE)</f>
        <v>676</v>
      </c>
      <c r="G25" s="4">
        <f t="shared" si="0"/>
        <v>1073.015873015873</v>
      </c>
      <c r="H25" s="31">
        <f t="shared" si="4"/>
        <v>2.5562034337544541</v>
      </c>
      <c r="I25" s="4">
        <f>VLOOKUP(D25,'[1]DMO head'!$A$2:$D$49,4,FALSE)</f>
        <v>19.728557757304522</v>
      </c>
      <c r="J25" s="19">
        <f t="shared" si="5"/>
        <v>501.01587301587301</v>
      </c>
      <c r="L25" s="4" t="str">
        <f>VLOOKUP(A25,'[1]Carcass '!$C$10:$J$397,8,FALSE)</f>
        <v>A-</v>
      </c>
      <c r="M25" s="4">
        <f t="shared" si="6"/>
        <v>0</v>
      </c>
      <c r="N25" s="4">
        <f t="shared" si="7"/>
        <v>1</v>
      </c>
      <c r="O25" s="4">
        <f t="shared" si="8"/>
        <v>0</v>
      </c>
      <c r="P25" s="4">
        <f t="shared" si="9"/>
        <v>1</v>
      </c>
      <c r="Q25" s="4">
        <f t="shared" si="10"/>
        <v>0</v>
      </c>
      <c r="R25" s="19">
        <f>VLOOKUP(A25,'[1]Carcass '!$C$107:$E$399,3,FALSE)</f>
        <v>12.72</v>
      </c>
      <c r="S25" s="4">
        <f>VLOOKUP(A25,'[1]Carcass '!$C$107:$F$399,4,FALSE)</f>
        <v>2.8</v>
      </c>
      <c r="T25" s="4">
        <f>VLOOKUP(A25,'[1]Carcass '!$C$10:$G$397,5, FALSE)</f>
        <v>0.37</v>
      </c>
      <c r="U25" s="4">
        <f>VLOOKUP(A25,'[1]Carcass '!$C$107:$I$399,7,FALSE)</f>
        <v>484</v>
      </c>
      <c r="W25" s="95">
        <v>312</v>
      </c>
      <c r="X25" s="56">
        <v>2</v>
      </c>
      <c r="Y25" s="56">
        <v>5</v>
      </c>
      <c r="Z25" s="56" t="s">
        <v>25</v>
      </c>
      <c r="AA25" s="90">
        <f t="shared" si="11"/>
        <v>629.1</v>
      </c>
      <c r="AB25" s="90">
        <f t="shared" si="1"/>
        <v>850.1</v>
      </c>
      <c r="AC25" s="90">
        <f t="shared" si="2"/>
        <v>1349.3650793650791</v>
      </c>
      <c r="AD25" s="91">
        <f t="shared" si="3"/>
        <v>3.6748218334953031</v>
      </c>
      <c r="AE25" s="91">
        <f>VLOOKUP(W25,'[1]DMO head'!$A$2:$D$49,4,FALSE)</f>
        <v>23.507213350404029</v>
      </c>
      <c r="AF25" s="92">
        <f t="shared" si="12"/>
        <v>0.15632741230181341</v>
      </c>
      <c r="AG25" s="92">
        <f t="shared" si="13"/>
        <v>6.3968307622808389</v>
      </c>
      <c r="AH25" s="56"/>
      <c r="AI25" s="91">
        <f t="shared" si="14"/>
        <v>13.943999999999999</v>
      </c>
      <c r="AJ25" s="91">
        <f t="shared" si="15"/>
        <v>3.4649999999999999</v>
      </c>
      <c r="AK25" s="91">
        <f t="shared" si="16"/>
        <v>0.68119999999999992</v>
      </c>
      <c r="AL25" s="93">
        <f t="shared" si="17"/>
        <v>537.22222222222217</v>
      </c>
    </row>
    <row r="26" spans="1:38" x14ac:dyDescent="0.2">
      <c r="A26" s="94">
        <v>4702</v>
      </c>
      <c r="B26" s="87">
        <f>VLOOKUP(A26,[1]Assign!$A:$D,4,FALSE)</f>
        <v>566</v>
      </c>
      <c r="C26" s="4">
        <v>1</v>
      </c>
      <c r="D26" s="4">
        <v>212</v>
      </c>
      <c r="E26" s="4" t="str">
        <f>VLOOKUP(A26,[1]Assign!$A:$I,9,FALSE)</f>
        <v>25% MDGS Variable</v>
      </c>
      <c r="F26" s="4">
        <f>VLOOKUP(A26,'[1]Carcass '!$C$105:$D$397,2,FALSE)</f>
        <v>805</v>
      </c>
      <c r="G26" s="4">
        <f t="shared" si="0"/>
        <v>1277.7777777777778</v>
      </c>
      <c r="H26" s="31">
        <f t="shared" si="4"/>
        <v>3.6315192743764175</v>
      </c>
      <c r="I26" s="4">
        <f>VLOOKUP(D26,'[1]DMO head'!$A$2:$D$49,4,FALSE)</f>
        <v>21.738935573736335</v>
      </c>
      <c r="J26" s="19">
        <f t="shared" si="5"/>
        <v>711.77777777777783</v>
      </c>
      <c r="L26" s="4" t="str">
        <f>VLOOKUP(A26,'[1]Carcass '!$C$10:$J$397,8,FALSE)</f>
        <v>C</v>
      </c>
      <c r="M26" s="4">
        <f t="shared" si="6"/>
        <v>0</v>
      </c>
      <c r="N26" s="4">
        <f t="shared" si="7"/>
        <v>0</v>
      </c>
      <c r="O26" s="4">
        <f t="shared" si="8"/>
        <v>0</v>
      </c>
      <c r="P26" s="4">
        <f t="shared" si="9"/>
        <v>0</v>
      </c>
      <c r="Q26" s="4">
        <f t="shared" si="10"/>
        <v>1</v>
      </c>
      <c r="R26" s="19">
        <f>VLOOKUP(A26,'[1]Carcass '!$C$107:$E$399,3,FALSE)</f>
        <v>14.4</v>
      </c>
      <c r="S26" s="4">
        <f>VLOOKUP(A26,'[1]Carcass '!$C$107:$F$399,4,FALSE)</f>
        <v>2.8</v>
      </c>
      <c r="T26" s="4">
        <f>VLOOKUP(A26,'[1]Carcass '!$C$10:$G$397,5, FALSE)</f>
        <v>0.43</v>
      </c>
      <c r="U26" s="4">
        <f>VLOOKUP(A26,'[1]Carcass '!$C$107:$I$399,7,FALSE)</f>
        <v>350</v>
      </c>
      <c r="W26" s="95">
        <v>313</v>
      </c>
      <c r="X26" s="56">
        <v>2</v>
      </c>
      <c r="Y26" s="56">
        <v>5</v>
      </c>
      <c r="Z26" s="56" t="s">
        <v>26</v>
      </c>
      <c r="AA26" s="90">
        <f t="shared" si="11"/>
        <v>627.29999999999995</v>
      </c>
      <c r="AB26" s="90">
        <f t="shared" si="1"/>
        <v>870</v>
      </c>
      <c r="AC26" s="90">
        <f t="shared" si="2"/>
        <v>1380.952380952381</v>
      </c>
      <c r="AD26" s="91">
        <f t="shared" si="3"/>
        <v>3.8451652089407196</v>
      </c>
      <c r="AE26" s="91">
        <f>VLOOKUP(W26,'[1]DMO head'!$A$2:$D$49,4,FALSE)</f>
        <v>23.480892071111096</v>
      </c>
      <c r="AF26" s="92">
        <f t="shared" si="12"/>
        <v>0.1637572029757543</v>
      </c>
      <c r="AG26" s="92">
        <f t="shared" si="13"/>
        <v>6.1066016140252399</v>
      </c>
      <c r="AH26" s="56"/>
      <c r="AI26" s="91">
        <f t="shared" si="14"/>
        <v>13.596</v>
      </c>
      <c r="AJ26" s="91">
        <f t="shared" si="15"/>
        <v>3.9349999999999996</v>
      </c>
      <c r="AK26" s="91">
        <f t="shared" si="16"/>
        <v>0.8395999999999999</v>
      </c>
      <c r="AL26" s="93">
        <f t="shared" si="17"/>
        <v>535.6</v>
      </c>
    </row>
    <row r="27" spans="1:38" x14ac:dyDescent="0.2">
      <c r="A27" s="94">
        <v>4328</v>
      </c>
      <c r="B27" s="87">
        <f>VLOOKUP(A27,[1]Assign!$A:$D,4,FALSE)</f>
        <v>560</v>
      </c>
      <c r="C27" s="4">
        <v>1</v>
      </c>
      <c r="D27" s="4">
        <v>213</v>
      </c>
      <c r="E27" s="4" t="str">
        <f>VLOOKUP(A27,[1]Assign!$A:$I,9,FALSE)</f>
        <v>10% MDGS Variable</v>
      </c>
      <c r="F27" s="4">
        <f>VLOOKUP(A27,'[1]Carcass '!$C$105:$D$397,2,FALSE)</f>
        <v>846</v>
      </c>
      <c r="G27" s="4">
        <f t="shared" si="0"/>
        <v>1342.8571428571429</v>
      </c>
      <c r="H27" s="31">
        <f t="shared" si="4"/>
        <v>3.9941690962099128</v>
      </c>
      <c r="I27" s="4">
        <f>VLOOKUP(D27,'[1]DMO head'!$A$2:$D$49,4,FALSE)</f>
        <v>22.955779082777788</v>
      </c>
      <c r="J27" s="19">
        <f t="shared" si="5"/>
        <v>782.85714285714289</v>
      </c>
      <c r="L27" s="4">
        <f>VLOOKUP(A27,'[1]Carcass '!$C$10:$J$397,8,FALSE)</f>
        <v>0</v>
      </c>
      <c r="M27" s="4">
        <f t="shared" si="6"/>
        <v>0</v>
      </c>
      <c r="N27" s="4">
        <f t="shared" si="7"/>
        <v>0</v>
      </c>
      <c r="O27" s="4">
        <f t="shared" si="8"/>
        <v>0</v>
      </c>
      <c r="P27" s="4">
        <f t="shared" si="9"/>
        <v>0</v>
      </c>
      <c r="Q27" s="4">
        <f t="shared" si="10"/>
        <v>0</v>
      </c>
      <c r="R27" s="19">
        <f>VLOOKUP(A27,'[1]Carcass '!$C$107:$E$399,3,FALSE)</f>
        <v>13</v>
      </c>
      <c r="S27" s="4">
        <f>VLOOKUP(A27,'[1]Carcass '!$C$107:$F$399,4,FALSE)</f>
        <v>3.9</v>
      </c>
      <c r="T27" s="4">
        <f>VLOOKUP(A27,'[1]Carcass '!$C$10:$G$397,5, FALSE)</f>
        <v>0.88</v>
      </c>
      <c r="U27" s="4">
        <f>VLOOKUP(A27,'[1]Carcass '!$C$107:$I$399,7,FALSE)</f>
        <v>490</v>
      </c>
      <c r="W27" s="95">
        <v>314</v>
      </c>
      <c r="X27" s="56">
        <v>2</v>
      </c>
      <c r="Y27" s="56">
        <v>6</v>
      </c>
      <c r="Z27" s="56" t="s">
        <v>26</v>
      </c>
      <c r="AA27" s="90">
        <f t="shared" si="11"/>
        <v>631.1</v>
      </c>
      <c r="AB27" s="90">
        <f t="shared" si="1"/>
        <v>862.7</v>
      </c>
      <c r="AC27" s="90">
        <f t="shared" si="2"/>
        <v>1387.3015873015875</v>
      </c>
      <c r="AD27" s="91">
        <f t="shared" si="3"/>
        <v>3.8632167152575314</v>
      </c>
      <c r="AE27" s="91">
        <f>VLOOKUP(W27,'[1]DMO head'!$A$2:$D$49,4,FALSE)</f>
        <v>23.926712488585853</v>
      </c>
      <c r="AF27" s="92">
        <f t="shared" si="12"/>
        <v>0.16146040610888204</v>
      </c>
      <c r="AG27" s="92">
        <f t="shared" si="13"/>
        <v>6.1934688763611963</v>
      </c>
      <c r="AH27" s="56"/>
      <c r="AI27" s="91">
        <f t="shared" si="14"/>
        <v>13.677000000000001</v>
      </c>
      <c r="AJ27" s="91">
        <f t="shared" si="15"/>
        <v>3.4990000000000001</v>
      </c>
      <c r="AK27" s="91">
        <f t="shared" si="16"/>
        <v>0.67399999999999993</v>
      </c>
      <c r="AL27" s="93">
        <f t="shared" si="17"/>
        <v>548.88888888888891</v>
      </c>
    </row>
    <row r="28" spans="1:38" x14ac:dyDescent="0.2">
      <c r="A28" s="94">
        <v>4497</v>
      </c>
      <c r="B28" s="87">
        <f>VLOOKUP(A28,[1]Assign!$A:$D,4,FALSE)</f>
        <v>557</v>
      </c>
      <c r="C28" s="4">
        <v>1</v>
      </c>
      <c r="D28" s="4">
        <v>214</v>
      </c>
      <c r="E28" s="4" t="str">
        <f>VLOOKUP(A28,[1]Assign!$A:$I,9,FALSE)</f>
        <v xml:space="preserve">25% MDGS Constant </v>
      </c>
      <c r="F28" s="4">
        <f>VLOOKUP(A28,'[1]Carcass '!$C$105:$D$397,2,FALSE)</f>
        <v>793</v>
      </c>
      <c r="G28" s="4">
        <f t="shared" si="0"/>
        <v>1258.7301587301588</v>
      </c>
      <c r="H28" s="31">
        <f t="shared" si="4"/>
        <v>3.5802559118885653</v>
      </c>
      <c r="I28" s="4">
        <f>VLOOKUP(D28,'[1]DMO head'!$A$2:$D$49,4,FALSE)</f>
        <v>22.398784651854065</v>
      </c>
      <c r="J28" s="19">
        <f t="shared" si="5"/>
        <v>701.73015873015879</v>
      </c>
      <c r="L28" s="4">
        <f>VLOOKUP(A28,'[1]Carcass '!$C$10:$J$397,8,FALSE)</f>
        <v>0</v>
      </c>
      <c r="M28" s="4">
        <f t="shared" si="6"/>
        <v>0</v>
      </c>
      <c r="N28" s="4">
        <f t="shared" si="7"/>
        <v>0</v>
      </c>
      <c r="O28" s="4">
        <f t="shared" si="8"/>
        <v>0</v>
      </c>
      <c r="P28" s="4">
        <f t="shared" si="9"/>
        <v>0</v>
      </c>
      <c r="Q28" s="4">
        <f t="shared" si="10"/>
        <v>0</v>
      </c>
      <c r="R28" s="19">
        <f>VLOOKUP(A28,'[1]Carcass '!$C$107:$E$399,3,FALSE)</f>
        <v>13.8</v>
      </c>
      <c r="S28" s="4">
        <f>VLOOKUP(A28,'[1]Carcass '!$C$107:$F$399,4,FALSE)</f>
        <v>3.4</v>
      </c>
      <c r="T28" s="4">
        <f>VLOOKUP(A28,'[1]Carcass '!$C$10:$G$397,5, FALSE)</f>
        <v>0.64</v>
      </c>
      <c r="U28" s="4">
        <f>VLOOKUP(A28,'[1]Carcass '!$C$107:$I$399,7,FALSE)</f>
        <v>601</v>
      </c>
      <c r="W28" s="95">
        <v>315</v>
      </c>
      <c r="X28" s="56">
        <v>2</v>
      </c>
      <c r="Y28" s="56">
        <v>6</v>
      </c>
      <c r="Z28" s="56" t="s">
        <v>25</v>
      </c>
      <c r="AA28" s="90">
        <f t="shared" si="11"/>
        <v>622.9</v>
      </c>
      <c r="AB28" s="90">
        <f t="shared" si="1"/>
        <v>863.5</v>
      </c>
      <c r="AC28" s="90">
        <f t="shared" si="2"/>
        <v>1382.1869488536156</v>
      </c>
      <c r="AD28" s="91">
        <f t="shared" si="3"/>
        <v>3.8580966778245696</v>
      </c>
      <c r="AE28" s="91">
        <f>VLOOKUP(W28,'[1]DMO head'!$A$2:$D$49,4,FALSE)</f>
        <v>23.392790065062279</v>
      </c>
      <c r="AF28" s="92">
        <f t="shared" si="12"/>
        <v>0.16492674311589425</v>
      </c>
      <c r="AG28" s="92">
        <f t="shared" si="13"/>
        <v>6.0632980504398768</v>
      </c>
      <c r="AH28" s="56"/>
      <c r="AI28" s="91">
        <f t="shared" si="14"/>
        <v>14.374999999999996</v>
      </c>
      <c r="AJ28" s="91">
        <f t="shared" si="15"/>
        <v>3.53</v>
      </c>
      <c r="AK28" s="91">
        <f t="shared" si="16"/>
        <v>0.65533333333333332</v>
      </c>
      <c r="AL28" s="93">
        <f t="shared" si="17"/>
        <v>587.55555555555554</v>
      </c>
    </row>
    <row r="29" spans="1:38" x14ac:dyDescent="0.2">
      <c r="A29" s="94">
        <v>4501</v>
      </c>
      <c r="B29" s="87">
        <f>VLOOKUP(A29,[1]Assign!$A:$D,4,FALSE)</f>
        <v>573</v>
      </c>
      <c r="C29" s="4">
        <v>1</v>
      </c>
      <c r="D29" s="4">
        <v>205</v>
      </c>
      <c r="E29" s="4" t="str">
        <f>VLOOKUP(A29,[1]Assign!$A:$I,9,FALSE)</f>
        <v xml:space="preserve">10% MDGS Constant </v>
      </c>
      <c r="F29" s="4">
        <f>VLOOKUP(A29,'[1]Carcass '!$C$105:$D$397,2,FALSE)</f>
        <v>750</v>
      </c>
      <c r="G29" s="4">
        <f t="shared" si="0"/>
        <v>1190.4761904761904</v>
      </c>
      <c r="H29" s="31">
        <f t="shared" si="4"/>
        <v>3.1503887269193385</v>
      </c>
      <c r="I29" s="4">
        <f>VLOOKUP(D29,'[1]DMO head'!$A$2:$D$49,4,FALSE)</f>
        <v>21.582642370891651</v>
      </c>
      <c r="J29" s="19">
        <f t="shared" si="5"/>
        <v>617.47619047619037</v>
      </c>
      <c r="L29" s="4" t="str">
        <f>VLOOKUP(A29,'[1]Carcass '!$C$10:$J$397,8,FALSE)</f>
        <v>A-</v>
      </c>
      <c r="M29" s="4">
        <f t="shared" si="6"/>
        <v>0</v>
      </c>
      <c r="N29" s="4">
        <f t="shared" si="7"/>
        <v>1</v>
      </c>
      <c r="O29" s="4">
        <f t="shared" si="8"/>
        <v>0</v>
      </c>
      <c r="P29" s="4">
        <f t="shared" si="9"/>
        <v>1</v>
      </c>
      <c r="Q29" s="4">
        <f t="shared" si="10"/>
        <v>0</v>
      </c>
      <c r="R29" s="19">
        <f>VLOOKUP(A29,'[1]Carcass '!$C$107:$E$399,3,FALSE)</f>
        <v>13.8</v>
      </c>
      <c r="S29" s="4">
        <f>VLOOKUP(A29,'[1]Carcass '!$C$107:$F$399,4,FALSE)</f>
        <v>2.7</v>
      </c>
      <c r="T29" s="4">
        <f>VLOOKUP(A29,'[1]Carcass '!$C$10:$G$397,5, FALSE)</f>
        <v>0.29599999999999999</v>
      </c>
      <c r="U29" s="4">
        <f>VLOOKUP(A29,'[1]Carcass '!$C$107:$I$399,7,FALSE)</f>
        <v>448</v>
      </c>
      <c r="W29" s="95">
        <v>316</v>
      </c>
      <c r="X29" s="56">
        <v>2</v>
      </c>
      <c r="Y29" s="56">
        <v>6</v>
      </c>
      <c r="Z29" s="56" t="s">
        <v>22</v>
      </c>
      <c r="AA29" s="90">
        <f t="shared" si="11"/>
        <v>626.9</v>
      </c>
      <c r="AB29" s="90">
        <f t="shared" si="1"/>
        <v>857.4</v>
      </c>
      <c r="AC29" s="90">
        <f t="shared" si="2"/>
        <v>1360.9523809523807</v>
      </c>
      <c r="AD29" s="91">
        <f t="shared" si="3"/>
        <v>3.745165208940719</v>
      </c>
      <c r="AE29" s="91">
        <f>VLOOKUP(W29,'[1]DMO head'!$A$2:$D$49,4,FALSE)</f>
        <v>23.276936370757571</v>
      </c>
      <c r="AF29" s="92">
        <f t="shared" si="12"/>
        <v>0.1608959679782305</v>
      </c>
      <c r="AG29" s="92">
        <f t="shared" si="13"/>
        <v>6.215196145470232</v>
      </c>
      <c r="AH29" s="56"/>
      <c r="AI29" s="91">
        <f t="shared" si="14"/>
        <v>13.481111111111112</v>
      </c>
      <c r="AJ29" s="91">
        <f t="shared" si="15"/>
        <v>3.4611111111111108</v>
      </c>
      <c r="AK29" s="91">
        <f t="shared" si="16"/>
        <v>0.68342857142857139</v>
      </c>
      <c r="AL29" s="93">
        <f t="shared" si="17"/>
        <v>592</v>
      </c>
    </row>
    <row r="30" spans="1:38" x14ac:dyDescent="0.2">
      <c r="A30" s="94">
        <v>4361</v>
      </c>
      <c r="B30" s="87">
        <f>VLOOKUP(A30,[1]Assign!$A:$D,4,FALSE)</f>
        <v>581</v>
      </c>
      <c r="C30" s="4">
        <v>1</v>
      </c>
      <c r="D30" s="4">
        <v>206</v>
      </c>
      <c r="E30" s="4" t="str">
        <f>VLOOKUP(A30,[1]Assign!$A:$I,9,FALSE)</f>
        <v>10% MDGS Variable</v>
      </c>
      <c r="F30" s="4">
        <f>VLOOKUP(A30,'[1]Carcass '!$C$105:$D$397,2,FALSE)</f>
        <v>743</v>
      </c>
      <c r="G30" s="4" t="s">
        <v>43</v>
      </c>
      <c r="H30" s="31" t="s">
        <v>43</v>
      </c>
      <c r="I30" s="4">
        <f>VLOOKUP(D30,'[1]DMO head'!$A$2:$D$49,4,FALSE)</f>
        <v>20.595227026767663</v>
      </c>
      <c r="J30" s="19" t="s">
        <v>43</v>
      </c>
      <c r="L30" s="4" t="str">
        <f>VLOOKUP(A30,'[1]Carcass '!$C$10:$J$397,8,FALSE)</f>
        <v>A-</v>
      </c>
      <c r="M30" s="4">
        <f t="shared" si="6"/>
        <v>0</v>
      </c>
      <c r="N30" s="4">
        <f t="shared" si="7"/>
        <v>1</v>
      </c>
      <c r="O30" s="4">
        <f t="shared" si="8"/>
        <v>0</v>
      </c>
      <c r="P30" s="4">
        <f t="shared" si="9"/>
        <v>1</v>
      </c>
      <c r="Q30" s="4">
        <f t="shared" si="10"/>
        <v>0</v>
      </c>
      <c r="R30" s="19">
        <f>VLOOKUP(A30,'[1]Carcass '!$C$107:$E$399,3,FALSE)</f>
        <v>13.57</v>
      </c>
      <c r="S30" s="4">
        <f>VLOOKUP(A30,'[1]Carcass '!$C$107:$F$399,4,FALSE)</f>
        <v>3.26</v>
      </c>
      <c r="W30" s="95">
        <v>317</v>
      </c>
      <c r="X30" s="56">
        <v>2</v>
      </c>
      <c r="Y30" s="56">
        <v>6</v>
      </c>
      <c r="Z30" s="56" t="s">
        <v>21</v>
      </c>
      <c r="AA30" s="90">
        <f t="shared" si="11"/>
        <v>625.77777777777783</v>
      </c>
      <c r="AB30" s="90">
        <f t="shared" si="1"/>
        <v>826.88888888888891</v>
      </c>
      <c r="AC30" s="90">
        <f t="shared" si="2"/>
        <v>1312.5220458553792</v>
      </c>
      <c r="AD30" s="91">
        <f t="shared" si="3"/>
        <v>3.5037972861102116</v>
      </c>
      <c r="AE30" s="91">
        <f>VLOOKUP(W30,'[1]DMO head'!$A$2:$D$49,4,FALSE)</f>
        <v>23.188136258216968</v>
      </c>
      <c r="AF30" s="92">
        <f t="shared" si="12"/>
        <v>0.15110301436445125</v>
      </c>
      <c r="AG30" s="92">
        <f t="shared" si="13"/>
        <v>6.6180016606952723</v>
      </c>
      <c r="AH30" s="56"/>
      <c r="AI30" s="91">
        <f t="shared" si="14"/>
        <v>13.404444444444444</v>
      </c>
      <c r="AJ30" s="91">
        <f t="shared" si="15"/>
        <v>3.3187499999999996</v>
      </c>
      <c r="AK30" s="91">
        <f t="shared" si="16"/>
        <v>0.64200000000000002</v>
      </c>
      <c r="AL30" s="93">
        <f t="shared" si="17"/>
        <v>504.125</v>
      </c>
    </row>
    <row r="31" spans="1:38" ht="16" thickBot="1" x14ac:dyDescent="0.25">
      <c r="A31" s="94">
        <v>4469</v>
      </c>
      <c r="B31" s="87">
        <f>VLOOKUP(A31,[1]Assign!$A:$D,4,FALSE)</f>
        <v>570</v>
      </c>
      <c r="C31" s="4">
        <v>1</v>
      </c>
      <c r="D31" s="4">
        <v>207</v>
      </c>
      <c r="E31" s="4" t="str">
        <f>VLOOKUP(A31,[1]Assign!$A:$I,9,FALSE)</f>
        <v>Control</v>
      </c>
      <c r="F31" s="4">
        <f>VLOOKUP(A31,'[1]Carcass '!$C$105:$D$397,2,FALSE)</f>
        <v>769</v>
      </c>
      <c r="G31" s="4">
        <f t="shared" si="0"/>
        <v>1220.6349206349207</v>
      </c>
      <c r="H31" s="31">
        <f t="shared" si="4"/>
        <v>3.3195659216067384</v>
      </c>
      <c r="I31" s="4">
        <f>VLOOKUP(D31,'[1]DMO head'!$A$2:$D$49,4,FALSE)</f>
        <v>21.495747185717072</v>
      </c>
      <c r="J31" s="19">
        <f t="shared" si="5"/>
        <v>650.63492063492072</v>
      </c>
      <c r="L31" s="4">
        <f>VLOOKUP(A31,'[1]Carcass '!$C$10:$J$397,8,FALSE)</f>
        <v>0</v>
      </c>
      <c r="M31" s="4">
        <f t="shared" si="6"/>
        <v>0</v>
      </c>
      <c r="N31" s="4">
        <f t="shared" si="7"/>
        <v>0</v>
      </c>
      <c r="O31" s="4">
        <f t="shared" si="8"/>
        <v>0</v>
      </c>
      <c r="P31" s="4">
        <f t="shared" si="9"/>
        <v>0</v>
      </c>
      <c r="Q31" s="4">
        <f t="shared" si="10"/>
        <v>0</v>
      </c>
      <c r="R31" s="19">
        <f>VLOOKUP(A31,'[1]Carcass '!$C$107:$E$399,3,FALSE)</f>
        <v>13.1</v>
      </c>
      <c r="S31" s="4">
        <f>VLOOKUP(A31,'[1]Carcass '!$C$107:$F$399,4,FALSE)</f>
        <v>3.2</v>
      </c>
      <c r="T31" s="4">
        <f>VLOOKUP(A31,'[1]Carcass '!$C$10:$G$397,5, FALSE)</f>
        <v>0.56000000000000005</v>
      </c>
      <c r="U31" s="4">
        <f>VLOOKUP(A31,'[1]Carcass '!$C$107:$I$399,7,FALSE)</f>
        <v>522</v>
      </c>
      <c r="W31" s="96">
        <v>318</v>
      </c>
      <c r="X31" s="56">
        <v>2</v>
      </c>
      <c r="Y31" s="56">
        <v>6</v>
      </c>
      <c r="Z31" s="56" t="s">
        <v>24</v>
      </c>
      <c r="AA31" s="90">
        <f t="shared" si="11"/>
        <v>628.5</v>
      </c>
      <c r="AB31" s="90">
        <f t="shared" si="1"/>
        <v>834.8</v>
      </c>
      <c r="AC31" s="90">
        <f t="shared" si="2"/>
        <v>1306.8783068783068</v>
      </c>
      <c r="AD31" s="91">
        <f t="shared" si="3"/>
        <v>3.469333765252133</v>
      </c>
      <c r="AE31" s="91">
        <f>VLOOKUP(W31,'[1]DMO head'!$A$2:$D$49,4,FALSE)</f>
        <v>23.479164833812241</v>
      </c>
      <c r="AF31" s="92">
        <f t="shared" si="12"/>
        <v>0.14776223046298312</v>
      </c>
      <c r="AG31" s="92">
        <f t="shared" si="13"/>
        <v>6.7676292978706529</v>
      </c>
      <c r="AH31" s="56"/>
      <c r="AI31" s="91">
        <f t="shared" si="14"/>
        <v>14.247</v>
      </c>
      <c r="AJ31" s="91">
        <f t="shared" si="15"/>
        <v>3.3549999999999995</v>
      </c>
      <c r="AK31" s="91">
        <f t="shared" si="16"/>
        <v>0.64659999999999995</v>
      </c>
      <c r="AL31" s="93">
        <f t="shared" si="17"/>
        <v>571.9</v>
      </c>
    </row>
    <row r="32" spans="1:38" x14ac:dyDescent="0.2">
      <c r="A32" s="94">
        <v>4486</v>
      </c>
      <c r="B32" s="87">
        <f>VLOOKUP(A32,[1]Assign!$A:$D,4,FALSE)</f>
        <v>577</v>
      </c>
      <c r="C32" s="4">
        <v>1</v>
      </c>
      <c r="D32" s="4">
        <v>208</v>
      </c>
      <c r="E32" s="4" t="str">
        <f>VLOOKUP(A32,[1]Assign!$A:$I,9,FALSE)</f>
        <v>25% MDGS Variable</v>
      </c>
      <c r="F32" s="4">
        <f>VLOOKUP(A32,'[1]Carcass '!$C$105:$D$397,2,FALSE)</f>
        <v>823</v>
      </c>
      <c r="G32" s="4">
        <f t="shared" si="0"/>
        <v>1306.3492063492063</v>
      </c>
      <c r="H32" s="31">
        <f t="shared" si="4"/>
        <v>3.7211694201490118</v>
      </c>
      <c r="I32" s="4">
        <f>VLOOKUP(D32,'[1]DMO head'!$A$2:$D$49,4,FALSE)</f>
        <v>22.92374071584624</v>
      </c>
      <c r="J32" s="19">
        <f t="shared" si="5"/>
        <v>729.34920634920627</v>
      </c>
      <c r="L32" s="4">
        <f>VLOOKUP(A32,'[1]Carcass '!$C$10:$J$397,8,FALSE)</f>
        <v>0</v>
      </c>
      <c r="M32" s="4">
        <f t="shared" si="6"/>
        <v>0</v>
      </c>
      <c r="N32" s="4">
        <f t="shared" si="7"/>
        <v>0</v>
      </c>
      <c r="O32" s="4">
        <f t="shared" si="8"/>
        <v>0</v>
      </c>
      <c r="P32" s="4">
        <f t="shared" si="9"/>
        <v>0</v>
      </c>
      <c r="Q32" s="4">
        <f t="shared" si="10"/>
        <v>0</v>
      </c>
      <c r="R32" s="19">
        <f>VLOOKUP(A32,'[1]Carcass '!$C$107:$E$399,3,FALSE)</f>
        <v>13.85</v>
      </c>
      <c r="S32" s="4">
        <f>VLOOKUP(A32,'[1]Carcass '!$C$107:$F$399,4,FALSE)</f>
        <v>3.3</v>
      </c>
      <c r="T32" s="4">
        <f>VLOOKUP(A32,'[1]Carcass '!$C$10:$G$397,5, FALSE)</f>
        <v>0.63</v>
      </c>
      <c r="U32" s="4">
        <f>VLOOKUP(A32,'[1]Carcass '!$C$107:$I$399,7,FALSE)</f>
        <v>585</v>
      </c>
      <c r="W32" s="88">
        <v>405</v>
      </c>
      <c r="X32" s="56">
        <v>3</v>
      </c>
      <c r="Y32" s="56">
        <v>7</v>
      </c>
      <c r="Z32" s="56" t="s">
        <v>24</v>
      </c>
      <c r="AA32" s="90">
        <f t="shared" si="11"/>
        <v>695.6</v>
      </c>
      <c r="AB32" s="90">
        <f t="shared" si="1"/>
        <v>851.8</v>
      </c>
      <c r="AC32" s="90">
        <f t="shared" si="2"/>
        <v>1352.063492063492</v>
      </c>
      <c r="AD32" s="91">
        <f t="shared" si="3"/>
        <v>3.6069422640851214</v>
      </c>
      <c r="AE32" s="91">
        <f t="shared" ref="AE32:AE41" si="19">AVERAGEIF(D:D,W32,I:I)</f>
        <v>23.841123317486332</v>
      </c>
      <c r="AF32" s="92">
        <f t="shared" si="12"/>
        <v>0.15129078508811708</v>
      </c>
      <c r="AG32" s="92">
        <f t="shared" si="13"/>
        <v>6.6097878956577878</v>
      </c>
      <c r="AH32" s="56"/>
      <c r="AI32" s="91">
        <f t="shared" si="14"/>
        <v>13.568888888888889</v>
      </c>
      <c r="AJ32" s="91">
        <f t="shared" si="15"/>
        <v>3.3250000000000002</v>
      </c>
      <c r="AK32" s="91">
        <f t="shared" si="16"/>
        <v>0.58200000000000007</v>
      </c>
      <c r="AL32" s="93">
        <f t="shared" si="17"/>
        <v>564.77777777777783</v>
      </c>
    </row>
    <row r="33" spans="1:38" x14ac:dyDescent="0.2">
      <c r="A33" s="94">
        <v>4425</v>
      </c>
      <c r="B33" s="87">
        <f>VLOOKUP(A33,[1]Assign!$A:$D,4,FALSE)</f>
        <v>575</v>
      </c>
      <c r="C33" s="4">
        <v>1</v>
      </c>
      <c r="D33" s="4">
        <v>209</v>
      </c>
      <c r="E33" s="4" t="str">
        <f>VLOOKUP(A33,[1]Assign!$A:$I,9,FALSE)</f>
        <v xml:space="preserve">25% MDGS Constant </v>
      </c>
      <c r="F33" s="4">
        <f>VLOOKUP(A33,'[1]Carcass '!$C$105:$D$397,2,FALSE)</f>
        <v>707</v>
      </c>
      <c r="G33" s="4">
        <f t="shared" si="0"/>
        <v>1122.2222222222222</v>
      </c>
      <c r="H33" s="31">
        <f t="shared" si="4"/>
        <v>2.7919501133786846</v>
      </c>
      <c r="I33" s="4">
        <f>VLOOKUP(D33,'[1]DMO head'!$A$2:$D$49,4,FALSE)</f>
        <v>21.32140895794052</v>
      </c>
      <c r="J33" s="19">
        <f t="shared" si="5"/>
        <v>547.22222222222217</v>
      </c>
      <c r="L33" s="4">
        <f>VLOOKUP(A33,'[1]Carcass '!$C$10:$J$397,8,FALSE)</f>
        <v>0</v>
      </c>
      <c r="M33" s="4">
        <f t="shared" si="6"/>
        <v>0</v>
      </c>
      <c r="N33" s="4">
        <f t="shared" si="7"/>
        <v>0</v>
      </c>
      <c r="O33" s="4">
        <f t="shared" si="8"/>
        <v>0</v>
      </c>
      <c r="P33" s="4">
        <f t="shared" si="9"/>
        <v>0</v>
      </c>
      <c r="Q33" s="4">
        <f t="shared" si="10"/>
        <v>0</v>
      </c>
      <c r="R33" s="19">
        <f>VLOOKUP(A33,'[1]Carcass '!$C$107:$E$399,3,FALSE)</f>
        <v>13.7</v>
      </c>
      <c r="S33" s="4">
        <f>VLOOKUP(A33,'[1]Carcass '!$C$107:$F$399,4,FALSE)</f>
        <v>3.2</v>
      </c>
      <c r="T33" s="4">
        <f>VLOOKUP(A33,'[1]Carcass '!$C$10:$G$397,5, FALSE)</f>
        <v>0.54</v>
      </c>
      <c r="U33" s="4">
        <f>VLOOKUP(A33,'[1]Carcass '!$C$107:$I$399,7,FALSE)</f>
        <v>487</v>
      </c>
      <c r="W33" s="95">
        <v>406</v>
      </c>
      <c r="X33" s="56">
        <v>3</v>
      </c>
      <c r="Y33" s="56">
        <v>7</v>
      </c>
      <c r="Z33" s="56" t="s">
        <v>22</v>
      </c>
      <c r="AA33" s="90">
        <f t="shared" si="11"/>
        <v>702.7</v>
      </c>
      <c r="AB33" s="90">
        <f t="shared" si="1"/>
        <v>878.6</v>
      </c>
      <c r="AC33" s="90">
        <f t="shared" si="2"/>
        <v>1394.6031746031745</v>
      </c>
      <c r="AD33" s="91">
        <f t="shared" si="3"/>
        <v>3.8016657945229375</v>
      </c>
      <c r="AE33" s="91">
        <f t="shared" si="19"/>
        <v>24.456725328579239</v>
      </c>
      <c r="AF33" s="92">
        <f t="shared" si="12"/>
        <v>0.1554445962591913</v>
      </c>
      <c r="AG33" s="92">
        <f t="shared" si="13"/>
        <v>6.4331602645908692</v>
      </c>
      <c r="AH33" s="56"/>
      <c r="AI33" s="91">
        <f t="shared" si="14"/>
        <v>13.737499999999999</v>
      </c>
      <c r="AJ33" s="91">
        <f t="shared" si="15"/>
        <v>3.4987500000000002</v>
      </c>
      <c r="AK33" s="91">
        <f t="shared" si="16"/>
        <v>0.66049999999999998</v>
      </c>
      <c r="AL33" s="93">
        <f t="shared" si="17"/>
        <v>523.22222222222217</v>
      </c>
    </row>
    <row r="34" spans="1:38" x14ac:dyDescent="0.2">
      <c r="A34" s="94">
        <v>4546</v>
      </c>
      <c r="B34" s="87">
        <f>VLOOKUP(A34,[1]Assign!$A:$D,4,FALSE)</f>
        <v>573</v>
      </c>
      <c r="C34" s="4">
        <v>1</v>
      </c>
      <c r="D34" s="4">
        <v>210</v>
      </c>
      <c r="E34" s="4" t="str">
        <f>VLOOKUP(A34,[1]Assign!$A:$I,9,FALSE)</f>
        <v xml:space="preserve">10% MDGS Constant </v>
      </c>
      <c r="F34" s="4">
        <f>VLOOKUP(A34,'[1]Carcass '!$C$105:$D$397,2,FALSE)</f>
        <v>778</v>
      </c>
      <c r="G34" s="4">
        <f t="shared" si="0"/>
        <v>1234.9206349206349</v>
      </c>
      <c r="H34" s="31">
        <f t="shared" si="4"/>
        <v>3.3771460965338518</v>
      </c>
      <c r="I34" s="4">
        <f>VLOOKUP(D34,'[1]DMO head'!$A$2:$D$49,4,FALSE)</f>
        <v>19.910351814073994</v>
      </c>
      <c r="J34" s="19">
        <f t="shared" si="5"/>
        <v>661.92063492063494</v>
      </c>
      <c r="L34" s="4">
        <f>VLOOKUP(A34,'[1]Carcass '!$C$10:$J$397,8,FALSE)</f>
        <v>0</v>
      </c>
      <c r="M34" s="4">
        <f t="shared" si="6"/>
        <v>0</v>
      </c>
      <c r="N34" s="4">
        <f t="shared" si="7"/>
        <v>0</v>
      </c>
      <c r="O34" s="4">
        <f t="shared" si="8"/>
        <v>0</v>
      </c>
      <c r="P34" s="4">
        <f t="shared" si="9"/>
        <v>0</v>
      </c>
      <c r="Q34" s="4">
        <f t="shared" si="10"/>
        <v>0</v>
      </c>
      <c r="R34" s="19">
        <f>VLOOKUP(A34,'[1]Carcass '!$C$107:$E$399,3,FALSE)</f>
        <v>15.3</v>
      </c>
      <c r="S34" s="4">
        <f>VLOOKUP(A34,'[1]Carcass '!$C$107:$F$399,4,FALSE)</f>
        <v>3.6</v>
      </c>
      <c r="T34" s="4">
        <f>VLOOKUP(A34,'[1]Carcass '!$C$10:$G$397,5, FALSE)</f>
        <v>0.64</v>
      </c>
      <c r="U34" s="4">
        <f>VLOOKUP(A34,'[1]Carcass '!$C$107:$I$399,7,FALSE)</f>
        <v>628</v>
      </c>
      <c r="W34" s="95">
        <v>407</v>
      </c>
      <c r="X34" s="56">
        <v>3</v>
      </c>
      <c r="Y34" s="56">
        <v>7</v>
      </c>
      <c r="Z34" s="56" t="s">
        <v>26</v>
      </c>
      <c r="AA34" s="90">
        <f t="shared" si="11"/>
        <v>699.8</v>
      </c>
      <c r="AB34" s="90">
        <f t="shared" si="1"/>
        <v>848.6</v>
      </c>
      <c r="AC34" s="90">
        <f t="shared" si="2"/>
        <v>1346.9841269841272</v>
      </c>
      <c r="AD34" s="91">
        <f t="shared" si="3"/>
        <v>3.5559567416710274</v>
      </c>
      <c r="AE34" s="91">
        <f t="shared" si="19"/>
        <v>22.840113033442627</v>
      </c>
      <c r="AF34" s="92">
        <f t="shared" si="12"/>
        <v>0.15568910436057715</v>
      </c>
      <c r="AG34" s="92">
        <f t="shared" si="13"/>
        <v>6.4230570540375931</v>
      </c>
      <c r="AH34" s="56"/>
      <c r="AI34" s="91">
        <f t="shared" si="14"/>
        <v>13.297777777777776</v>
      </c>
      <c r="AJ34" s="91">
        <f t="shared" si="15"/>
        <v>3.4255555555555559</v>
      </c>
      <c r="AK34" s="91">
        <f t="shared" si="16"/>
        <v>0.61422222222222222</v>
      </c>
      <c r="AL34" s="93">
        <f t="shared" si="17"/>
        <v>507.44444444444446</v>
      </c>
    </row>
    <row r="35" spans="1:38" x14ac:dyDescent="0.2">
      <c r="A35" s="94">
        <v>4716</v>
      </c>
      <c r="B35" s="87">
        <f>VLOOKUP(A35,[1]Assign!$A:$D,4,FALSE)</f>
        <v>558</v>
      </c>
      <c r="C35" s="4">
        <v>1</v>
      </c>
      <c r="D35" s="4">
        <v>211</v>
      </c>
      <c r="E35" s="4" t="str">
        <f>VLOOKUP(A35,[1]Assign!$A:$I,9,FALSE)</f>
        <v>Control</v>
      </c>
      <c r="F35" s="4">
        <f>VLOOKUP(A35,'[1]Carcass '!$C$105:$D$397,2,FALSE)</f>
        <v>765</v>
      </c>
      <c r="G35" s="4">
        <f t="shared" si="0"/>
        <v>1214.2857142857142</v>
      </c>
      <c r="H35" s="31">
        <f t="shared" si="4"/>
        <v>3.3483965014577257</v>
      </c>
      <c r="I35" s="4">
        <f>VLOOKUP(D35,'[1]DMO head'!$A$2:$D$49,4,FALSE)</f>
        <v>19.728557757304522</v>
      </c>
      <c r="J35" s="19">
        <f t="shared" si="5"/>
        <v>656.28571428571422</v>
      </c>
      <c r="L35" s="4">
        <f>VLOOKUP(A35,'[1]Carcass '!$C$10:$J$397,8,FALSE)</f>
        <v>0</v>
      </c>
      <c r="M35" s="4">
        <f t="shared" si="6"/>
        <v>0</v>
      </c>
      <c r="N35" s="4">
        <f t="shared" si="7"/>
        <v>0</v>
      </c>
      <c r="O35" s="4">
        <f t="shared" si="8"/>
        <v>0</v>
      </c>
      <c r="P35" s="4">
        <f t="shared" si="9"/>
        <v>0</v>
      </c>
      <c r="Q35" s="4">
        <f t="shared" si="10"/>
        <v>0</v>
      </c>
      <c r="R35" s="19">
        <f>VLOOKUP(A35,'[1]Carcass '!$C$107:$E$399,3,FALSE)</f>
        <v>14.2</v>
      </c>
      <c r="S35" s="4">
        <f>VLOOKUP(A35,'[1]Carcass '!$C$107:$F$399,4,FALSE)</f>
        <v>3</v>
      </c>
      <c r="T35" s="4">
        <f>VLOOKUP(A35,'[1]Carcass '!$C$10:$G$397,5, FALSE)</f>
        <v>0.47</v>
      </c>
      <c r="U35" s="4">
        <f>VLOOKUP(A35,'[1]Carcass '!$C$107:$I$399,7,FALSE)</f>
        <v>570</v>
      </c>
      <c r="W35" s="95">
        <v>408</v>
      </c>
      <c r="X35" s="56">
        <v>3</v>
      </c>
      <c r="Y35" s="56">
        <v>7</v>
      </c>
      <c r="Z35" s="56" t="s">
        <v>21</v>
      </c>
      <c r="AA35" s="90">
        <f t="shared" si="11"/>
        <v>697.6</v>
      </c>
      <c r="AB35" s="90">
        <f t="shared" si="1"/>
        <v>840.6</v>
      </c>
      <c r="AC35" s="90">
        <f t="shared" si="2"/>
        <v>1334.2857142857142</v>
      </c>
      <c r="AD35" s="91">
        <f t="shared" si="3"/>
        <v>3.4982731554160127</v>
      </c>
      <c r="AE35" s="91">
        <f t="shared" si="19"/>
        <v>22.63029404224044</v>
      </c>
      <c r="AF35" s="92">
        <f t="shared" si="12"/>
        <v>0.1545836368226737</v>
      </c>
      <c r="AG35" s="92">
        <f t="shared" si="13"/>
        <v>6.4689899950220608</v>
      </c>
      <c r="AH35" s="56"/>
      <c r="AI35" s="91">
        <f t="shared" si="14"/>
        <v>13.608000000000001</v>
      </c>
      <c r="AJ35" s="91">
        <f t="shared" si="15"/>
        <v>3.3579999999999997</v>
      </c>
      <c r="AK35" s="91">
        <f t="shared" si="16"/>
        <v>0.67559999999999998</v>
      </c>
      <c r="AL35" s="93">
        <f t="shared" si="17"/>
        <v>570.75</v>
      </c>
    </row>
    <row r="36" spans="1:38" x14ac:dyDescent="0.2">
      <c r="A36" s="94">
        <v>4653</v>
      </c>
      <c r="B36" s="87">
        <f>VLOOKUP(A36,[1]Assign!$A:$D,4,FALSE)</f>
        <v>567</v>
      </c>
      <c r="C36" s="4">
        <v>1</v>
      </c>
      <c r="D36" s="4">
        <v>212</v>
      </c>
      <c r="E36" s="4" t="str">
        <f>VLOOKUP(A36,[1]Assign!$A:$I,9,FALSE)</f>
        <v>25% MDGS Variable</v>
      </c>
      <c r="F36" s="4">
        <f>VLOOKUP(A36,'[1]Carcass '!$C$105:$D$397,2,FALSE)</f>
        <v>709</v>
      </c>
      <c r="G36" s="4">
        <f t="shared" si="0"/>
        <v>1125.3968253968253</v>
      </c>
      <c r="H36" s="31">
        <f t="shared" si="4"/>
        <v>2.8489633948817619</v>
      </c>
      <c r="I36" s="4">
        <f>VLOOKUP(D36,'[1]DMO head'!$A$2:$D$49,4,FALSE)</f>
        <v>21.738935573736335</v>
      </c>
      <c r="J36" s="19">
        <f t="shared" si="5"/>
        <v>558.39682539682531</v>
      </c>
      <c r="L36" s="4">
        <v>0</v>
      </c>
      <c r="M36" s="4">
        <f t="shared" si="6"/>
        <v>0</v>
      </c>
      <c r="N36" s="4">
        <f t="shared" si="7"/>
        <v>0</v>
      </c>
      <c r="O36" s="4">
        <f t="shared" si="8"/>
        <v>0</v>
      </c>
      <c r="P36" s="4">
        <f t="shared" si="9"/>
        <v>0</v>
      </c>
      <c r="Q36" s="4">
        <f t="shared" si="10"/>
        <v>0</v>
      </c>
      <c r="R36" s="19">
        <f>VLOOKUP(A36,'[1]Carcass '!$C$107:$E$399,3,FALSE)</f>
        <v>12.57</v>
      </c>
      <c r="S36" s="4">
        <f>VLOOKUP(A36,'[1]Carcass '!$C$107:$F$399,4,FALSE)</f>
        <v>2.5</v>
      </c>
      <c r="T36" s="4">
        <f>VLOOKUP(A36,'[1]Carcass '!$C$10:$G$397,5, FALSE)</f>
        <v>0.29199999999999998</v>
      </c>
      <c r="U36" s="4">
        <f>VLOOKUP(A36,'[1]Carcass '!$C$107:$I$399,7,FALSE)</f>
        <v>517</v>
      </c>
      <c r="W36" s="95">
        <v>409</v>
      </c>
      <c r="X36" s="56">
        <v>3</v>
      </c>
      <c r="Y36" s="56">
        <v>7</v>
      </c>
      <c r="Z36" s="56" t="s">
        <v>25</v>
      </c>
      <c r="AA36" s="90">
        <f t="shared" si="11"/>
        <v>692.9</v>
      </c>
      <c r="AB36" s="90">
        <f>AVERAGEIF(D:D,W36,F:F)</f>
        <v>910.7</v>
      </c>
      <c r="AC36" s="90">
        <f>AVERAGEIF(D:D,W36,G:G)</f>
        <v>1445.5555555555554</v>
      </c>
      <c r="AD36" s="91">
        <f t="shared" si="3"/>
        <v>4.135470085470085</v>
      </c>
      <c r="AE36" s="91">
        <f t="shared" si="19"/>
        <v>25.087520326338787</v>
      </c>
      <c r="AF36" s="92">
        <f t="shared" si="12"/>
        <v>0.16484172336188818</v>
      </c>
      <c r="AG36" s="92">
        <f t="shared" si="13"/>
        <v>6.0664252933380975</v>
      </c>
      <c r="AH36" s="56"/>
      <c r="AI36" s="91">
        <f t="shared" si="14"/>
        <v>14.443000000000001</v>
      </c>
      <c r="AJ36" s="91">
        <f t="shared" si="15"/>
        <v>3.8619999999999997</v>
      </c>
      <c r="AK36" s="91">
        <f t="shared" si="16"/>
        <v>0.80800000000000005</v>
      </c>
      <c r="AL36" s="93">
        <f t="shared" si="17"/>
        <v>594.1</v>
      </c>
    </row>
    <row r="37" spans="1:38" x14ac:dyDescent="0.2">
      <c r="A37" s="94">
        <v>4772</v>
      </c>
      <c r="B37" s="87">
        <f>VLOOKUP(A37,[1]Assign!$A:$D,4,FALSE)</f>
        <v>568</v>
      </c>
      <c r="C37" s="4">
        <v>1</v>
      </c>
      <c r="D37" s="4">
        <v>213</v>
      </c>
      <c r="E37" s="4" t="str">
        <f>VLOOKUP(A37,[1]Assign!$A:$I,9,FALSE)</f>
        <v>10% MDGS Variable</v>
      </c>
      <c r="F37" s="4">
        <f>VLOOKUP(A37,'[1]Carcass '!$C$105:$D$397,2,FALSE)</f>
        <v>860</v>
      </c>
      <c r="G37" s="4">
        <f t="shared" si="0"/>
        <v>1365.0793650793651</v>
      </c>
      <c r="H37" s="31">
        <f t="shared" si="4"/>
        <v>4.0667314544865567</v>
      </c>
      <c r="I37" s="4">
        <f>VLOOKUP(D37,'[1]DMO head'!$A$2:$D$49,4,FALSE)</f>
        <v>22.955779082777788</v>
      </c>
      <c r="J37" s="19">
        <f t="shared" si="5"/>
        <v>797.07936507936506</v>
      </c>
      <c r="L37" s="4">
        <f>VLOOKUP(A37,'[1]Carcass '!$C$10:$J$397,8,FALSE)</f>
        <v>0</v>
      </c>
      <c r="M37" s="4">
        <f t="shared" si="6"/>
        <v>0</v>
      </c>
      <c r="N37" s="4">
        <f t="shared" si="7"/>
        <v>0</v>
      </c>
      <c r="O37" s="4">
        <f t="shared" si="8"/>
        <v>0</v>
      </c>
      <c r="P37" s="4">
        <f t="shared" si="9"/>
        <v>0</v>
      </c>
      <c r="Q37" s="4">
        <f t="shared" si="10"/>
        <v>0</v>
      </c>
      <c r="R37" s="19">
        <f>VLOOKUP(A37,'[1]Carcass '!$C$107:$E$399,3,FALSE)</f>
        <v>16.8</v>
      </c>
      <c r="S37" s="4">
        <f>VLOOKUP(A37,'[1]Carcass '!$C$107:$F$399,4,FALSE)</f>
        <v>2.92</v>
      </c>
      <c r="T37" s="4">
        <f>VLOOKUP(A37,'[1]Carcass '!$C$10:$G$397,5, FALSE)</f>
        <v>0.45600000000000002</v>
      </c>
      <c r="U37" s="4">
        <f>VLOOKUP(A37,'[1]Carcass '!$C$107:$I$399,7,FALSE)</f>
        <v>368</v>
      </c>
      <c r="W37" s="95">
        <v>410</v>
      </c>
      <c r="X37" s="56">
        <v>3</v>
      </c>
      <c r="Y37" s="56">
        <v>8</v>
      </c>
      <c r="Z37" s="56" t="s">
        <v>26</v>
      </c>
      <c r="AA37" s="90">
        <f t="shared" si="11"/>
        <v>699.8</v>
      </c>
      <c r="AB37" s="90">
        <f t="shared" si="1"/>
        <v>862.7</v>
      </c>
      <c r="AC37" s="90">
        <f t="shared" si="2"/>
        <v>1369.3650793650795</v>
      </c>
      <c r="AD37" s="91">
        <f t="shared" si="3"/>
        <v>3.6789290075004359</v>
      </c>
      <c r="AE37" s="91">
        <f t="shared" si="19"/>
        <v>23.110230187377059</v>
      </c>
      <c r="AF37" s="92">
        <f t="shared" si="12"/>
        <v>0.15919049605615301</v>
      </c>
      <c r="AG37" s="92">
        <f t="shared" si="13"/>
        <v>6.2817820458782858</v>
      </c>
      <c r="AH37" s="56"/>
      <c r="AI37" s="91">
        <f t="shared" si="14"/>
        <v>13.653333333333332</v>
      </c>
      <c r="AJ37" s="91">
        <f t="shared" si="15"/>
        <v>3.48</v>
      </c>
      <c r="AK37" s="91">
        <f t="shared" si="16"/>
        <v>0.65755555555555545</v>
      </c>
      <c r="AL37" s="93">
        <f t="shared" si="17"/>
        <v>622.22222222222217</v>
      </c>
    </row>
    <row r="38" spans="1:38" x14ac:dyDescent="0.2">
      <c r="A38" s="94">
        <v>4450</v>
      </c>
      <c r="B38" s="87">
        <f>VLOOKUP(A38,[1]Assign!$A:$D,4,FALSE)</f>
        <v>570</v>
      </c>
      <c r="C38" s="4">
        <v>1</v>
      </c>
      <c r="D38" s="4">
        <v>214</v>
      </c>
      <c r="E38" s="4" t="str">
        <f>VLOOKUP(A38,[1]Assign!$A:$I,9,FALSE)</f>
        <v xml:space="preserve">25% MDGS Constant </v>
      </c>
      <c r="F38" s="4">
        <f>VLOOKUP(A38,'[1]Carcass '!$C$105:$D$397,2,FALSE)</f>
        <v>773</v>
      </c>
      <c r="G38" s="4">
        <f t="shared" si="0"/>
        <v>1226.984126984127</v>
      </c>
      <c r="H38" s="31">
        <f t="shared" si="4"/>
        <v>3.3519598315516683</v>
      </c>
      <c r="I38" s="4">
        <f>VLOOKUP(D38,'[1]DMO head'!$A$2:$D$49,4,FALSE)</f>
        <v>22.398784651854065</v>
      </c>
      <c r="J38" s="19">
        <f t="shared" si="5"/>
        <v>656.98412698412699</v>
      </c>
      <c r="L38" s="4" t="str">
        <f>VLOOKUP(A38,'[1]Carcass '!$C$10:$J$397,8,FALSE)</f>
        <v>A</v>
      </c>
      <c r="M38" s="4">
        <f t="shared" si="6"/>
        <v>1</v>
      </c>
      <c r="N38" s="4">
        <f t="shared" si="7"/>
        <v>0</v>
      </c>
      <c r="O38" s="4">
        <f t="shared" si="8"/>
        <v>0</v>
      </c>
      <c r="P38" s="4">
        <f t="shared" si="9"/>
        <v>1</v>
      </c>
      <c r="Q38" s="4">
        <f t="shared" si="10"/>
        <v>0</v>
      </c>
      <c r="R38" s="19">
        <f>VLOOKUP(A38,'[1]Carcass '!$C$107:$E$399,3,FALSE)</f>
        <v>11.9</v>
      </c>
      <c r="S38" s="4">
        <f>VLOOKUP(A38,'[1]Carcass '!$C$107:$F$399,4,FALSE)</f>
        <v>3.8</v>
      </c>
      <c r="T38" s="4">
        <f>VLOOKUP(A38,'[1]Carcass '!$C$10:$G$397,5, FALSE)</f>
        <v>0.72</v>
      </c>
      <c r="U38" s="4">
        <f>VLOOKUP(A38,'[1]Carcass '!$C$107:$I$399,7,FALSE)</f>
        <v>430</v>
      </c>
      <c r="W38" s="95">
        <v>411</v>
      </c>
      <c r="X38" s="56">
        <v>3</v>
      </c>
      <c r="Y38" s="56">
        <v>8</v>
      </c>
      <c r="Z38" s="56" t="s">
        <v>22</v>
      </c>
      <c r="AA38" s="90">
        <f t="shared" si="11"/>
        <v>700.11111111111109</v>
      </c>
      <c r="AB38" s="90">
        <f t="shared" si="1"/>
        <v>876</v>
      </c>
      <c r="AC38" s="90">
        <f t="shared" si="2"/>
        <v>1390.4761904761904</v>
      </c>
      <c r="AD38" s="91">
        <f t="shared" si="3"/>
        <v>3.7932147217861507</v>
      </c>
      <c r="AE38" s="91">
        <f t="shared" si="19"/>
        <v>23.277453122155439</v>
      </c>
      <c r="AF38" s="92">
        <f t="shared" si="12"/>
        <v>0.16295660448246271</v>
      </c>
      <c r="AG38" s="92">
        <f t="shared" si="13"/>
        <v>6.1366030740264925</v>
      </c>
      <c r="AH38" s="56"/>
      <c r="AI38" s="91">
        <f t="shared" si="14"/>
        <v>13.64625</v>
      </c>
      <c r="AJ38" s="91">
        <f t="shared" si="15"/>
        <v>3.51</v>
      </c>
      <c r="AK38" s="91">
        <f t="shared" si="16"/>
        <v>0.65649999999999997</v>
      </c>
      <c r="AL38" s="93">
        <f t="shared" si="17"/>
        <v>597</v>
      </c>
    </row>
    <row r="39" spans="1:38" x14ac:dyDescent="0.2">
      <c r="A39" s="94">
        <v>4578</v>
      </c>
      <c r="B39" s="87">
        <f>VLOOKUP(A39,[1]Assign!$A:$D,4,FALSE)</f>
        <v>573</v>
      </c>
      <c r="C39" s="4">
        <v>1</v>
      </c>
      <c r="D39" s="4">
        <v>205</v>
      </c>
      <c r="E39" s="4" t="str">
        <f>VLOOKUP(A39,[1]Assign!$A:$I,9,FALSE)</f>
        <v xml:space="preserve">10% MDGS Constant </v>
      </c>
      <c r="F39" s="4">
        <f>VLOOKUP(A39,'[1]Carcass '!$C$105:$D$397,2,FALSE)</f>
        <v>878</v>
      </c>
      <c r="G39" s="4">
        <f t="shared" si="0"/>
        <v>1393.6507936507937</v>
      </c>
      <c r="H39" s="31">
        <f t="shared" si="4"/>
        <v>4.1869938451571107</v>
      </c>
      <c r="I39" s="4">
        <f>VLOOKUP(D39,'[1]DMO head'!$A$2:$D$49,4,FALSE)</f>
        <v>21.582642370891651</v>
      </c>
      <c r="J39" s="19">
        <f t="shared" si="5"/>
        <v>820.65079365079373</v>
      </c>
      <c r="L39" s="4" t="str">
        <f>VLOOKUP(A39,'[1]Carcass '!$C$10:$J$397,8,FALSE)</f>
        <v>A-</v>
      </c>
      <c r="M39" s="4">
        <f t="shared" si="6"/>
        <v>0</v>
      </c>
      <c r="N39" s="4">
        <f t="shared" si="7"/>
        <v>1</v>
      </c>
      <c r="O39" s="4">
        <f t="shared" si="8"/>
        <v>0</v>
      </c>
      <c r="P39" s="4">
        <f t="shared" si="9"/>
        <v>1</v>
      </c>
      <c r="Q39" s="4">
        <f t="shared" si="10"/>
        <v>0</v>
      </c>
      <c r="R39" s="19">
        <f>VLOOKUP(A39,'[1]Carcass '!$C$107:$E$399,3,FALSE)</f>
        <v>15.7</v>
      </c>
      <c r="S39" s="4">
        <f>VLOOKUP(A39,'[1]Carcass '!$C$107:$F$399,4,FALSE)</f>
        <v>3.1</v>
      </c>
      <c r="T39" s="4">
        <f>VLOOKUP(A39,'[1]Carcass '!$C$10:$G$397,5, FALSE)</f>
        <v>0.48</v>
      </c>
      <c r="U39" s="4">
        <f>VLOOKUP(A39,'[1]Carcass '!$C$107:$I$399,7,FALSE)</f>
        <v>428</v>
      </c>
      <c r="W39" s="95">
        <v>412</v>
      </c>
      <c r="X39" s="56">
        <v>3</v>
      </c>
      <c r="Y39" s="56">
        <v>8</v>
      </c>
      <c r="Z39" s="56" t="s">
        <v>21</v>
      </c>
      <c r="AA39" s="90">
        <f t="shared" si="11"/>
        <v>697</v>
      </c>
      <c r="AB39" s="90">
        <f t="shared" si="1"/>
        <v>834.125</v>
      </c>
      <c r="AC39" s="90">
        <f t="shared" si="2"/>
        <v>1324.0079365079364</v>
      </c>
      <c r="AD39" s="91">
        <f t="shared" si="3"/>
        <v>3.4450985522414097</v>
      </c>
      <c r="AE39" s="91">
        <f t="shared" si="19"/>
        <v>23.149248339458101</v>
      </c>
      <c r="AF39" s="92">
        <f t="shared" si="12"/>
        <v>0.14882118424420754</v>
      </c>
      <c r="AG39" s="92">
        <f t="shared" si="13"/>
        <v>6.7194734746839124</v>
      </c>
      <c r="AH39" s="56"/>
      <c r="AI39" s="91">
        <f t="shared" si="14"/>
        <v>13.308750000000003</v>
      </c>
      <c r="AJ39" s="91">
        <f t="shared" si="15"/>
        <v>3.3350000000000004</v>
      </c>
      <c r="AK39" s="91">
        <f t="shared" si="16"/>
        <v>0.59299999999999997</v>
      </c>
      <c r="AL39" s="93">
        <f t="shared" si="17"/>
        <v>500.28571428571428</v>
      </c>
    </row>
    <row r="40" spans="1:38" x14ac:dyDescent="0.2">
      <c r="A40" s="94">
        <v>4407</v>
      </c>
      <c r="B40" s="87">
        <f>VLOOKUP(A40,[1]Assign!$A:$D,4,FALSE)</f>
        <v>574</v>
      </c>
      <c r="C40" s="4">
        <v>1</v>
      </c>
      <c r="D40" s="4">
        <v>206</v>
      </c>
      <c r="E40" s="4" t="str">
        <f>VLOOKUP(A40,[1]Assign!$A:$I,9,FALSE)</f>
        <v>10% MDGS Variable</v>
      </c>
      <c r="F40" s="4">
        <f>VLOOKUP(A40,'[1]Carcass '!$C$105:$D$397,2,FALSE)</f>
        <v>828</v>
      </c>
      <c r="G40" s="4">
        <f t="shared" si="0"/>
        <v>1314.2857142857142</v>
      </c>
      <c r="H40" s="31">
        <f t="shared" si="4"/>
        <v>3.7769679300291541</v>
      </c>
      <c r="I40" s="4">
        <f>VLOOKUP(D40,'[1]DMO head'!$A$2:$D$49,4,FALSE)</f>
        <v>20.595227026767663</v>
      </c>
      <c r="J40" s="19">
        <f t="shared" si="5"/>
        <v>740.28571428571422</v>
      </c>
      <c r="L40" s="4" t="str">
        <f>VLOOKUP(A40,'[1]Carcass '!$C$10:$J$397,8,FALSE)</f>
        <v>C</v>
      </c>
      <c r="M40" s="4">
        <f t="shared" si="6"/>
        <v>0</v>
      </c>
      <c r="N40" s="4">
        <f t="shared" si="7"/>
        <v>0</v>
      </c>
      <c r="O40" s="4">
        <f t="shared" si="8"/>
        <v>0</v>
      </c>
      <c r="P40" s="4">
        <f t="shared" si="9"/>
        <v>0</v>
      </c>
      <c r="Q40" s="4">
        <f t="shared" si="10"/>
        <v>1</v>
      </c>
      <c r="R40" s="19">
        <f>VLOOKUP(A40,'[1]Carcass '!$C$107:$E$399,3,FALSE)</f>
        <v>14.5</v>
      </c>
      <c r="S40" s="4">
        <f>VLOOKUP(A40,'[1]Carcass '!$C$107:$F$399,4,FALSE)</f>
        <v>3.44</v>
      </c>
      <c r="T40" s="4">
        <f>VLOOKUP(A40,'[1]Carcass '!$C$10:$G$397,5, FALSE)</f>
        <v>0.66400000000000003</v>
      </c>
      <c r="U40" s="4">
        <f>VLOOKUP(A40,'[1]Carcass '!$C$107:$I$399,7,FALSE)</f>
        <v>714</v>
      </c>
      <c r="W40" s="95">
        <v>413</v>
      </c>
      <c r="X40" s="56">
        <v>3</v>
      </c>
      <c r="Y40" s="56">
        <v>8</v>
      </c>
      <c r="Z40" s="56" t="s">
        <v>25</v>
      </c>
      <c r="AA40" s="90">
        <f t="shared" si="11"/>
        <v>695.22222222222217</v>
      </c>
      <c r="AB40" s="90">
        <f t="shared" si="1"/>
        <v>870.77777777777783</v>
      </c>
      <c r="AC40" s="90">
        <f t="shared" si="2"/>
        <v>1382.1869488536156</v>
      </c>
      <c r="AD40" s="91">
        <f t="shared" si="3"/>
        <v>3.774531465007656</v>
      </c>
      <c r="AE40" s="91">
        <f t="shared" si="19"/>
        <v>24.396522174486932</v>
      </c>
      <c r="AF40" s="92">
        <f t="shared" si="12"/>
        <v>0.15471596475972033</v>
      </c>
      <c r="AG40" s="92">
        <f t="shared" si="13"/>
        <v>6.4634570941210709</v>
      </c>
      <c r="AH40" s="56"/>
      <c r="AI40" s="91">
        <f t="shared" si="14"/>
        <v>13.7575</v>
      </c>
      <c r="AJ40" s="91">
        <f t="shared" si="15"/>
        <v>3.6437499999999998</v>
      </c>
      <c r="AK40" s="91">
        <f t="shared" si="16"/>
        <v>0.71</v>
      </c>
      <c r="AL40" s="93">
        <f t="shared" si="17"/>
        <v>516.85714285714289</v>
      </c>
    </row>
    <row r="41" spans="1:38" ht="16" thickBot="1" x14ac:dyDescent="0.25">
      <c r="A41" s="94">
        <v>4341</v>
      </c>
      <c r="B41" s="87">
        <f>VLOOKUP(A41,[1]Assign!$A:$D,4,FALSE)</f>
        <v>579</v>
      </c>
      <c r="C41" s="4">
        <v>1</v>
      </c>
      <c r="D41" s="4">
        <v>207</v>
      </c>
      <c r="E41" s="4" t="str">
        <f>VLOOKUP(A41,[1]Assign!$A:$I,9,FALSE)</f>
        <v>Control</v>
      </c>
      <c r="F41" s="4">
        <f>VLOOKUP(A41,'[1]Carcass '!$C$105:$D$397,2,FALSE)</f>
        <v>814</v>
      </c>
      <c r="G41" s="4">
        <f t="shared" si="0"/>
        <v>1292.063492063492</v>
      </c>
      <c r="H41" s="31">
        <f t="shared" si="4"/>
        <v>3.6380790411402657</v>
      </c>
      <c r="I41" s="4">
        <f>VLOOKUP(D41,'[1]DMO head'!$A$2:$D$49,4,FALSE)</f>
        <v>21.495747185717072</v>
      </c>
      <c r="J41" s="19">
        <f t="shared" si="5"/>
        <v>713.06349206349205</v>
      </c>
      <c r="L41" s="4">
        <f>VLOOKUP(A41,'[1]Carcass '!$C$10:$J$397,8,FALSE)</f>
        <v>0</v>
      </c>
      <c r="M41" s="4">
        <f t="shared" si="6"/>
        <v>0</v>
      </c>
      <c r="N41" s="4">
        <f t="shared" si="7"/>
        <v>0</v>
      </c>
      <c r="O41" s="4">
        <f t="shared" si="8"/>
        <v>0</v>
      </c>
      <c r="P41" s="4">
        <f t="shared" si="9"/>
        <v>0</v>
      </c>
      <c r="Q41" s="4">
        <f t="shared" si="10"/>
        <v>0</v>
      </c>
      <c r="R41" s="19">
        <f>VLOOKUP(A41,'[1]Carcass '!$C$107:$E$399,3,FALSE)</f>
        <v>12.9</v>
      </c>
      <c r="S41" s="4">
        <f>VLOOKUP(A41,'[1]Carcass '!$C$107:$F$399,4,FALSE)</f>
        <v>3.4</v>
      </c>
      <c r="T41" s="4">
        <f>VLOOKUP(A41,'[1]Carcass '!$C$10:$G$397,5, FALSE)</f>
        <v>0.55999999999999994</v>
      </c>
      <c r="U41" s="4">
        <f>VLOOKUP(A41,'[1]Carcass '!$C$107:$I$399,7,FALSE)</f>
        <v>431</v>
      </c>
      <c r="W41" s="96">
        <v>414</v>
      </c>
      <c r="X41" s="97">
        <v>3</v>
      </c>
      <c r="Y41" s="97">
        <v>8</v>
      </c>
      <c r="Z41" s="97" t="s">
        <v>24</v>
      </c>
      <c r="AA41" s="98">
        <f t="shared" si="11"/>
        <v>695.2</v>
      </c>
      <c r="AB41" s="98">
        <f t="shared" si="1"/>
        <v>850.7</v>
      </c>
      <c r="AC41" s="98">
        <f t="shared" si="2"/>
        <v>1350.3174603174602</v>
      </c>
      <c r="AD41" s="99">
        <f t="shared" si="3"/>
        <v>3.5995464852607713</v>
      </c>
      <c r="AE41" s="99">
        <f t="shared" si="19"/>
        <v>24.652027832021869</v>
      </c>
      <c r="AF41" s="100">
        <f t="shared" si="12"/>
        <v>0.14601421472456408</v>
      </c>
      <c r="AG41" s="100">
        <f t="shared" si="13"/>
        <v>6.8486482763774994</v>
      </c>
      <c r="AH41" s="97"/>
      <c r="AI41" s="99">
        <f t="shared" si="14"/>
        <v>13.082222222222221</v>
      </c>
      <c r="AJ41" s="99">
        <f t="shared" si="15"/>
        <v>3.79</v>
      </c>
      <c r="AK41" s="99">
        <f t="shared" si="16"/>
        <v>0.79549999999999987</v>
      </c>
      <c r="AL41" s="101">
        <f t="shared" si="17"/>
        <v>630.125</v>
      </c>
    </row>
    <row r="42" spans="1:38" x14ac:dyDescent="0.2">
      <c r="A42" s="94">
        <v>4503</v>
      </c>
      <c r="B42" s="87">
        <f>VLOOKUP(A42,[1]Assign!$A:$D,4,FALSE)</f>
        <v>575</v>
      </c>
      <c r="C42" s="4">
        <v>1</v>
      </c>
      <c r="D42" s="4">
        <v>208</v>
      </c>
      <c r="E42" s="4" t="str">
        <f>VLOOKUP(A42,[1]Assign!$A:$I,9,FALSE)</f>
        <v>25% MDGS Variable</v>
      </c>
      <c r="F42" s="4">
        <f>VLOOKUP(A42,'[1]Carcass '!$C$105:$D$397,2,FALSE)</f>
        <v>828</v>
      </c>
      <c r="G42" s="4">
        <f t="shared" si="0"/>
        <v>1314.2857142857142</v>
      </c>
      <c r="H42" s="31">
        <f t="shared" si="4"/>
        <v>3.7718658892128278</v>
      </c>
      <c r="I42" s="4">
        <f>VLOOKUP(D42,'[1]DMO head'!$A$2:$D$49,4,FALSE)</f>
        <v>22.92374071584624</v>
      </c>
      <c r="J42" s="19">
        <f t="shared" si="5"/>
        <v>739.28571428571422</v>
      </c>
      <c r="L42" s="4">
        <f>VLOOKUP(A42,'[1]Carcass '!$C$10:$J$397,8,FALSE)</f>
        <v>0</v>
      </c>
      <c r="M42" s="4">
        <f t="shared" si="6"/>
        <v>0</v>
      </c>
      <c r="N42" s="4">
        <f t="shared" si="7"/>
        <v>0</v>
      </c>
      <c r="O42" s="4">
        <f t="shared" si="8"/>
        <v>0</v>
      </c>
      <c r="P42" s="4">
        <f t="shared" si="9"/>
        <v>0</v>
      </c>
      <c r="Q42" s="4">
        <f t="shared" si="10"/>
        <v>0</v>
      </c>
      <c r="R42" s="19">
        <f>VLOOKUP(A42,'[1]Carcass '!$C$107:$E$399,3,FALSE)</f>
        <v>15.1</v>
      </c>
      <c r="S42" s="4">
        <f>VLOOKUP(A42,'[1]Carcass '!$C$107:$F$399,4,FALSE)</f>
        <v>3.5</v>
      </c>
      <c r="T42" s="4">
        <f>VLOOKUP(A42,'[1]Carcass '!$C$10:$G$397,5, FALSE)</f>
        <v>0.61</v>
      </c>
      <c r="U42" s="4">
        <f>VLOOKUP(A42,'[1]Carcass '!$C$107:$I$399,7,FALSE)</f>
        <v>653</v>
      </c>
    </row>
    <row r="43" spans="1:38" x14ac:dyDescent="0.2">
      <c r="A43" s="94">
        <v>4518</v>
      </c>
      <c r="B43" s="87">
        <f>VLOOKUP(A43,[1]Assign!$A:$D,4,FALSE)</f>
        <v>569</v>
      </c>
      <c r="C43" s="4">
        <v>1</v>
      </c>
      <c r="D43" s="4">
        <v>209</v>
      </c>
      <c r="E43" s="4" t="str">
        <f>VLOOKUP(A43,[1]Assign!$A:$I,9,FALSE)</f>
        <v xml:space="preserve">25% MDGS Constant </v>
      </c>
      <c r="F43" s="4">
        <f>VLOOKUP(A43,'[1]Carcass '!$C$105:$D$397,2,FALSE)</f>
        <v>685</v>
      </c>
      <c r="G43" s="4">
        <f t="shared" si="0"/>
        <v>1087.3015873015872</v>
      </c>
      <c r="H43" s="31">
        <f t="shared" si="4"/>
        <v>2.6443958535795269</v>
      </c>
      <c r="I43" s="4">
        <f>VLOOKUP(D43,'[1]DMO head'!$A$2:$D$49,4,FALSE)</f>
        <v>21.32140895794052</v>
      </c>
      <c r="J43" s="19">
        <f t="shared" si="5"/>
        <v>518.30158730158723</v>
      </c>
      <c r="L43" s="4">
        <f>VLOOKUP(A43,'[1]Carcass '!$C$10:$J$397,8,FALSE)</f>
        <v>0</v>
      </c>
      <c r="M43" s="4">
        <f t="shared" si="6"/>
        <v>0</v>
      </c>
      <c r="N43" s="4">
        <f t="shared" si="7"/>
        <v>0</v>
      </c>
      <c r="O43" s="4">
        <f t="shared" si="8"/>
        <v>0</v>
      </c>
      <c r="P43" s="4">
        <f t="shared" si="9"/>
        <v>0</v>
      </c>
      <c r="Q43" s="4">
        <f t="shared" si="10"/>
        <v>0</v>
      </c>
      <c r="R43" s="19">
        <f>VLOOKUP(A43,'[1]Carcass '!$C$107:$E$399,3,FALSE)</f>
        <v>12.6</v>
      </c>
      <c r="S43" s="4">
        <f>VLOOKUP(A43,'[1]Carcass '!$C$107:$F$399,4,FALSE)</f>
        <v>3.4</v>
      </c>
      <c r="T43" s="4">
        <f>VLOOKUP(A43,'[1]Carcass '!$C$10:$G$397,5, FALSE)</f>
        <v>0.6</v>
      </c>
      <c r="U43" s="4">
        <f>VLOOKUP(A43,'[1]Carcass '!$C$107:$I$399,7,FALSE)</f>
        <v>466</v>
      </c>
    </row>
    <row r="44" spans="1:38" x14ac:dyDescent="0.2">
      <c r="A44" s="94">
        <v>4613</v>
      </c>
      <c r="B44" s="87">
        <f>VLOOKUP(A44,[1]Assign!$A:$D,4,FALSE)</f>
        <v>575.5</v>
      </c>
      <c r="C44" s="4">
        <v>1</v>
      </c>
      <c r="D44" s="4">
        <v>210</v>
      </c>
      <c r="E44" s="4" t="str">
        <f>VLOOKUP(A44,[1]Assign!$A:$I,9,FALSE)</f>
        <v xml:space="preserve">10% MDGS Constant </v>
      </c>
      <c r="F44" s="4">
        <f>VLOOKUP(A44,'[1]Carcass '!$C$105:$D$397,2,FALSE)</f>
        <v>869</v>
      </c>
      <c r="G44" s="4">
        <f t="shared" si="0"/>
        <v>1379.3650793650793</v>
      </c>
      <c r="H44" s="31">
        <f t="shared" si="4"/>
        <v>4.1013524457402006</v>
      </c>
      <c r="I44" s="4">
        <f>VLOOKUP(D44,'[1]DMO head'!$A$2:$D$49,4,FALSE)</f>
        <v>19.910351814073994</v>
      </c>
      <c r="J44" s="19">
        <f t="shared" si="5"/>
        <v>803.86507936507928</v>
      </c>
      <c r="L44" s="4">
        <f>VLOOKUP(A44,'[1]Carcass '!$C$10:$J$397,8,FALSE)</f>
        <v>0</v>
      </c>
      <c r="M44" s="4">
        <f t="shared" si="6"/>
        <v>0</v>
      </c>
      <c r="N44" s="4">
        <f t="shared" si="7"/>
        <v>0</v>
      </c>
      <c r="O44" s="4">
        <f t="shared" si="8"/>
        <v>0</v>
      </c>
      <c r="P44" s="4">
        <f t="shared" si="9"/>
        <v>0</v>
      </c>
      <c r="Q44" s="4">
        <f t="shared" si="10"/>
        <v>0</v>
      </c>
      <c r="R44" s="19">
        <f>VLOOKUP(A44,'[1]Carcass '!$C$107:$E$399,3,FALSE)</f>
        <v>15</v>
      </c>
      <c r="S44" s="4">
        <f>VLOOKUP(A44,'[1]Carcass '!$C$107:$F$399,4,FALSE)</f>
        <v>3.51</v>
      </c>
      <c r="T44" s="4">
        <f>VLOOKUP(A44,'[1]Carcass '!$C$10:$G$397,5, FALSE)</f>
        <v>0.68400000000000005</v>
      </c>
      <c r="U44" s="4">
        <f>VLOOKUP(A44,'[1]Carcass '!$C$107:$I$399,7,FALSE)</f>
        <v>476</v>
      </c>
    </row>
    <row r="45" spans="1:38" x14ac:dyDescent="0.2">
      <c r="A45" s="94">
        <v>4316</v>
      </c>
      <c r="B45" s="87">
        <f>VLOOKUP(A45,[1]Assign!$A:$D,4,FALSE)</f>
        <v>575</v>
      </c>
      <c r="C45" s="4">
        <v>1</v>
      </c>
      <c r="D45" s="4">
        <v>211</v>
      </c>
      <c r="E45" s="4" t="str">
        <f>VLOOKUP(A45,[1]Assign!$A:$I,9,FALSE)</f>
        <v>Control</v>
      </c>
      <c r="F45" s="4">
        <f>VLOOKUP(A45,'[1]Carcass '!$C$105:$D$397,2,FALSE)</f>
        <v>735</v>
      </c>
      <c r="G45" s="4">
        <f t="shared" si="0"/>
        <v>1166.6666666666667</v>
      </c>
      <c r="H45" s="31">
        <f t="shared" si="4"/>
        <v>3.0187074829931975</v>
      </c>
      <c r="I45" s="4">
        <f>VLOOKUP(D45,'[1]DMO head'!$A$2:$D$49,4,FALSE)</f>
        <v>19.728557757304522</v>
      </c>
      <c r="J45" s="19">
        <f t="shared" si="5"/>
        <v>591.66666666666674</v>
      </c>
      <c r="L45" s="4">
        <f>VLOOKUP(A45,'[1]Carcass '!$C$10:$J$397,8,FALSE)</f>
        <v>0</v>
      </c>
      <c r="M45" s="4">
        <f t="shared" si="6"/>
        <v>0</v>
      </c>
      <c r="N45" s="4">
        <f t="shared" si="7"/>
        <v>0</v>
      </c>
      <c r="O45" s="4">
        <f t="shared" si="8"/>
        <v>0</v>
      </c>
      <c r="P45" s="4">
        <f t="shared" si="9"/>
        <v>0</v>
      </c>
      <c r="Q45" s="4">
        <f t="shared" si="10"/>
        <v>0</v>
      </c>
      <c r="R45" s="19">
        <f>VLOOKUP(A45,'[1]Carcass '!$C$107:$E$399,3,FALSE)</f>
        <v>16.100000000000001</v>
      </c>
      <c r="S45" s="4">
        <f>VLOOKUP(A45,'[1]Carcass '!$C$107:$F$399,4,FALSE)</f>
        <v>2.9</v>
      </c>
      <c r="T45" s="4">
        <f>VLOOKUP(A45,'[1]Carcass '!$C$10:$G$397,5, FALSE)</f>
        <v>0.44</v>
      </c>
      <c r="U45" s="4">
        <f>VLOOKUP(A45,'[1]Carcass '!$C$107:$I$399,7,FALSE)</f>
        <v>463</v>
      </c>
    </row>
    <row r="46" spans="1:38" x14ac:dyDescent="0.2">
      <c r="A46" s="94">
        <v>4468</v>
      </c>
      <c r="B46" s="87">
        <f>VLOOKUP(A46,[1]Assign!$A:$D,4,FALSE)</f>
        <v>572</v>
      </c>
      <c r="C46" s="4">
        <v>1</v>
      </c>
      <c r="D46" s="4">
        <v>212</v>
      </c>
      <c r="E46" s="4" t="str">
        <f>VLOOKUP(A46,[1]Assign!$A:$I,9,FALSE)</f>
        <v>25% MDGS Variable</v>
      </c>
      <c r="F46" s="4">
        <f>VLOOKUP(A46,'[1]Carcass '!$C$105:$D$397,2,FALSE)</f>
        <v>917</v>
      </c>
      <c r="G46" s="4">
        <f t="shared" si="0"/>
        <v>1455.5555555555557</v>
      </c>
      <c r="H46" s="31">
        <f t="shared" si="4"/>
        <v>4.5079365079365088</v>
      </c>
      <c r="I46" s="4">
        <f>VLOOKUP(D46,'[1]DMO head'!$A$2:$D$49,4,FALSE)</f>
        <v>21.738935573736335</v>
      </c>
      <c r="J46" s="19">
        <f t="shared" si="5"/>
        <v>883.55555555555566</v>
      </c>
      <c r="L46" s="4" t="str">
        <f>VLOOKUP(A46,'[1]Carcass '!$C$10:$J$397,8,FALSE)</f>
        <v>A-</v>
      </c>
      <c r="M46" s="4">
        <f t="shared" si="6"/>
        <v>0</v>
      </c>
      <c r="N46" s="4">
        <f t="shared" si="7"/>
        <v>1</v>
      </c>
      <c r="O46" s="4">
        <f t="shared" si="8"/>
        <v>0</v>
      </c>
      <c r="P46" s="4">
        <f t="shared" si="9"/>
        <v>1</v>
      </c>
      <c r="Q46" s="4">
        <f t="shared" si="10"/>
        <v>0</v>
      </c>
      <c r="R46" s="19">
        <f>VLOOKUP(A46,'[1]Carcass '!$C$107:$E$399,3,FALSE)</f>
        <v>14.41</v>
      </c>
      <c r="S46" s="4">
        <f>VLOOKUP(A46,'[1]Carcass '!$C$107:$F$399,4,FALSE)</f>
        <v>3.84</v>
      </c>
      <c r="T46" s="4">
        <f>VLOOKUP(A46,'[1]Carcass '!$C$10:$G$397,5, FALSE)</f>
        <v>0.79600000000000004</v>
      </c>
      <c r="U46" s="4">
        <f>VLOOKUP(A46,'[1]Carcass '!$C$107:$I$399,7,FALSE)</f>
        <v>534</v>
      </c>
    </row>
    <row r="47" spans="1:38" x14ac:dyDescent="0.2">
      <c r="A47" s="94">
        <v>4399</v>
      </c>
      <c r="B47" s="87">
        <f>VLOOKUP(A47,[1]Assign!$A:$D,4,FALSE)</f>
        <v>572</v>
      </c>
      <c r="C47" s="4">
        <v>1</v>
      </c>
      <c r="D47" s="4">
        <v>213</v>
      </c>
      <c r="E47" s="4" t="str">
        <f>VLOOKUP(A47,[1]Assign!$A:$I,9,FALSE)</f>
        <v>10% MDGS Variable</v>
      </c>
      <c r="F47" s="4">
        <f>VLOOKUP(A47,'[1]Carcass '!$C$105:$D$397,2,FALSE)</f>
        <v>795</v>
      </c>
      <c r="G47" s="4">
        <f t="shared" si="0"/>
        <v>1261.9047619047619</v>
      </c>
      <c r="H47" s="31">
        <f t="shared" si="4"/>
        <v>3.5199222546161324</v>
      </c>
      <c r="I47" s="4">
        <f>VLOOKUP(D47,'[1]DMO head'!$A$2:$D$49,4,FALSE)</f>
        <v>22.955779082777788</v>
      </c>
      <c r="J47" s="19">
        <f t="shared" si="5"/>
        <v>689.90476190476193</v>
      </c>
      <c r="L47" s="4" t="str">
        <f>VLOOKUP(A47,'[1]Carcass '!$C$10:$J$397,8,FALSE)</f>
        <v>C</v>
      </c>
      <c r="M47" s="4">
        <f t="shared" si="6"/>
        <v>0</v>
      </c>
      <c r="N47" s="4">
        <f t="shared" si="7"/>
        <v>0</v>
      </c>
      <c r="O47" s="4">
        <f t="shared" si="8"/>
        <v>0</v>
      </c>
      <c r="P47" s="4">
        <f t="shared" si="9"/>
        <v>0</v>
      </c>
      <c r="Q47" s="4">
        <f t="shared" si="10"/>
        <v>1</v>
      </c>
      <c r="R47" s="19" t="str">
        <f>VLOOKUP(A47,'[1]Carcass '!$C$107:$E$399,3,FALSE)</f>
        <v>.</v>
      </c>
      <c r="S47" s="4" t="str">
        <f>VLOOKUP(A47,'[1]Carcass '!$C$107:$F$399,4,FALSE)</f>
        <v>.</v>
      </c>
    </row>
    <row r="48" spans="1:38" x14ac:dyDescent="0.2">
      <c r="A48" s="94">
        <v>4721</v>
      </c>
      <c r="B48" s="87">
        <f>VLOOKUP(A48,[1]Assign!$A:$D,4,FALSE)</f>
        <v>571</v>
      </c>
      <c r="C48" s="4">
        <v>1</v>
      </c>
      <c r="D48" s="4">
        <v>214</v>
      </c>
      <c r="E48" s="4" t="str">
        <f>VLOOKUP(A48,[1]Assign!$A:$I,9,FALSE)</f>
        <v xml:space="preserve">25% MDGS Constant </v>
      </c>
      <c r="F48" s="4">
        <f>VLOOKUP(A48,'[1]Carcass '!$C$105:$D$397,2,FALSE)</f>
        <v>898</v>
      </c>
      <c r="G48" s="4">
        <f t="shared" si="0"/>
        <v>1425.3968253968253</v>
      </c>
      <c r="H48" s="31">
        <f t="shared" si="4"/>
        <v>4.3591674765144148</v>
      </c>
      <c r="I48" s="4">
        <f>VLOOKUP(D48,'[1]DMO head'!$A$2:$D$49,4,FALSE)</f>
        <v>22.398784651854065</v>
      </c>
      <c r="J48" s="19">
        <f t="shared" si="5"/>
        <v>854.39682539682531</v>
      </c>
      <c r="L48" s="4">
        <f>VLOOKUP(A48,'[1]Carcass '!$C$10:$J$397,8,FALSE)</f>
        <v>0</v>
      </c>
      <c r="M48" s="4">
        <f t="shared" si="6"/>
        <v>0</v>
      </c>
      <c r="N48" s="4">
        <f t="shared" si="7"/>
        <v>0</v>
      </c>
      <c r="O48" s="4">
        <f t="shared" si="8"/>
        <v>0</v>
      </c>
      <c r="P48" s="4">
        <f t="shared" si="9"/>
        <v>0</v>
      </c>
      <c r="Q48" s="4">
        <f t="shared" si="10"/>
        <v>0</v>
      </c>
      <c r="R48" s="19">
        <f>VLOOKUP(A48,'[1]Carcass '!$C$107:$E$399,3,FALSE)</f>
        <v>13.5</v>
      </c>
      <c r="S48" s="4">
        <f>VLOOKUP(A48,'[1]Carcass '!$C$107:$F$399,4,FALSE)</f>
        <v>3.7</v>
      </c>
      <c r="T48" s="4">
        <f>VLOOKUP(A48,'[1]Carcass '!$C$10:$G$397,5, FALSE)</f>
        <v>0.73</v>
      </c>
      <c r="U48" s="4">
        <f>VLOOKUP(A48,'[1]Carcass '!$C$107:$I$399,7,FALSE)</f>
        <v>680</v>
      </c>
    </row>
    <row r="49" spans="1:21" x14ac:dyDescent="0.2">
      <c r="A49" s="94">
        <v>4348</v>
      </c>
      <c r="B49" s="87">
        <f>VLOOKUP(A49,[1]Assign!$A:$D,4,FALSE)</f>
        <v>570</v>
      </c>
      <c r="C49" s="4">
        <v>1</v>
      </c>
      <c r="D49" s="4">
        <v>205</v>
      </c>
      <c r="E49" s="4" t="str">
        <f>VLOOKUP(A49,[1]Assign!$A:$I,9,FALSE)</f>
        <v xml:space="preserve">10% MDGS Constant </v>
      </c>
      <c r="F49" s="4">
        <f>VLOOKUP(A49,'[1]Carcass '!$C$105:$D$397,2,FALSE)</f>
        <v>752</v>
      </c>
      <c r="G49" s="4">
        <f t="shared" si="0"/>
        <v>1193.6507936507937</v>
      </c>
      <c r="H49" s="31">
        <f t="shared" si="4"/>
        <v>3.1818918043407844</v>
      </c>
      <c r="I49" s="4">
        <f>VLOOKUP(D49,'[1]DMO head'!$A$2:$D$49,4,FALSE)</f>
        <v>21.582642370891651</v>
      </c>
      <c r="J49" s="19">
        <f t="shared" si="5"/>
        <v>623.65079365079373</v>
      </c>
      <c r="L49" s="4" t="str">
        <f>VLOOKUP(A49,'[1]Carcass '!$C$10:$J$397,8,FALSE)</f>
        <v>C</v>
      </c>
      <c r="M49" s="4">
        <f t="shared" si="6"/>
        <v>0</v>
      </c>
      <c r="N49" s="4">
        <f t="shared" si="7"/>
        <v>0</v>
      </c>
      <c r="O49" s="4">
        <f t="shared" si="8"/>
        <v>0</v>
      </c>
      <c r="P49" s="4">
        <f t="shared" si="9"/>
        <v>0</v>
      </c>
      <c r="Q49" s="4">
        <f t="shared" si="10"/>
        <v>1</v>
      </c>
      <c r="R49" s="19">
        <f>VLOOKUP(A49,'[1]Carcass '!$C$107:$E$399,3,FALSE)</f>
        <v>11.9</v>
      </c>
      <c r="S49" s="4">
        <f>VLOOKUP(A49,'[1]Carcass '!$C$107:$F$399,4,FALSE)</f>
        <v>3.2</v>
      </c>
      <c r="T49" s="4">
        <f>VLOOKUP(A49,'[1]Carcass '!$C$10:$G$397,5, FALSE)</f>
        <v>0.61599999999999999</v>
      </c>
      <c r="U49" s="4">
        <f>VLOOKUP(A49,'[1]Carcass '!$C$107:$I$399,7,FALSE)</f>
        <v>532</v>
      </c>
    </row>
    <row r="50" spans="1:21" x14ac:dyDescent="0.2">
      <c r="A50" s="94">
        <v>4424</v>
      </c>
      <c r="B50" s="87">
        <f>VLOOKUP(A50,[1]Assign!$A:$D,4,FALSE)</f>
        <v>579</v>
      </c>
      <c r="C50" s="4">
        <v>1</v>
      </c>
      <c r="D50" s="4">
        <v>206</v>
      </c>
      <c r="E50" s="4" t="str">
        <f>VLOOKUP(A50,[1]Assign!$A:$I,9,FALSE)</f>
        <v>10% MDGS Variable</v>
      </c>
      <c r="F50" s="4">
        <f>VLOOKUP(A50,'[1]Carcass '!$C$105:$D$397,2,FALSE)</f>
        <v>743</v>
      </c>
      <c r="G50" s="4">
        <f t="shared" si="0"/>
        <v>1179.3650793650793</v>
      </c>
      <c r="H50" s="31">
        <f t="shared" si="4"/>
        <v>3.0630871396177515</v>
      </c>
      <c r="I50" s="4">
        <f>VLOOKUP(D50,'[1]DMO head'!$A$2:$D$49,4,FALSE)</f>
        <v>20.595227026767663</v>
      </c>
      <c r="J50" s="19">
        <f t="shared" si="5"/>
        <v>600.36507936507928</v>
      </c>
      <c r="L50" s="4" t="str">
        <f>VLOOKUP(A50,'[1]Carcass '!$C$10:$J$397,8,FALSE)</f>
        <v>C</v>
      </c>
      <c r="M50" s="4">
        <f t="shared" si="6"/>
        <v>0</v>
      </c>
      <c r="N50" s="4">
        <f t="shared" si="7"/>
        <v>0</v>
      </c>
      <c r="O50" s="4">
        <f t="shared" si="8"/>
        <v>0</v>
      </c>
      <c r="P50" s="4">
        <f t="shared" si="9"/>
        <v>0</v>
      </c>
      <c r="Q50" s="4">
        <f t="shared" si="10"/>
        <v>1</v>
      </c>
      <c r="R50" s="19" t="str">
        <f>VLOOKUP(A50,'[1]Carcass '!$C$107:$E$399,3,FALSE)</f>
        <v>.</v>
      </c>
      <c r="S50" s="4" t="str">
        <f>VLOOKUP(A50,'[1]Carcass '!$C$107:$F$399,4,FALSE)</f>
        <v>.</v>
      </c>
    </row>
    <row r="51" spans="1:21" x14ac:dyDescent="0.2">
      <c r="A51" s="94">
        <v>4695</v>
      </c>
      <c r="B51" s="87">
        <f>VLOOKUP(A51,[1]Assign!$A:$D,4,FALSE)</f>
        <v>583</v>
      </c>
      <c r="C51" s="4">
        <v>1</v>
      </c>
      <c r="D51" s="4">
        <v>207</v>
      </c>
      <c r="E51" s="4" t="str">
        <f>VLOOKUP(A51,[1]Assign!$A:$I,9,FALSE)</f>
        <v>Control</v>
      </c>
      <c r="F51" s="4">
        <f>VLOOKUP(A51,'[1]Carcass '!$C$105:$D$397,2,FALSE)</f>
        <v>791</v>
      </c>
      <c r="G51" s="4">
        <f t="shared" si="0"/>
        <v>1255.5555555555557</v>
      </c>
      <c r="H51" s="31">
        <f t="shared" si="4"/>
        <v>3.4314058956916105</v>
      </c>
      <c r="I51" s="4">
        <f>VLOOKUP(D51,'[1]DMO head'!$A$2:$D$49,4,FALSE)</f>
        <v>21.495747185717072</v>
      </c>
      <c r="J51" s="19">
        <f t="shared" si="5"/>
        <v>672.55555555555566</v>
      </c>
      <c r="L51" s="4" t="str">
        <f>VLOOKUP(A51,'[1]Carcass '!$C$10:$J$397,8,FALSE)</f>
        <v>A+</v>
      </c>
      <c r="M51" s="4">
        <f t="shared" si="6"/>
        <v>0</v>
      </c>
      <c r="N51" s="4">
        <f t="shared" si="7"/>
        <v>0</v>
      </c>
      <c r="O51" s="4">
        <f t="shared" si="8"/>
        <v>1</v>
      </c>
      <c r="P51" s="4">
        <f t="shared" si="9"/>
        <v>1</v>
      </c>
      <c r="Q51" s="4">
        <f t="shared" si="10"/>
        <v>0</v>
      </c>
      <c r="R51" s="19">
        <f>VLOOKUP(A51,'[1]Carcass '!$C$107:$E$399,3,FALSE)</f>
        <v>14.7</v>
      </c>
      <c r="S51" s="4">
        <f>VLOOKUP(A51,'[1]Carcass '!$C$107:$F$399,4,FALSE)</f>
        <v>3</v>
      </c>
      <c r="T51" s="4">
        <f>VLOOKUP(A51,'[1]Carcass '!$C$10:$G$397,5, FALSE)</f>
        <v>0.54</v>
      </c>
      <c r="U51" s="4">
        <f>VLOOKUP(A51,'[1]Carcass '!$C$107:$I$399,7,FALSE)</f>
        <v>727</v>
      </c>
    </row>
    <row r="52" spans="1:21" x14ac:dyDescent="0.2">
      <c r="A52" s="94">
        <v>4463</v>
      </c>
      <c r="B52" s="87">
        <f>VLOOKUP(A52,[1]Assign!$A:$D,4,FALSE)</f>
        <v>582</v>
      </c>
      <c r="C52" s="4">
        <v>1</v>
      </c>
      <c r="D52" s="4">
        <v>208</v>
      </c>
      <c r="E52" s="4" t="str">
        <f>VLOOKUP(A52,[1]Assign!$A:$I,9,FALSE)</f>
        <v>25% MDGS Variable</v>
      </c>
      <c r="F52" s="4">
        <f>VLOOKUP(A52,'[1]Carcass '!$C$105:$D$397,2,FALSE)</f>
        <v>733</v>
      </c>
      <c r="G52" s="4">
        <f t="shared" si="0"/>
        <v>1163.4920634920634</v>
      </c>
      <c r="H52" s="31">
        <f t="shared" si="4"/>
        <v>2.966796242306446</v>
      </c>
      <c r="I52" s="4">
        <f>VLOOKUP(D52,'[1]DMO head'!$A$2:$D$49,4,FALSE)</f>
        <v>22.92374071584624</v>
      </c>
      <c r="J52" s="19">
        <f t="shared" si="5"/>
        <v>581.49206349206338</v>
      </c>
      <c r="L52" s="4" t="str">
        <f>VLOOKUP(A52,'[1]Carcass '!$C$10:$J$397,8,FALSE)</f>
        <v>A-</v>
      </c>
      <c r="M52" s="4">
        <f t="shared" si="6"/>
        <v>0</v>
      </c>
      <c r="N52" s="4">
        <f t="shared" si="7"/>
        <v>1</v>
      </c>
      <c r="O52" s="4">
        <f t="shared" si="8"/>
        <v>0</v>
      </c>
      <c r="P52" s="4">
        <f t="shared" si="9"/>
        <v>1</v>
      </c>
      <c r="Q52" s="4">
        <f t="shared" si="10"/>
        <v>0</v>
      </c>
      <c r="R52" s="19">
        <f>VLOOKUP(A52,'[1]Carcass '!$C$107:$E$399,3,FALSE)</f>
        <v>12.65</v>
      </c>
      <c r="S52" s="4">
        <f>VLOOKUP(A52,'[1]Carcass '!$C$107:$F$399,4,FALSE)</f>
        <v>3.2</v>
      </c>
      <c r="T52" s="4">
        <f>VLOOKUP(A52,'[1]Carcass '!$C$10:$G$397,5, FALSE)</f>
        <v>0.52</v>
      </c>
      <c r="U52" s="4">
        <f>VLOOKUP(A52,'[1]Carcass '!$C$107:$I$399,7,FALSE)</f>
        <v>571</v>
      </c>
    </row>
    <row r="53" spans="1:21" x14ac:dyDescent="0.2">
      <c r="A53" s="94">
        <v>4599</v>
      </c>
      <c r="B53" s="87">
        <f>VLOOKUP(A53,[1]Assign!$A:$D,4,FALSE)</f>
        <v>566</v>
      </c>
      <c r="C53" s="4">
        <v>1</v>
      </c>
      <c r="D53" s="4">
        <v>209</v>
      </c>
      <c r="E53" s="4" t="str">
        <f>VLOOKUP(A53,[1]Assign!$A:$I,9,FALSE)</f>
        <v xml:space="preserve">25% MDGS Constant </v>
      </c>
      <c r="F53" s="4">
        <f>VLOOKUP(A53,'[1]Carcass '!$C$105:$D$397,2,FALSE)</f>
        <v>802</v>
      </c>
      <c r="G53" s="4">
        <f t="shared" si="0"/>
        <v>1273.015873015873</v>
      </c>
      <c r="H53" s="31">
        <f t="shared" si="4"/>
        <v>3.6072238419177194</v>
      </c>
      <c r="I53" s="4">
        <f>VLOOKUP(D53,'[1]DMO head'!$A$2:$D$49,4,FALSE)</f>
        <v>21.32140895794052</v>
      </c>
      <c r="J53" s="19">
        <f t="shared" si="5"/>
        <v>707.01587301587301</v>
      </c>
      <c r="L53" s="4" t="str">
        <f>VLOOKUP(A53,'[1]Carcass '!$C$10:$J$397,8,FALSE)</f>
        <v>A-</v>
      </c>
      <c r="M53" s="4">
        <f t="shared" si="6"/>
        <v>0</v>
      </c>
      <c r="N53" s="4">
        <f t="shared" si="7"/>
        <v>1</v>
      </c>
      <c r="O53" s="4">
        <f t="shared" si="8"/>
        <v>0</v>
      </c>
      <c r="P53" s="4">
        <f t="shared" si="9"/>
        <v>1</v>
      </c>
      <c r="Q53" s="4">
        <f t="shared" si="10"/>
        <v>0</v>
      </c>
      <c r="R53" s="19">
        <f>VLOOKUP(A53,'[1]Carcass '!$C$107:$E$399,3,FALSE)</f>
        <v>13.1</v>
      </c>
      <c r="S53" s="4">
        <f>VLOOKUP(A53,'[1]Carcass '!$C$107:$F$399,4,FALSE)</f>
        <v>3.7</v>
      </c>
      <c r="T53" s="4">
        <f>VLOOKUP(A53,'[1]Carcass '!$C$10:$G$397,5, FALSE)</f>
        <v>0.73199999999999998</v>
      </c>
      <c r="U53" s="4">
        <f>VLOOKUP(A53,'[1]Carcass '!$C$107:$I$399,7,FALSE)</f>
        <v>482</v>
      </c>
    </row>
    <row r="54" spans="1:21" x14ac:dyDescent="0.2">
      <c r="A54" s="94">
        <v>4387</v>
      </c>
      <c r="B54" s="87">
        <f>VLOOKUP(A54,[1]Assign!$A:$D,4,FALSE)</f>
        <v>565</v>
      </c>
      <c r="C54" s="4">
        <v>1</v>
      </c>
      <c r="D54" s="4">
        <v>210</v>
      </c>
      <c r="E54" s="4" t="str">
        <f>VLOOKUP(A54,[1]Assign!$A:$I,9,FALSE)</f>
        <v xml:space="preserve">10% MDGS Constant </v>
      </c>
      <c r="F54" s="4">
        <f>VLOOKUP(A54,'[1]Carcass '!$C$105:$D$397,2,FALSE)</f>
        <v>745</v>
      </c>
      <c r="G54" s="4">
        <f t="shared" si="0"/>
        <v>1182.5396825396826</v>
      </c>
      <c r="H54" s="31">
        <f t="shared" si="4"/>
        <v>3.150712666018789</v>
      </c>
      <c r="I54" s="4">
        <f>VLOOKUP(D54,'[1]DMO head'!$A$2:$D$49,4,FALSE)</f>
        <v>19.910351814073994</v>
      </c>
      <c r="J54" s="19">
        <f t="shared" si="5"/>
        <v>617.53968253968264</v>
      </c>
      <c r="L54" s="4">
        <f>VLOOKUP(A54,'[1]Carcass '!$C$10:$J$397,8,FALSE)</f>
        <v>0</v>
      </c>
      <c r="M54" s="4">
        <f t="shared" si="6"/>
        <v>0</v>
      </c>
      <c r="N54" s="4">
        <f t="shared" si="7"/>
        <v>0</v>
      </c>
      <c r="O54" s="4">
        <f t="shared" si="8"/>
        <v>0</v>
      </c>
      <c r="P54" s="4">
        <f t="shared" si="9"/>
        <v>0</v>
      </c>
      <c r="Q54" s="4">
        <f t="shared" si="10"/>
        <v>0</v>
      </c>
      <c r="R54" s="19">
        <f>VLOOKUP(A54,'[1]Carcass '!$C$107:$E$399,3,FALSE)</f>
        <v>13.8</v>
      </c>
      <c r="S54" s="4">
        <f>VLOOKUP(A54,'[1]Carcass '!$C$107:$F$399,4,FALSE)</f>
        <v>3.34</v>
      </c>
      <c r="T54" s="4">
        <f>VLOOKUP(A54,'[1]Carcass '!$C$10:$G$397,5, FALSE)</f>
        <v>0.55000000000000004</v>
      </c>
      <c r="U54" s="4">
        <f>VLOOKUP(A54,'[1]Carcass '!$C$107:$I$399,7,FALSE)</f>
        <v>620</v>
      </c>
    </row>
    <row r="55" spans="1:21" x14ac:dyDescent="0.2">
      <c r="A55" s="94">
        <v>4383</v>
      </c>
      <c r="B55" s="87">
        <f>VLOOKUP(A55,[1]Assign!$A:$D,4,FALSE)</f>
        <v>572</v>
      </c>
      <c r="C55" s="4">
        <v>1</v>
      </c>
      <c r="D55" s="4">
        <v>211</v>
      </c>
      <c r="E55" s="4" t="str">
        <f>VLOOKUP(A55,[1]Assign!$A:$I,9,FALSE)</f>
        <v>Control</v>
      </c>
      <c r="F55" s="4">
        <f>VLOOKUP(A55,'[1]Carcass '!$C$105:$D$397,2,FALSE)</f>
        <v>730</v>
      </c>
      <c r="G55" s="4">
        <f t="shared" si="0"/>
        <v>1158.7301587301588</v>
      </c>
      <c r="H55" s="31">
        <f t="shared" si="4"/>
        <v>2.9935212180110145</v>
      </c>
      <c r="I55" s="4">
        <f>VLOOKUP(D55,'[1]DMO head'!$A$2:$D$49,4,FALSE)</f>
        <v>19.728557757304522</v>
      </c>
      <c r="J55" s="19">
        <f t="shared" si="5"/>
        <v>586.73015873015879</v>
      </c>
      <c r="L55" s="4">
        <f>VLOOKUP(A55,'[1]Carcass '!$C$10:$J$397,8,FALSE)</f>
        <v>0</v>
      </c>
      <c r="M55" s="4">
        <f t="shared" si="6"/>
        <v>0</v>
      </c>
      <c r="N55" s="4">
        <f t="shared" si="7"/>
        <v>0</v>
      </c>
      <c r="O55" s="4">
        <f t="shared" si="8"/>
        <v>0</v>
      </c>
      <c r="P55" s="4">
        <f t="shared" si="9"/>
        <v>0</v>
      </c>
      <c r="Q55" s="4">
        <f t="shared" si="10"/>
        <v>0</v>
      </c>
      <c r="R55" s="19">
        <f>VLOOKUP(A55,'[1]Carcass '!$C$107:$E$399,3,FALSE)</f>
        <v>12.7</v>
      </c>
      <c r="S55" s="4">
        <f>VLOOKUP(A55,'[1]Carcass '!$C$107:$F$399,4,FALSE)</f>
        <v>2.8</v>
      </c>
      <c r="T55" s="4">
        <f>VLOOKUP(A55,'[1]Carcass '!$C$10:$G$397,5, FALSE)</f>
        <v>0.33</v>
      </c>
      <c r="U55" s="4">
        <f>VLOOKUP(A55,'[1]Carcass '!$C$107:$I$399,7,FALSE)</f>
        <v>417</v>
      </c>
    </row>
    <row r="56" spans="1:21" x14ac:dyDescent="0.2">
      <c r="A56" s="94">
        <v>4498</v>
      </c>
      <c r="B56" s="87">
        <f>VLOOKUP(A56,[1]Assign!$A:$D,4,FALSE)</f>
        <v>575</v>
      </c>
      <c r="C56" s="4">
        <v>1</v>
      </c>
      <c r="D56" s="4">
        <v>212</v>
      </c>
      <c r="E56" s="4" t="str">
        <f>VLOOKUP(A56,[1]Assign!$A:$I,9,FALSE)</f>
        <v>25% MDGS Variable</v>
      </c>
      <c r="F56" s="4">
        <f>VLOOKUP(A56,'[1]Carcass '!$C$105:$D$397,2,FALSE)</f>
        <v>819</v>
      </c>
      <c r="G56" s="4">
        <f t="shared" si="0"/>
        <v>1300</v>
      </c>
      <c r="H56" s="31">
        <f t="shared" si="4"/>
        <v>3.6989795918367347</v>
      </c>
      <c r="I56" s="4">
        <f>VLOOKUP(D56,'[1]DMO head'!$A$2:$D$49,4,FALSE)</f>
        <v>21.738935573736335</v>
      </c>
      <c r="J56" s="19">
        <f t="shared" si="5"/>
        <v>725</v>
      </c>
      <c r="L56" s="4" t="str">
        <f>VLOOKUP(A56,'[1]Carcass '!$C$10:$J$397,8,FALSE)</f>
        <v>A-</v>
      </c>
      <c r="M56" s="4">
        <f t="shared" si="6"/>
        <v>0</v>
      </c>
      <c r="N56" s="4">
        <f t="shared" si="7"/>
        <v>1</v>
      </c>
      <c r="O56" s="4">
        <f t="shared" si="8"/>
        <v>0</v>
      </c>
      <c r="P56" s="4">
        <f t="shared" si="9"/>
        <v>1</v>
      </c>
      <c r="Q56" s="4">
        <f t="shared" si="10"/>
        <v>0</v>
      </c>
      <c r="R56" s="19">
        <f>VLOOKUP(A56,'[1]Carcass '!$C$107:$E$399,3,FALSE)</f>
        <v>12.2</v>
      </c>
      <c r="S56" s="4">
        <f>VLOOKUP(A56,'[1]Carcass '!$C$107:$F$399,4,FALSE)</f>
        <v>3.44</v>
      </c>
      <c r="T56" s="4">
        <f>VLOOKUP(A56,'[1]Carcass '!$C$10:$G$397,5, FALSE)</f>
        <v>0.63</v>
      </c>
      <c r="U56" s="4">
        <f>VLOOKUP(A56,'[1]Carcass '!$C$107:$I$399,7,FALSE)</f>
        <v>468</v>
      </c>
    </row>
    <row r="57" spans="1:21" x14ac:dyDescent="0.2">
      <c r="A57" s="94">
        <v>4565</v>
      </c>
      <c r="B57" s="87">
        <f>VLOOKUP(A57,[1]Assign!$A:$D,4,FALSE)</f>
        <v>574</v>
      </c>
      <c r="C57" s="4">
        <v>1</v>
      </c>
      <c r="D57" s="4">
        <v>213</v>
      </c>
      <c r="E57" s="4" t="str">
        <f>VLOOKUP(A57,[1]Assign!$A:$I,9,FALSE)</f>
        <v>10% MDGS Variable</v>
      </c>
      <c r="F57" s="4">
        <f>VLOOKUP(A57,'[1]Carcass '!$C$105:$D$397,2,FALSE)</f>
        <v>786</v>
      </c>
      <c r="G57" s="4">
        <f t="shared" si="0"/>
        <v>1247.6190476190477</v>
      </c>
      <c r="H57" s="31">
        <f t="shared" si="4"/>
        <v>3.4368318756073863</v>
      </c>
      <c r="I57" s="4">
        <f>VLOOKUP(D57,'[1]DMO head'!$A$2:$D$49,4,FALSE)</f>
        <v>22.955779082777788</v>
      </c>
      <c r="J57" s="19">
        <f t="shared" si="5"/>
        <v>673.61904761904771</v>
      </c>
      <c r="L57" s="4">
        <f>VLOOKUP(A57,'[1]Carcass '!$C$10:$J$397,8,FALSE)</f>
        <v>0</v>
      </c>
      <c r="M57" s="4">
        <f t="shared" si="6"/>
        <v>0</v>
      </c>
      <c r="N57" s="4">
        <f t="shared" si="7"/>
        <v>0</v>
      </c>
      <c r="O57" s="4">
        <f t="shared" si="8"/>
        <v>0</v>
      </c>
      <c r="P57" s="4">
        <f t="shared" si="9"/>
        <v>0</v>
      </c>
      <c r="Q57" s="4">
        <f t="shared" si="10"/>
        <v>0</v>
      </c>
      <c r="R57" s="19">
        <f>VLOOKUP(A57,'[1]Carcass '!$C$107:$E$399,3,FALSE)</f>
        <v>12.8</v>
      </c>
      <c r="S57" s="4">
        <f>VLOOKUP(A57,'[1]Carcass '!$C$107:$F$399,4,FALSE)</f>
        <v>3.4</v>
      </c>
      <c r="T57" s="4">
        <f>VLOOKUP(A57,'[1]Carcass '!$C$10:$G$397,5, FALSE)</f>
        <v>0.56999999999999995</v>
      </c>
      <c r="U57" s="4">
        <f>VLOOKUP(A57,'[1]Carcass '!$C$107:$I$399,7,FALSE)</f>
        <v>788</v>
      </c>
    </row>
    <row r="58" spans="1:21" x14ac:dyDescent="0.2">
      <c r="A58" s="94">
        <v>4583</v>
      </c>
      <c r="B58" s="87">
        <f>VLOOKUP(A58,[1]Assign!$A:$D,4,FALSE)</f>
        <v>576</v>
      </c>
      <c r="C58" s="4">
        <v>1</v>
      </c>
      <c r="D58" s="4">
        <v>214</v>
      </c>
      <c r="E58" s="4" t="str">
        <f>VLOOKUP(A58,[1]Assign!$A:$I,9,FALSE)</f>
        <v xml:space="preserve">25% MDGS Constant </v>
      </c>
      <c r="F58" s="4">
        <f>VLOOKUP(A58,'[1]Carcass '!$C$105:$D$397,2,FALSE)</f>
        <v>870</v>
      </c>
      <c r="G58" s="4">
        <f t="shared" si="0"/>
        <v>1380.952380952381</v>
      </c>
      <c r="H58" s="31">
        <f t="shared" si="4"/>
        <v>4.1068999028182702</v>
      </c>
      <c r="I58" s="4">
        <f>VLOOKUP(D58,'[1]DMO head'!$A$2:$D$49,4,FALSE)</f>
        <v>22.398784651854065</v>
      </c>
      <c r="J58" s="19">
        <f t="shared" si="5"/>
        <v>804.95238095238096</v>
      </c>
      <c r="L58" s="4">
        <f>VLOOKUP(A58,'[1]Carcass '!$C$10:$J$397,8,FALSE)</f>
        <v>0</v>
      </c>
      <c r="M58" s="4">
        <f t="shared" si="6"/>
        <v>0</v>
      </c>
      <c r="N58" s="4">
        <f t="shared" si="7"/>
        <v>0</v>
      </c>
      <c r="O58" s="4">
        <f t="shared" si="8"/>
        <v>0</v>
      </c>
      <c r="P58" s="4">
        <f t="shared" si="9"/>
        <v>0</v>
      </c>
      <c r="Q58" s="4">
        <f t="shared" si="10"/>
        <v>0</v>
      </c>
      <c r="R58" s="19">
        <f>VLOOKUP(A58,'[1]Carcass '!$C$107:$E$399,3,FALSE)</f>
        <v>15.3</v>
      </c>
      <c r="S58" s="4">
        <f>VLOOKUP(A58,'[1]Carcass '!$C$107:$F$399,4,FALSE)</f>
        <v>2.8</v>
      </c>
      <c r="T58" s="4">
        <f>VLOOKUP(A58,'[1]Carcass '!$C$10:$G$397,5, FALSE)</f>
        <v>0.52</v>
      </c>
      <c r="U58" s="4">
        <f>VLOOKUP(A58,'[1]Carcass '!$C$107:$I$399,7,FALSE)</f>
        <v>516</v>
      </c>
    </row>
    <row r="59" spans="1:21" x14ac:dyDescent="0.2">
      <c r="A59" s="94">
        <v>4395</v>
      </c>
      <c r="B59" s="87">
        <f>VLOOKUP(A59,[1]Assign!$A:$D,4,FALSE)</f>
        <v>575</v>
      </c>
      <c r="C59" s="4">
        <v>1</v>
      </c>
      <c r="D59" s="4">
        <v>205</v>
      </c>
      <c r="E59" s="4" t="str">
        <f>VLOOKUP(A59,[1]Assign!$A:$I,9,FALSE)</f>
        <v xml:space="preserve">10% MDGS Constant </v>
      </c>
      <c r="F59" s="4">
        <f>VLOOKUP(A59,'[1]Carcass '!$C$105:$D$397,2,FALSE)</f>
        <v>774</v>
      </c>
      <c r="G59" s="4">
        <f t="shared" si="0"/>
        <v>1228.5714285714287</v>
      </c>
      <c r="H59" s="31">
        <f t="shared" si="4"/>
        <v>3.3345481049562689</v>
      </c>
      <c r="I59" s="4">
        <f>VLOOKUP(D59,'[1]DMO head'!$A$2:$D$49,4,FALSE)</f>
        <v>21.582642370891651</v>
      </c>
      <c r="J59" s="19">
        <f t="shared" si="5"/>
        <v>653.57142857142867</v>
      </c>
      <c r="L59" s="4">
        <f>VLOOKUP(A59,'[1]Carcass '!$C$10:$J$397,8,FALSE)</f>
        <v>0</v>
      </c>
      <c r="M59" s="4">
        <f t="shared" si="6"/>
        <v>0</v>
      </c>
      <c r="N59" s="4">
        <f t="shared" si="7"/>
        <v>0</v>
      </c>
      <c r="O59" s="4">
        <f t="shared" si="8"/>
        <v>0</v>
      </c>
      <c r="P59" s="4">
        <f t="shared" si="9"/>
        <v>0</v>
      </c>
      <c r="Q59" s="4">
        <f t="shared" si="10"/>
        <v>0</v>
      </c>
      <c r="R59" s="19">
        <f>VLOOKUP(A59,'[1]Carcass '!$C$107:$E$399,3,FALSE)</f>
        <v>14.4</v>
      </c>
      <c r="S59" s="4">
        <f>VLOOKUP(A59,'[1]Carcass '!$C$107:$F$399,4,FALSE)</f>
        <v>2.8</v>
      </c>
      <c r="T59" s="4">
        <f>VLOOKUP(A59,'[1]Carcass '!$C$10:$G$397,5, FALSE)</f>
        <v>0.39600000000000002</v>
      </c>
    </row>
    <row r="60" spans="1:21" x14ac:dyDescent="0.2">
      <c r="A60" s="94">
        <v>4535</v>
      </c>
      <c r="B60" s="87">
        <f>VLOOKUP(A60,[1]Assign!$A:$D,4,FALSE)</f>
        <v>587</v>
      </c>
      <c r="C60" s="4">
        <v>1</v>
      </c>
      <c r="D60" s="4">
        <v>206</v>
      </c>
      <c r="E60" s="4" t="str">
        <f>VLOOKUP(A60,[1]Assign!$A:$I,9,FALSE)</f>
        <v>10% MDGS Variable</v>
      </c>
      <c r="F60" s="4">
        <f>VLOOKUP(A60,'[1]Carcass '!$C$105:$D$397,2,FALSE)</f>
        <v>825</v>
      </c>
      <c r="G60" s="4">
        <f t="shared" si="0"/>
        <v>1309.5238095238094</v>
      </c>
      <c r="H60" s="31">
        <f t="shared" si="4"/>
        <v>3.686345966958211</v>
      </c>
      <c r="I60" s="4">
        <f>VLOOKUP(D60,'[1]DMO head'!$A$2:$D$49,4,FALSE)</f>
        <v>20.595227026767663</v>
      </c>
      <c r="J60" s="19">
        <f t="shared" si="5"/>
        <v>722.5238095238094</v>
      </c>
      <c r="L60" s="4">
        <f>VLOOKUP(A60,'[1]Carcass '!$C$10:$J$397,8,FALSE)</f>
        <v>0</v>
      </c>
      <c r="M60" s="4">
        <f t="shared" si="6"/>
        <v>0</v>
      </c>
      <c r="N60" s="4">
        <f t="shared" si="7"/>
        <v>0</v>
      </c>
      <c r="O60" s="4">
        <f t="shared" si="8"/>
        <v>0</v>
      </c>
      <c r="P60" s="4">
        <f t="shared" si="9"/>
        <v>0</v>
      </c>
      <c r="Q60" s="4">
        <f t="shared" si="10"/>
        <v>0</v>
      </c>
      <c r="R60" s="19">
        <f>VLOOKUP(A60,'[1]Carcass '!$C$107:$E$399,3,FALSE)</f>
        <v>15.9</v>
      </c>
      <c r="S60" s="4">
        <f>VLOOKUP(A60,'[1]Carcass '!$C$107:$F$399,4,FALSE)</f>
        <v>2.8</v>
      </c>
      <c r="T60" s="4">
        <f>VLOOKUP(A60,'[1]Carcass '!$C$10:$G$397,5, FALSE)</f>
        <v>0.53</v>
      </c>
      <c r="U60" s="4">
        <f>VLOOKUP(A60,'[1]Carcass '!$C$107:$I$399,7,FALSE)</f>
        <v>415</v>
      </c>
    </row>
    <row r="61" spans="1:21" x14ac:dyDescent="0.2">
      <c r="A61" s="94">
        <v>4549</v>
      </c>
      <c r="B61" s="87">
        <f>VLOOKUP(A61,[1]Assign!$A:$D,4,FALSE)</f>
        <v>580</v>
      </c>
      <c r="C61" s="4">
        <v>1</v>
      </c>
      <c r="D61" s="4">
        <v>207</v>
      </c>
      <c r="E61" s="4" t="str">
        <f>VLOOKUP(A61,[1]Assign!$A:$I,9,FALSE)</f>
        <v>Control</v>
      </c>
      <c r="F61" s="4">
        <f>VLOOKUP(A61,'[1]Carcass '!$C$105:$D$397,2,FALSE)</f>
        <v>771</v>
      </c>
      <c r="G61" s="4">
        <f t="shared" si="0"/>
        <v>1223.8095238095239</v>
      </c>
      <c r="H61" s="31">
        <f t="shared" si="4"/>
        <v>3.2847424684159381</v>
      </c>
      <c r="I61" s="4">
        <f>VLOOKUP(D61,'[1]DMO head'!$A$2:$D$49,4,FALSE)</f>
        <v>21.495747185717072</v>
      </c>
      <c r="J61" s="19">
        <f t="shared" si="5"/>
        <v>643.80952380952385</v>
      </c>
      <c r="L61" s="4">
        <f>VLOOKUP(A61,'[1]Carcass '!$C$10:$J$397,8,FALSE)</f>
        <v>0</v>
      </c>
      <c r="M61" s="4">
        <f t="shared" si="6"/>
        <v>0</v>
      </c>
      <c r="N61" s="4">
        <f t="shared" si="7"/>
        <v>0</v>
      </c>
      <c r="O61" s="4">
        <f t="shared" si="8"/>
        <v>0</v>
      </c>
      <c r="P61" s="4">
        <f t="shared" si="9"/>
        <v>0</v>
      </c>
      <c r="Q61" s="4">
        <f t="shared" si="10"/>
        <v>0</v>
      </c>
      <c r="R61" s="19">
        <f>VLOOKUP(A61,'[1]Carcass '!$C$107:$E$399,3,FALSE)</f>
        <v>15.27</v>
      </c>
      <c r="S61" s="4">
        <f>VLOOKUP(A61,'[1]Carcass '!$C$107:$F$399,4,FALSE)</f>
        <v>3.31</v>
      </c>
    </row>
    <row r="62" spans="1:21" x14ac:dyDescent="0.2">
      <c r="A62" s="94">
        <v>4736</v>
      </c>
      <c r="B62" s="87">
        <f>VLOOKUP(A62,[1]Assign!$A:$D,4,FALSE)</f>
        <v>581</v>
      </c>
      <c r="C62" s="4">
        <v>1</v>
      </c>
      <c r="D62" s="4">
        <v>208</v>
      </c>
      <c r="E62" s="4" t="str">
        <f>VLOOKUP(A62,[1]Assign!$A:$I,9,FALSE)</f>
        <v>25% MDGS Variable</v>
      </c>
      <c r="F62" s="4">
        <f>VLOOKUP(A62,'[1]Carcass '!$C$105:$D$397,2,FALSE)</f>
        <v>795</v>
      </c>
      <c r="G62" s="4">
        <f t="shared" si="0"/>
        <v>1261.9047619047619</v>
      </c>
      <c r="H62" s="31">
        <f t="shared" si="4"/>
        <v>3.4740038872691934</v>
      </c>
      <c r="I62" s="4">
        <f>VLOOKUP(D62,'[1]DMO head'!$A$2:$D$49,4,FALSE)</f>
        <v>22.92374071584624</v>
      </c>
      <c r="J62" s="19">
        <f t="shared" si="5"/>
        <v>680.90476190476193</v>
      </c>
      <c r="L62" s="4" t="str">
        <f>VLOOKUP(A62,'[1]Carcass '!$C$10:$J$397,8,FALSE)</f>
        <v>A-</v>
      </c>
      <c r="M62" s="4">
        <f t="shared" si="6"/>
        <v>0</v>
      </c>
      <c r="N62" s="4">
        <f t="shared" si="7"/>
        <v>1</v>
      </c>
      <c r="O62" s="4">
        <f t="shared" si="8"/>
        <v>0</v>
      </c>
      <c r="P62" s="4">
        <f t="shared" si="9"/>
        <v>1</v>
      </c>
      <c r="Q62" s="4">
        <f t="shared" si="10"/>
        <v>0</v>
      </c>
      <c r="R62" s="19">
        <f>VLOOKUP(A62,'[1]Carcass '!$C$107:$E$399,3,FALSE)</f>
        <v>13.4</v>
      </c>
      <c r="S62" s="4">
        <f>VLOOKUP(A62,'[1]Carcass '!$C$107:$F$399,4,FALSE)</f>
        <v>3.2</v>
      </c>
      <c r="T62" s="4">
        <f>VLOOKUP(A62,'[1]Carcass '!$C$10:$G$397,5, FALSE)</f>
        <v>0.52</v>
      </c>
      <c r="U62" s="4">
        <f>VLOOKUP(A62,'[1]Carcass '!$C$107:$I$399,7,FALSE)</f>
        <v>481</v>
      </c>
    </row>
    <row r="63" spans="1:21" x14ac:dyDescent="0.2">
      <c r="A63" s="94">
        <v>4415</v>
      </c>
      <c r="B63" s="87">
        <f>VLOOKUP(A63,[1]Assign!$A:$D,4,FALSE)</f>
        <v>582</v>
      </c>
      <c r="C63" s="4">
        <v>1</v>
      </c>
      <c r="D63" s="4">
        <v>209</v>
      </c>
      <c r="E63" s="4" t="str">
        <f>VLOOKUP(A63,[1]Assign!$A:$I,9,FALSE)</f>
        <v xml:space="preserve">25% MDGS Constant </v>
      </c>
      <c r="F63" s="4">
        <f>VLOOKUP(A63,'[1]Carcass '!$C$105:$D$397,2,FALSE)</f>
        <v>806</v>
      </c>
      <c r="G63" s="4">
        <f t="shared" si="0"/>
        <v>1279.3650793650793</v>
      </c>
      <c r="H63" s="31">
        <f t="shared" si="4"/>
        <v>3.5579850988014248</v>
      </c>
      <c r="I63" s="4">
        <f>VLOOKUP(D63,'[1]DMO head'!$A$2:$D$49,4,FALSE)</f>
        <v>21.32140895794052</v>
      </c>
      <c r="J63" s="19">
        <f t="shared" si="5"/>
        <v>697.36507936507928</v>
      </c>
      <c r="L63" s="4" t="str">
        <f>VLOOKUP(A63,'[1]Carcass '!$C$10:$J$397,8,FALSE)</f>
        <v>C</v>
      </c>
      <c r="M63" s="4">
        <f t="shared" si="6"/>
        <v>0</v>
      </c>
      <c r="N63" s="4">
        <f t="shared" si="7"/>
        <v>0</v>
      </c>
      <c r="O63" s="4">
        <f t="shared" si="8"/>
        <v>0</v>
      </c>
      <c r="P63" s="4">
        <f t="shared" si="9"/>
        <v>0</v>
      </c>
      <c r="Q63" s="4">
        <f t="shared" si="10"/>
        <v>1</v>
      </c>
      <c r="R63" s="19">
        <f>VLOOKUP(A63,'[1]Carcass '!$C$107:$E$399,3,FALSE)</f>
        <v>13.83</v>
      </c>
      <c r="S63" s="4">
        <f>VLOOKUP(A63,'[1]Carcass '!$C$107:$F$399,4,FALSE)</f>
        <v>3.8</v>
      </c>
      <c r="T63" s="4">
        <f>VLOOKUP(A63,'[1]Carcass '!$C$10:$G$397,5, FALSE)</f>
        <v>0.8</v>
      </c>
      <c r="U63" s="4">
        <f>VLOOKUP(A63,'[1]Carcass '!$C$107:$I$399,7,FALSE)</f>
        <v>479</v>
      </c>
    </row>
    <row r="64" spans="1:21" x14ac:dyDescent="0.2">
      <c r="A64" s="94">
        <v>4339</v>
      </c>
      <c r="B64" s="87">
        <f>VLOOKUP(A64,[1]Assign!$A:$D,4,FALSE)</f>
        <v>582</v>
      </c>
      <c r="C64" s="4">
        <v>1</v>
      </c>
      <c r="D64" s="4">
        <v>210</v>
      </c>
      <c r="E64" s="4" t="str">
        <f>VLOOKUP(A64,[1]Assign!$A:$I,9,FALSE)</f>
        <v xml:space="preserve">10% MDGS Constant </v>
      </c>
      <c r="F64" s="4">
        <f>VLOOKUP(A64,'[1]Carcass '!$C$105:$D$397,2,FALSE)</f>
        <v>767</v>
      </c>
      <c r="G64" s="4">
        <f t="shared" si="0"/>
        <v>1217.4603174603174</v>
      </c>
      <c r="H64" s="31">
        <f t="shared" si="4"/>
        <v>3.2421444768383538</v>
      </c>
      <c r="I64" s="4">
        <f>VLOOKUP(D64,'[1]DMO head'!$A$2:$D$49,4,FALSE)</f>
        <v>19.910351814073994</v>
      </c>
      <c r="J64" s="19">
        <f t="shared" si="5"/>
        <v>635.46031746031736</v>
      </c>
      <c r="L64" s="4">
        <f>VLOOKUP(A64,'[1]Carcass '!$C$10:$J$397,8,FALSE)</f>
        <v>0</v>
      </c>
      <c r="M64" s="4">
        <f t="shared" si="6"/>
        <v>0</v>
      </c>
      <c r="N64" s="4">
        <f t="shared" si="7"/>
        <v>0</v>
      </c>
      <c r="O64" s="4">
        <f t="shared" si="8"/>
        <v>0</v>
      </c>
      <c r="P64" s="4">
        <f t="shared" si="9"/>
        <v>0</v>
      </c>
      <c r="Q64" s="4">
        <f t="shared" si="10"/>
        <v>0</v>
      </c>
      <c r="R64" s="19">
        <f>VLOOKUP(A64,'[1]Carcass '!$C$107:$E$399,3,FALSE)</f>
        <v>11.4</v>
      </c>
      <c r="S64" s="4">
        <f>VLOOKUP(A64,'[1]Carcass '!$C$107:$F$399,4,FALSE)</f>
        <v>3.82</v>
      </c>
      <c r="T64" s="4">
        <f>VLOOKUP(A64,'[1]Carcass '!$C$10:$G$397,5, FALSE)</f>
        <v>1.048</v>
      </c>
      <c r="U64" s="4">
        <f>VLOOKUP(A64,'[1]Carcass '!$C$107:$I$399,7,FALSE)</f>
        <v>741</v>
      </c>
    </row>
    <row r="65" spans="1:21" x14ac:dyDescent="0.2">
      <c r="A65" s="94">
        <v>4660</v>
      </c>
      <c r="B65" s="87">
        <f>VLOOKUP(A65,[1]Assign!$A:$D,4,FALSE)</f>
        <v>581</v>
      </c>
      <c r="C65" s="4">
        <v>1</v>
      </c>
      <c r="D65" s="4">
        <v>211</v>
      </c>
      <c r="E65" s="4" t="str">
        <f>VLOOKUP(A65,[1]Assign!$A:$I,9,FALSE)</f>
        <v>Control</v>
      </c>
      <c r="F65" s="4">
        <f>VLOOKUP(A65,'[1]Carcass '!$C$105:$D$397,2,FALSE)</f>
        <v>760</v>
      </c>
      <c r="G65" s="4">
        <f t="shared" si="0"/>
        <v>1206.3492063492063</v>
      </c>
      <c r="H65" s="31">
        <f t="shared" si="4"/>
        <v>3.1905571752510524</v>
      </c>
      <c r="I65" s="4">
        <f>VLOOKUP(D65,'[1]DMO head'!$A$2:$D$49,4,FALSE)</f>
        <v>19.728557757304522</v>
      </c>
      <c r="J65" s="19">
        <f t="shared" si="5"/>
        <v>625.34920634920627</v>
      </c>
      <c r="L65" s="4">
        <f>VLOOKUP(A65,'[1]Carcass '!$C$10:$J$397,8,FALSE)</f>
        <v>0</v>
      </c>
      <c r="M65" s="4">
        <f t="shared" si="6"/>
        <v>0</v>
      </c>
      <c r="N65" s="4">
        <f t="shared" si="7"/>
        <v>0</v>
      </c>
      <c r="O65" s="4">
        <f t="shared" si="8"/>
        <v>0</v>
      </c>
      <c r="P65" s="4">
        <f t="shared" si="9"/>
        <v>0</v>
      </c>
      <c r="Q65" s="4">
        <f t="shared" si="10"/>
        <v>0</v>
      </c>
      <c r="R65" s="19">
        <f>VLOOKUP(A65,'[1]Carcass '!$C$107:$E$399,3,FALSE)</f>
        <v>13.83</v>
      </c>
      <c r="S65" s="4">
        <f>VLOOKUP(A65,'[1]Carcass '!$C$107:$F$399,4,FALSE)</f>
        <v>3.4</v>
      </c>
      <c r="T65" s="4">
        <f>VLOOKUP(A65,'[1]Carcass '!$C$10:$G$397,5, FALSE)</f>
        <v>0.63200000000000001</v>
      </c>
      <c r="U65" s="4">
        <f>VLOOKUP(A65,'[1]Carcass '!$C$107:$I$399,7,FALSE)</f>
        <v>639</v>
      </c>
    </row>
    <row r="66" spans="1:21" x14ac:dyDescent="0.2">
      <c r="A66" s="94">
        <v>4444</v>
      </c>
      <c r="B66" s="87">
        <f>VLOOKUP(A66,[1]Assign!$A:$D,4,FALSE)</f>
        <v>578</v>
      </c>
      <c r="C66" s="4">
        <v>1</v>
      </c>
      <c r="D66" s="4">
        <v>212</v>
      </c>
      <c r="E66" s="4" t="str">
        <f>VLOOKUP(A66,[1]Assign!$A:$I,9,FALSE)</f>
        <v>25% MDGS Variable</v>
      </c>
      <c r="F66" s="4">
        <f>VLOOKUP(A66,'[1]Carcass '!$C$105:$D$397,2,FALSE)</f>
        <v>799</v>
      </c>
      <c r="G66" s="4">
        <f t="shared" ref="G66:G129" si="20">F66/0.63</f>
        <v>1268.2539682539682</v>
      </c>
      <c r="H66" s="31">
        <f t="shared" si="4"/>
        <v>3.521703919663103</v>
      </c>
      <c r="I66" s="4">
        <f>VLOOKUP(D66,'[1]DMO head'!$A$2:$D$49,4,FALSE)</f>
        <v>21.738935573736335</v>
      </c>
      <c r="J66" s="19">
        <f t="shared" si="5"/>
        <v>690.2539682539682</v>
      </c>
      <c r="L66" s="4">
        <f>VLOOKUP(A66,'[1]Carcass '!$C$10:$J$397,8,FALSE)</f>
        <v>0</v>
      </c>
      <c r="M66" s="4">
        <f t="shared" si="6"/>
        <v>0</v>
      </c>
      <c r="N66" s="4">
        <f t="shared" si="7"/>
        <v>0</v>
      </c>
      <c r="O66" s="4">
        <f t="shared" si="8"/>
        <v>0</v>
      </c>
      <c r="P66" s="4">
        <f t="shared" si="9"/>
        <v>0</v>
      </c>
      <c r="Q66" s="4">
        <f t="shared" si="10"/>
        <v>0</v>
      </c>
      <c r="R66" s="19">
        <f>VLOOKUP(A66,'[1]Carcass '!$C$107:$E$399,3,FALSE)</f>
        <v>15.3</v>
      </c>
      <c r="S66" s="4">
        <f>VLOOKUP(A66,'[1]Carcass '!$C$107:$F$399,4,FALSE)</f>
        <v>3.3</v>
      </c>
      <c r="T66" s="4">
        <f>VLOOKUP(A66,'[1]Carcass '!$C$10:$G$397,5, FALSE)</f>
        <v>0.51</v>
      </c>
      <c r="U66" s="4">
        <f>VLOOKUP(A66,'[1]Carcass '!$C$107:$I$399,7,FALSE)</f>
        <v>394</v>
      </c>
    </row>
    <row r="67" spans="1:21" x14ac:dyDescent="0.2">
      <c r="A67" s="94">
        <v>4659</v>
      </c>
      <c r="B67" s="87">
        <f>VLOOKUP(A67,[1]Assign!$A:$D,4,FALSE)</f>
        <v>583</v>
      </c>
      <c r="C67" s="4">
        <v>1</v>
      </c>
      <c r="D67" s="4">
        <v>213</v>
      </c>
      <c r="E67" s="4" t="str">
        <f>VLOOKUP(A67,[1]Assign!$A:$I,9,FALSE)</f>
        <v>10% MDGS Variable</v>
      </c>
      <c r="F67" s="4">
        <f>VLOOKUP(A67,'[1]Carcass '!$C$105:$D$397,2,FALSE)</f>
        <v>948</v>
      </c>
      <c r="G67" s="4">
        <f t="shared" si="20"/>
        <v>1504.7619047619048</v>
      </c>
      <c r="H67" s="31">
        <f t="shared" ref="H67:H130" si="21">(G67-B67)/196</f>
        <v>4.7028668610301265</v>
      </c>
      <c r="I67" s="4">
        <f>VLOOKUP(D67,'[1]DMO head'!$A$2:$D$49,4,FALSE)</f>
        <v>22.955779082777788</v>
      </c>
      <c r="J67" s="19">
        <f t="shared" ref="J67:J130" si="22">G67-B67</f>
        <v>921.76190476190482</v>
      </c>
      <c r="L67" s="4">
        <f>VLOOKUP(A67,'[1]Carcass '!$C$10:$J$397,8,FALSE)</f>
        <v>0</v>
      </c>
      <c r="M67" s="4">
        <f t="shared" ref="M67:M130" si="23">COUNTIF(L67,"A")</f>
        <v>0</v>
      </c>
      <c r="N67" s="4">
        <f t="shared" ref="N67:N130" si="24">COUNTIF(L67,"A-")</f>
        <v>0</v>
      </c>
      <c r="O67" s="4">
        <f t="shared" ref="O67:O130" si="25">COUNTIF(L67,"A+")</f>
        <v>0</v>
      </c>
      <c r="P67" s="4">
        <f t="shared" ref="P67:P130" si="26">SUM(M67:O67)</f>
        <v>0</v>
      </c>
      <c r="Q67" s="4">
        <f t="shared" ref="Q67:Q130" si="27">COUNTIF(L67,"C")</f>
        <v>0</v>
      </c>
      <c r="R67" s="19">
        <f>VLOOKUP(A67,'[1]Carcass '!$C$107:$E$399,3,FALSE)</f>
        <v>13.25</v>
      </c>
      <c r="S67" s="4">
        <f>VLOOKUP(A67,'[1]Carcass '!$C$107:$F$399,4,FALSE)</f>
        <v>4.3</v>
      </c>
      <c r="T67" s="4">
        <f>VLOOKUP(A67,'[1]Carcass '!$C$10:$G$397,5, FALSE)</f>
        <v>0.95</v>
      </c>
      <c r="U67" s="4">
        <f>VLOOKUP(A67,'[1]Carcass '!$C$107:$I$399,7,FALSE)</f>
        <v>788</v>
      </c>
    </row>
    <row r="68" spans="1:21" x14ac:dyDescent="0.2">
      <c r="A68" s="94">
        <v>4345</v>
      </c>
      <c r="B68" s="87">
        <f>VLOOKUP(A68,[1]Assign!$A:$D,4,FALSE)</f>
        <v>582</v>
      </c>
      <c r="C68" s="4">
        <v>1</v>
      </c>
      <c r="D68" s="4">
        <v>214</v>
      </c>
      <c r="E68" s="4" t="str">
        <f>VLOOKUP(A68,[1]Assign!$A:$I,9,FALSE)</f>
        <v xml:space="preserve">25% MDGS Constant </v>
      </c>
      <c r="F68" s="4">
        <f>VLOOKUP(A68,'[1]Carcass '!$C$105:$D$397,2,FALSE)</f>
        <v>731</v>
      </c>
      <c r="G68" s="4">
        <f t="shared" si="20"/>
        <v>1160.3174603174602</v>
      </c>
      <c r="H68" s="31">
        <f t="shared" si="21"/>
        <v>2.950599287333981</v>
      </c>
      <c r="I68" s="4">
        <f>VLOOKUP(D68,'[1]DMO head'!$A$2:$D$49,4,FALSE)</f>
        <v>22.398784651854065</v>
      </c>
      <c r="J68" s="19">
        <f t="shared" si="22"/>
        <v>578.31746031746025</v>
      </c>
      <c r="L68" s="4" t="str">
        <f>VLOOKUP(A68,'[1]Carcass '!$C$10:$J$397,8,FALSE)</f>
        <v>A-</v>
      </c>
      <c r="M68" s="4">
        <f t="shared" si="23"/>
        <v>0</v>
      </c>
      <c r="N68" s="4">
        <f t="shared" si="24"/>
        <v>1</v>
      </c>
      <c r="O68" s="4">
        <f t="shared" si="25"/>
        <v>0</v>
      </c>
      <c r="P68" s="4">
        <f t="shared" si="26"/>
        <v>1</v>
      </c>
      <c r="Q68" s="4">
        <f t="shared" si="27"/>
        <v>0</v>
      </c>
      <c r="R68" s="19">
        <f>VLOOKUP(A68,'[1]Carcass '!$C$107:$E$399,3,FALSE)</f>
        <v>12.2</v>
      </c>
      <c r="S68" s="4">
        <f>VLOOKUP(A68,'[1]Carcass '!$C$107:$F$399,4,FALSE)</f>
        <v>3.6</v>
      </c>
      <c r="T68" s="4">
        <f>VLOOKUP(A68,'[1]Carcass '!$C$10:$G$397,5, FALSE)</f>
        <v>0.71</v>
      </c>
      <c r="U68" s="4">
        <f>VLOOKUP(A68,'[1]Carcass '!$C$107:$I$399,7,FALSE)</f>
        <v>552</v>
      </c>
    </row>
    <row r="69" spans="1:21" x14ac:dyDescent="0.2">
      <c r="A69" s="94">
        <v>4545</v>
      </c>
      <c r="B69" s="87">
        <f>VLOOKUP(A69,[1]Assign!$A:$D,4,FALSE)</f>
        <v>579</v>
      </c>
      <c r="C69" s="4">
        <v>1</v>
      </c>
      <c r="D69" s="4">
        <v>205</v>
      </c>
      <c r="E69" s="4" t="str">
        <f>VLOOKUP(A69,[1]Assign!$A:$I,9,FALSE)</f>
        <v xml:space="preserve">10% MDGS Constant </v>
      </c>
      <c r="F69" s="4">
        <f>VLOOKUP(A69,'[1]Carcass '!$C$105:$D$397,2,FALSE)</f>
        <v>732</v>
      </c>
      <c r="G69" s="4">
        <f t="shared" si="20"/>
        <v>1161.9047619047619</v>
      </c>
      <c r="H69" s="31">
        <f t="shared" si="21"/>
        <v>2.9740038872691934</v>
      </c>
      <c r="I69" s="4">
        <f>VLOOKUP(D69,'[1]DMO head'!$A$2:$D$49,4,FALSE)</f>
        <v>21.582642370891651</v>
      </c>
      <c r="J69" s="19">
        <f t="shared" si="22"/>
        <v>582.90476190476193</v>
      </c>
      <c r="L69" s="4">
        <f>VLOOKUP(A69,'[1]Carcass '!$C$10:$J$397,8,FALSE)</f>
        <v>0</v>
      </c>
      <c r="M69" s="4">
        <f t="shared" si="23"/>
        <v>0</v>
      </c>
      <c r="N69" s="4">
        <f t="shared" si="24"/>
        <v>0</v>
      </c>
      <c r="O69" s="4">
        <f t="shared" si="25"/>
        <v>0</v>
      </c>
      <c r="P69" s="4">
        <f t="shared" si="26"/>
        <v>0</v>
      </c>
      <c r="Q69" s="4">
        <f t="shared" si="27"/>
        <v>0</v>
      </c>
      <c r="R69" s="19">
        <f>VLOOKUP(A69,'[1]Carcass '!$C$107:$E$399,3,FALSE)</f>
        <v>12.4</v>
      </c>
      <c r="S69" s="4">
        <f>VLOOKUP(A69,'[1]Carcass '!$C$107:$F$399,4,FALSE)</f>
        <v>3.05</v>
      </c>
      <c r="T69" s="4">
        <f>VLOOKUP(A69,'[1]Carcass '!$C$10:$G$397,5, FALSE)</f>
        <v>0.6</v>
      </c>
      <c r="U69" s="4">
        <f>VLOOKUP(A69,'[1]Carcass '!$C$107:$I$399,7,FALSE)</f>
        <v>451</v>
      </c>
    </row>
    <row r="70" spans="1:21" x14ac:dyDescent="0.2">
      <c r="A70" s="94">
        <v>4638</v>
      </c>
      <c r="B70" s="87">
        <f>VLOOKUP(A70,[1]Assign!$A:$D,4,FALSE)</f>
        <v>587</v>
      </c>
      <c r="C70" s="4">
        <v>1</v>
      </c>
      <c r="D70" s="4">
        <v>206</v>
      </c>
      <c r="E70" s="4" t="str">
        <f>VLOOKUP(A70,[1]Assign!$A:$I,9,FALSE)</f>
        <v>10% MDGS Variable</v>
      </c>
      <c r="F70" s="4">
        <f>VLOOKUP(A70,'[1]Carcass '!$C$105:$D$397,2,FALSE)</f>
        <v>760</v>
      </c>
      <c r="G70" s="4">
        <f t="shared" si="20"/>
        <v>1206.3492063492063</v>
      </c>
      <c r="H70" s="31">
        <f t="shared" si="21"/>
        <v>3.1599449303530931</v>
      </c>
      <c r="I70" s="4">
        <f>VLOOKUP(D70,'[1]DMO head'!$A$2:$D$49,4,FALSE)</f>
        <v>20.595227026767663</v>
      </c>
      <c r="J70" s="19">
        <f t="shared" si="22"/>
        <v>619.34920634920627</v>
      </c>
      <c r="L70" s="4" t="str">
        <f>VLOOKUP(A70,'[1]Carcass '!$C$10:$J$397,8,FALSE)</f>
        <v>A+</v>
      </c>
      <c r="M70" s="4">
        <f t="shared" si="23"/>
        <v>0</v>
      </c>
      <c r="N70" s="4">
        <f t="shared" si="24"/>
        <v>0</v>
      </c>
      <c r="O70" s="4">
        <f t="shared" si="25"/>
        <v>1</v>
      </c>
      <c r="P70" s="4">
        <f t="shared" si="26"/>
        <v>1</v>
      </c>
      <c r="Q70" s="4">
        <f t="shared" si="27"/>
        <v>0</v>
      </c>
      <c r="R70" s="19">
        <f>VLOOKUP(A70,'[1]Carcass '!$C$107:$E$399,3,FALSE)</f>
        <v>14.9</v>
      </c>
      <c r="S70" s="4">
        <f>VLOOKUP(A70,'[1]Carcass '!$C$107:$F$399,4,FALSE)</f>
        <v>3.05</v>
      </c>
      <c r="T70" s="4">
        <f>VLOOKUP(A70,'[1]Carcass '!$C$10:$G$397,5, FALSE)</f>
        <v>0.47799999999999998</v>
      </c>
      <c r="U70" s="4">
        <f>VLOOKUP(A70,'[1]Carcass '!$C$107:$I$399,7,FALSE)</f>
        <v>460</v>
      </c>
    </row>
    <row r="71" spans="1:21" x14ac:dyDescent="0.2">
      <c r="A71" s="94">
        <v>4710</v>
      </c>
      <c r="B71" s="87">
        <f>VLOOKUP(A71,[1]Assign!$A:$D,4,FALSE)</f>
        <v>588</v>
      </c>
      <c r="C71" s="4">
        <v>1</v>
      </c>
      <c r="D71" s="4">
        <v>207</v>
      </c>
      <c r="E71" s="4" t="str">
        <f>VLOOKUP(A71,[1]Assign!$A:$I,9,FALSE)</f>
        <v>Control</v>
      </c>
      <c r="F71" s="4">
        <f>VLOOKUP(A71,'[1]Carcass '!$C$105:$D$397,2,FALSE)</f>
        <v>845</v>
      </c>
      <c r="G71" s="4">
        <f t="shared" si="20"/>
        <v>1341.2698412698412</v>
      </c>
      <c r="H71" s="31">
        <f t="shared" si="21"/>
        <v>3.8432134758665368</v>
      </c>
      <c r="I71" s="4">
        <f>VLOOKUP(D71,'[1]DMO head'!$A$2:$D$49,4,FALSE)</f>
        <v>21.495747185717072</v>
      </c>
      <c r="J71" s="19">
        <f t="shared" si="22"/>
        <v>753.26984126984121</v>
      </c>
      <c r="L71" s="4">
        <f>VLOOKUP(A71,'[1]Carcass '!$C$10:$J$397,8,FALSE)</f>
        <v>0</v>
      </c>
      <c r="M71" s="4">
        <f t="shared" si="23"/>
        <v>0</v>
      </c>
      <c r="N71" s="4">
        <f t="shared" si="24"/>
        <v>0</v>
      </c>
      <c r="O71" s="4">
        <f t="shared" si="25"/>
        <v>0</v>
      </c>
      <c r="P71" s="4">
        <f t="shared" si="26"/>
        <v>0</v>
      </c>
      <c r="Q71" s="4">
        <f t="shared" si="27"/>
        <v>0</v>
      </c>
      <c r="R71" s="19">
        <f>VLOOKUP(A71,'[1]Carcass '!$C$107:$E$399,3,FALSE)</f>
        <v>10.85</v>
      </c>
      <c r="S71" s="4">
        <f>VLOOKUP(A71,'[1]Carcass '!$C$107:$F$399,4,FALSE)</f>
        <v>3.64</v>
      </c>
      <c r="T71" s="4">
        <f>VLOOKUP(A71,'[1]Carcass '!$C$10:$G$397,5, FALSE)</f>
        <v>0.68</v>
      </c>
      <c r="U71" s="4">
        <f>VLOOKUP(A71,'[1]Carcass '!$C$107:$I$399,7,FALSE)</f>
        <v>758</v>
      </c>
    </row>
    <row r="72" spans="1:21" x14ac:dyDescent="0.2">
      <c r="A72" s="94">
        <v>4602</v>
      </c>
      <c r="B72" s="87">
        <f>VLOOKUP(A72,[1]Assign!$A:$D,4,FALSE)</f>
        <v>582</v>
      </c>
      <c r="C72" s="4">
        <v>1</v>
      </c>
      <c r="D72" s="4">
        <v>208</v>
      </c>
      <c r="E72" s="4" t="str">
        <f>VLOOKUP(A72,[1]Assign!$A:$I,9,FALSE)</f>
        <v>25% MDGS Variable</v>
      </c>
      <c r="F72" s="4">
        <f>VLOOKUP(A72,'[1]Carcass '!$C$105:$D$397,2,FALSE)</f>
        <v>814</v>
      </c>
      <c r="G72" s="4">
        <f t="shared" si="20"/>
        <v>1292.063492063492</v>
      </c>
      <c r="H72" s="31">
        <f t="shared" si="21"/>
        <v>3.622772918691286</v>
      </c>
      <c r="I72" s="4">
        <f>VLOOKUP(D72,'[1]DMO head'!$A$2:$D$49,4,FALSE)</f>
        <v>22.92374071584624</v>
      </c>
      <c r="J72" s="19">
        <f t="shared" si="22"/>
        <v>710.06349206349205</v>
      </c>
      <c r="L72" s="4" t="str">
        <f>VLOOKUP(A72,'[1]Carcass '!$C$10:$J$397,8,FALSE)</f>
        <v>A-</v>
      </c>
      <c r="M72" s="4">
        <f t="shared" si="23"/>
        <v>0</v>
      </c>
      <c r="N72" s="4">
        <f t="shared" si="24"/>
        <v>1</v>
      </c>
      <c r="O72" s="4">
        <f t="shared" si="25"/>
        <v>0</v>
      </c>
      <c r="P72" s="4">
        <f t="shared" si="26"/>
        <v>1</v>
      </c>
      <c r="Q72" s="4">
        <f t="shared" si="27"/>
        <v>0</v>
      </c>
      <c r="R72" s="19">
        <f>VLOOKUP(A72,'[1]Carcass '!$C$107:$E$399,3,FALSE)</f>
        <v>16</v>
      </c>
      <c r="S72" s="4">
        <f>VLOOKUP(A72,'[1]Carcass '!$C$107:$F$399,4,FALSE)</f>
        <v>3</v>
      </c>
      <c r="T72" s="4">
        <f>VLOOKUP(A72,'[1]Carcass '!$C$10:$G$397,5, FALSE)</f>
        <v>0.68</v>
      </c>
      <c r="U72" s="4">
        <f>VLOOKUP(A72,'[1]Carcass '!$C$107:$I$399,7,FALSE)</f>
        <v>540</v>
      </c>
    </row>
    <row r="73" spans="1:21" x14ac:dyDescent="0.2">
      <c r="A73" s="94">
        <v>4682</v>
      </c>
      <c r="B73" s="87">
        <f>VLOOKUP(A73,[1]Assign!$A:$D,4,FALSE)</f>
        <v>591</v>
      </c>
      <c r="C73" s="4">
        <v>1</v>
      </c>
      <c r="D73" s="4">
        <v>209</v>
      </c>
      <c r="E73" s="4" t="str">
        <f>VLOOKUP(A73,[1]Assign!$A:$I,9,FALSE)</f>
        <v xml:space="preserve">25% MDGS Constant </v>
      </c>
      <c r="F73" s="4">
        <f>VLOOKUP(A73,'[1]Carcass '!$C$105:$D$397,2,FALSE)</f>
        <v>827</v>
      </c>
      <c r="G73" s="4">
        <f t="shared" si="20"/>
        <v>1312.6984126984128</v>
      </c>
      <c r="H73" s="31">
        <f t="shared" si="21"/>
        <v>3.6821347586653714</v>
      </c>
      <c r="I73" s="4">
        <f>VLOOKUP(D73,'[1]DMO head'!$A$2:$D$49,4,FALSE)</f>
        <v>21.32140895794052</v>
      </c>
      <c r="J73" s="19">
        <f t="shared" si="22"/>
        <v>721.69841269841277</v>
      </c>
      <c r="L73" s="4" t="str">
        <f>VLOOKUP(A73,'[1]Carcass '!$C$10:$J$397,8,FALSE)</f>
        <v>A-</v>
      </c>
      <c r="M73" s="4">
        <f t="shared" si="23"/>
        <v>0</v>
      </c>
      <c r="N73" s="4">
        <f t="shared" si="24"/>
        <v>1</v>
      </c>
      <c r="O73" s="4">
        <f t="shared" si="25"/>
        <v>0</v>
      </c>
      <c r="P73" s="4">
        <f t="shared" si="26"/>
        <v>1</v>
      </c>
      <c r="Q73" s="4">
        <f t="shared" si="27"/>
        <v>0</v>
      </c>
      <c r="R73" s="19">
        <f>VLOOKUP(A73,'[1]Carcass '!$C$107:$E$399,3,FALSE)</f>
        <v>13.64</v>
      </c>
      <c r="S73" s="4">
        <f>VLOOKUP(A73,'[1]Carcass '!$C$107:$F$399,4,FALSE)</f>
        <v>3.2</v>
      </c>
      <c r="T73" s="4">
        <f>VLOOKUP(A73,'[1]Carcass '!$C$10:$G$397,5, FALSE)</f>
        <v>0.52</v>
      </c>
      <c r="U73" s="4">
        <f>VLOOKUP(A73,'[1]Carcass '!$C$107:$I$399,7,FALSE)</f>
        <v>642</v>
      </c>
    </row>
    <row r="74" spans="1:21" x14ac:dyDescent="0.2">
      <c r="A74" s="94">
        <v>4760</v>
      </c>
      <c r="B74" s="87">
        <f>VLOOKUP(A74,[1]Assign!$A:$D,4,FALSE)</f>
        <v>588</v>
      </c>
      <c r="C74" s="4">
        <v>1</v>
      </c>
      <c r="D74" s="4">
        <v>210</v>
      </c>
      <c r="E74" s="4" t="str">
        <f>VLOOKUP(A74,[1]Assign!$A:$I,9,FALSE)</f>
        <v xml:space="preserve">10% MDGS Constant </v>
      </c>
      <c r="F74" s="4">
        <f>VLOOKUP(A74,'[1]Carcass '!$C$105:$D$397,2,FALSE)</f>
        <v>815</v>
      </c>
      <c r="G74" s="4">
        <f t="shared" si="20"/>
        <v>1293.6507936507937</v>
      </c>
      <c r="H74" s="31">
        <f t="shared" si="21"/>
        <v>3.6002591512795599</v>
      </c>
      <c r="I74" s="4">
        <f>VLOOKUP(D74,'[1]DMO head'!$A$2:$D$49,4,FALSE)</f>
        <v>19.910351814073994</v>
      </c>
      <c r="J74" s="19">
        <f t="shared" si="22"/>
        <v>705.65079365079373</v>
      </c>
      <c r="L74" s="4">
        <f>VLOOKUP(A74,'[1]Carcass '!$C$10:$J$397,8,FALSE)</f>
        <v>0</v>
      </c>
      <c r="M74" s="4">
        <f t="shared" si="23"/>
        <v>0</v>
      </c>
      <c r="N74" s="4">
        <f t="shared" si="24"/>
        <v>0</v>
      </c>
      <c r="O74" s="4">
        <f t="shared" si="25"/>
        <v>0</v>
      </c>
      <c r="P74" s="4">
        <f t="shared" si="26"/>
        <v>0</v>
      </c>
      <c r="Q74" s="4">
        <f t="shared" si="27"/>
        <v>0</v>
      </c>
      <c r="R74" s="19">
        <f>VLOOKUP(A74,'[1]Carcass '!$C$107:$E$399,3,FALSE)</f>
        <v>13</v>
      </c>
      <c r="S74" s="4">
        <f>VLOOKUP(A74,'[1]Carcass '!$C$107:$F$399,4,FALSE)</f>
        <v>3.74</v>
      </c>
      <c r="T74" s="4">
        <f>VLOOKUP(A74,'[1]Carcass '!$C$10:$G$397,5, FALSE)</f>
        <v>0.80400000000000005</v>
      </c>
      <c r="U74" s="4">
        <f>VLOOKUP(A74,'[1]Carcass '!$C$107:$I$399,7,FALSE)</f>
        <v>522</v>
      </c>
    </row>
    <row r="75" spans="1:21" x14ac:dyDescent="0.2">
      <c r="A75" s="94">
        <v>4311</v>
      </c>
      <c r="B75" s="87">
        <f>VLOOKUP(A75,[1]Assign!$A:$D,4,FALSE)</f>
        <v>591</v>
      </c>
      <c r="C75" s="4">
        <v>1</v>
      </c>
      <c r="D75" s="4">
        <v>211</v>
      </c>
      <c r="E75" s="4" t="str">
        <f>VLOOKUP(A75,[1]Assign!$A:$I,9,FALSE)</f>
        <v>Control</v>
      </c>
      <c r="F75" s="4">
        <f>VLOOKUP(A75,'[1]Carcass '!$C$105:$D$397,2,FALSE)</f>
        <v>817</v>
      </c>
      <c r="G75" s="4">
        <f t="shared" si="20"/>
        <v>1296.8253968253969</v>
      </c>
      <c r="H75" s="31">
        <f t="shared" si="21"/>
        <v>3.6011499838030452</v>
      </c>
      <c r="I75" s="4">
        <f>VLOOKUP(D75,'[1]DMO head'!$A$2:$D$49,4,FALSE)</f>
        <v>19.728557757304522</v>
      </c>
      <c r="J75" s="19">
        <f t="shared" si="22"/>
        <v>705.82539682539687</v>
      </c>
      <c r="L75" s="4">
        <f>VLOOKUP(A75,'[1]Carcass '!$C$10:$J$397,8,FALSE)</f>
        <v>0</v>
      </c>
      <c r="M75" s="4">
        <f t="shared" si="23"/>
        <v>0</v>
      </c>
      <c r="N75" s="4">
        <f t="shared" si="24"/>
        <v>0</v>
      </c>
      <c r="O75" s="4">
        <f t="shared" si="25"/>
        <v>0</v>
      </c>
      <c r="P75" s="4">
        <f t="shared" si="26"/>
        <v>0</v>
      </c>
      <c r="Q75" s="4">
        <f t="shared" si="27"/>
        <v>0</v>
      </c>
      <c r="R75" s="19">
        <f>VLOOKUP(A75,'[1]Carcass '!$C$107:$E$399,3,FALSE)</f>
        <v>12.3</v>
      </c>
      <c r="S75" s="4">
        <f>VLOOKUP(A75,'[1]Carcass '!$C$107:$F$399,4,FALSE)</f>
        <v>3.6</v>
      </c>
      <c r="T75" s="4">
        <f>VLOOKUP(A75,'[1]Carcass '!$C$10:$G$397,5, FALSE)</f>
        <v>0.66</v>
      </c>
      <c r="U75" s="4">
        <f>VLOOKUP(A75,'[1]Carcass '!$C$107:$I$399,7,FALSE)</f>
        <v>470</v>
      </c>
    </row>
    <row r="76" spans="1:21" x14ac:dyDescent="0.2">
      <c r="A76" s="94">
        <v>4770</v>
      </c>
      <c r="B76" s="87">
        <f>VLOOKUP(A76,[1]Assign!$A:$D,4,FALSE)</f>
        <v>583</v>
      </c>
      <c r="C76" s="4">
        <v>1</v>
      </c>
      <c r="D76" s="4">
        <v>212</v>
      </c>
      <c r="E76" s="4" t="str">
        <f>VLOOKUP(A76,[1]Assign!$A:$I,9,FALSE)</f>
        <v>25% MDGS Variable</v>
      </c>
      <c r="F76" s="4">
        <f>VLOOKUP(A76,'[1]Carcass '!$C$105:$D$397,2,FALSE)</f>
        <v>778</v>
      </c>
      <c r="G76" s="4">
        <f t="shared" si="20"/>
        <v>1234.9206349206349</v>
      </c>
      <c r="H76" s="31">
        <f t="shared" si="21"/>
        <v>3.3261256883705865</v>
      </c>
      <c r="I76" s="4">
        <f>VLOOKUP(D76,'[1]DMO head'!$A$2:$D$49,4,FALSE)</f>
        <v>21.738935573736335</v>
      </c>
      <c r="J76" s="19">
        <f t="shared" si="22"/>
        <v>651.92063492063494</v>
      </c>
      <c r="L76" s="4" t="s">
        <v>65</v>
      </c>
      <c r="M76" s="4">
        <f t="shared" si="23"/>
        <v>0</v>
      </c>
      <c r="N76" s="4">
        <f t="shared" si="24"/>
        <v>0</v>
      </c>
      <c r="O76" s="4">
        <f t="shared" si="25"/>
        <v>1</v>
      </c>
      <c r="P76" s="4">
        <f t="shared" si="26"/>
        <v>1</v>
      </c>
      <c r="Q76" s="4">
        <f t="shared" si="27"/>
        <v>0</v>
      </c>
      <c r="R76" s="19">
        <f>VLOOKUP(A76,'[1]Carcass '!$C$107:$E$399,3,FALSE)</f>
        <v>11.1</v>
      </c>
      <c r="S76" s="4">
        <f>VLOOKUP(A76,'[1]Carcass '!$C$107:$F$399,4,FALSE)</f>
        <v>3.9</v>
      </c>
      <c r="T76" s="4">
        <f>VLOOKUP(A76,'[1]Carcass '!$C$10:$G$397,5, FALSE)</f>
        <v>0.76800000000000002</v>
      </c>
      <c r="U76" s="4">
        <f>VLOOKUP(A76,'[1]Carcass '!$C$107:$I$399,7,FALSE)</f>
        <v>527</v>
      </c>
    </row>
    <row r="77" spans="1:21" x14ac:dyDescent="0.2">
      <c r="A77" s="94">
        <v>4504</v>
      </c>
      <c r="B77" s="87">
        <f>VLOOKUP(A77,[1]Assign!$A:$D,4,FALSE)</f>
        <v>578</v>
      </c>
      <c r="C77" s="4">
        <v>1</v>
      </c>
      <c r="D77" s="4">
        <v>213</v>
      </c>
      <c r="E77" s="4" t="str">
        <f>VLOOKUP(A77,[1]Assign!$A:$I,9,FALSE)</f>
        <v>10% MDGS Variable</v>
      </c>
      <c r="F77" s="4">
        <f>VLOOKUP(A77,'[1]Carcass '!$C$105:$D$397,2,FALSE)</f>
        <v>912</v>
      </c>
      <c r="G77" s="4">
        <f t="shared" si="20"/>
        <v>1447.6190476190477</v>
      </c>
      <c r="H77" s="31">
        <f t="shared" si="21"/>
        <v>4.4368318756073863</v>
      </c>
      <c r="I77" s="4">
        <f>VLOOKUP(D77,'[1]DMO head'!$A$2:$D$49,4,FALSE)</f>
        <v>22.955779082777788</v>
      </c>
      <c r="J77" s="19">
        <f t="shared" si="22"/>
        <v>869.61904761904771</v>
      </c>
      <c r="L77" s="4" t="str">
        <f>VLOOKUP(A77,'[1]Carcass '!$C$10:$J$397,8,FALSE)</f>
        <v>A-</v>
      </c>
      <c r="M77" s="4">
        <f t="shared" si="23"/>
        <v>0</v>
      </c>
      <c r="N77" s="4">
        <f t="shared" si="24"/>
        <v>1</v>
      </c>
      <c r="O77" s="4">
        <f t="shared" si="25"/>
        <v>0</v>
      </c>
      <c r="P77" s="4">
        <f t="shared" si="26"/>
        <v>1</v>
      </c>
      <c r="Q77" s="4">
        <f t="shared" si="27"/>
        <v>0</v>
      </c>
      <c r="R77" s="19">
        <f>VLOOKUP(A77,'[1]Carcass '!$C$107:$E$399,3,FALSE)</f>
        <v>15.1</v>
      </c>
      <c r="S77" s="4">
        <f>VLOOKUP(A77,'[1]Carcass '!$C$107:$F$399,4,FALSE)</f>
        <v>3.6</v>
      </c>
      <c r="T77" s="4">
        <f>VLOOKUP(A77,'[1]Carcass '!$C$10:$G$397,5, FALSE)</f>
        <v>0.76</v>
      </c>
      <c r="U77" s="4">
        <f>VLOOKUP(A77,'[1]Carcass '!$C$107:$I$399,7,FALSE)</f>
        <v>555</v>
      </c>
    </row>
    <row r="78" spans="1:21" x14ac:dyDescent="0.2">
      <c r="A78" s="94">
        <v>4593</v>
      </c>
      <c r="B78" s="87">
        <f>VLOOKUP(A78,[1]Assign!$A:$D,4,FALSE)</f>
        <v>590</v>
      </c>
      <c r="C78" s="4">
        <v>1</v>
      </c>
      <c r="D78" s="4">
        <v>214</v>
      </c>
      <c r="E78" s="4" t="str">
        <f>VLOOKUP(A78,[1]Assign!$A:$I,9,FALSE)</f>
        <v xml:space="preserve">25% MDGS Constant </v>
      </c>
      <c r="F78" s="4">
        <f>VLOOKUP(A78,'[1]Carcass '!$C$105:$D$397,2,FALSE)</f>
        <v>932</v>
      </c>
      <c r="G78" s="4">
        <f t="shared" si="20"/>
        <v>1479.3650793650793</v>
      </c>
      <c r="H78" s="31">
        <f t="shared" si="21"/>
        <v>4.5375769355361184</v>
      </c>
      <c r="I78" s="4">
        <f>VLOOKUP(D78,'[1]DMO head'!$A$2:$D$49,4,FALSE)</f>
        <v>22.398784651854065</v>
      </c>
      <c r="J78" s="19">
        <f t="shared" si="22"/>
        <v>889.36507936507928</v>
      </c>
      <c r="L78" s="4">
        <f>VLOOKUP(A78,'[1]Carcass '!$C$10:$J$397,8,FALSE)</f>
        <v>0</v>
      </c>
      <c r="M78" s="4">
        <f t="shared" si="23"/>
        <v>0</v>
      </c>
      <c r="N78" s="4">
        <f t="shared" si="24"/>
        <v>0</v>
      </c>
      <c r="O78" s="4">
        <f t="shared" si="25"/>
        <v>0</v>
      </c>
      <c r="P78" s="4">
        <f t="shared" si="26"/>
        <v>0</v>
      </c>
      <c r="Q78" s="4">
        <f t="shared" si="27"/>
        <v>0</v>
      </c>
      <c r="R78" s="19">
        <f>VLOOKUP(A78,'[1]Carcass '!$C$107:$E$399,3,FALSE)</f>
        <v>14.65</v>
      </c>
      <c r="S78" s="4">
        <f>VLOOKUP(A78,'[1]Carcass '!$C$107:$F$399,4,FALSE)</f>
        <v>3.8</v>
      </c>
      <c r="T78" s="4">
        <f>VLOOKUP(A78,'[1]Carcass '!$C$10:$G$397,5, FALSE)</f>
        <v>0.8</v>
      </c>
      <c r="U78" s="4">
        <f>VLOOKUP(A78,'[1]Carcass '!$C$107:$I$399,7,FALSE)</f>
        <v>662</v>
      </c>
    </row>
    <row r="79" spans="1:21" x14ac:dyDescent="0.2">
      <c r="A79" s="94">
        <v>4336</v>
      </c>
      <c r="B79" s="87">
        <f>VLOOKUP(A79,[1]Assign!$A:$D,4,FALSE)</f>
        <v>596</v>
      </c>
      <c r="C79" s="4">
        <v>1</v>
      </c>
      <c r="D79" s="4">
        <v>205</v>
      </c>
      <c r="E79" s="4" t="str">
        <f>VLOOKUP(A79,[1]Assign!$A:$I,9,FALSE)</f>
        <v xml:space="preserve">10% MDGS Constant </v>
      </c>
      <c r="F79" s="4">
        <f>VLOOKUP(A79,'[1]Carcass '!$C$105:$D$397,2,FALSE)</f>
        <v>806</v>
      </c>
      <c r="G79" s="4">
        <f t="shared" si="20"/>
        <v>1279.3650793650793</v>
      </c>
      <c r="H79" s="31">
        <f t="shared" si="21"/>
        <v>3.4865565273728536</v>
      </c>
      <c r="I79" s="4">
        <f>VLOOKUP(D79,'[1]DMO head'!$A$2:$D$49,4,FALSE)</f>
        <v>21.582642370891651</v>
      </c>
      <c r="J79" s="19">
        <f t="shared" si="22"/>
        <v>683.36507936507928</v>
      </c>
      <c r="L79" s="4">
        <f>VLOOKUP(A79,'[1]Carcass '!$C$10:$J$397,8,FALSE)</f>
        <v>0</v>
      </c>
      <c r="M79" s="4">
        <f t="shared" si="23"/>
        <v>0</v>
      </c>
      <c r="N79" s="4">
        <f t="shared" si="24"/>
        <v>0</v>
      </c>
      <c r="O79" s="4">
        <f t="shared" si="25"/>
        <v>0</v>
      </c>
      <c r="P79" s="4">
        <f t="shared" si="26"/>
        <v>0</v>
      </c>
      <c r="Q79" s="4">
        <f t="shared" si="27"/>
        <v>0</v>
      </c>
      <c r="R79" s="19">
        <f>VLOOKUP(A79,'[1]Carcass '!$C$107:$E$399,3,FALSE)</f>
        <v>12.2</v>
      </c>
      <c r="S79" s="4">
        <f>VLOOKUP(A79,'[1]Carcass '!$C$107:$F$399,4,FALSE)</f>
        <v>3.82</v>
      </c>
      <c r="T79" s="4">
        <f>VLOOKUP(A79,'[1]Carcass '!$C$10:$G$397,5, FALSE)</f>
        <v>0.79</v>
      </c>
      <c r="U79" s="4">
        <f>VLOOKUP(A79,'[1]Carcass '!$C$107:$I$399,7,FALSE)</f>
        <v>764</v>
      </c>
    </row>
    <row r="80" spans="1:21" x14ac:dyDescent="0.2">
      <c r="A80" s="94">
        <v>4747</v>
      </c>
      <c r="B80" s="87">
        <f>VLOOKUP(A80,[1]Assign!$A:$D,4,FALSE)</f>
        <v>584</v>
      </c>
      <c r="C80" s="4">
        <v>1</v>
      </c>
      <c r="D80" s="4">
        <v>206</v>
      </c>
      <c r="E80" s="4" t="str">
        <f>VLOOKUP(A80,[1]Assign!$A:$I,9,FALSE)</f>
        <v>10% MDGS Variable</v>
      </c>
      <c r="F80" s="4">
        <f>VLOOKUP(A80,'[1]Carcass '!$C$105:$D$397,2,FALSE)</f>
        <v>768</v>
      </c>
      <c r="G80" s="4" t="s">
        <v>43</v>
      </c>
      <c r="H80" s="31" t="s">
        <v>43</v>
      </c>
      <c r="I80" s="4">
        <f>VLOOKUP(D80,'[1]DMO head'!$A$2:$D$49,4,FALSE)</f>
        <v>20.595227026767663</v>
      </c>
      <c r="J80" s="19" t="s">
        <v>43</v>
      </c>
      <c r="L80" s="4" t="str">
        <f>VLOOKUP(A80,'[1]Carcass '!$C$10:$J$397,8,FALSE)</f>
        <v>A-</v>
      </c>
      <c r="M80" s="4">
        <f t="shared" si="23"/>
        <v>0</v>
      </c>
      <c r="N80" s="4">
        <f t="shared" si="24"/>
        <v>1</v>
      </c>
      <c r="O80" s="4">
        <f t="shared" si="25"/>
        <v>0</v>
      </c>
      <c r="P80" s="4">
        <f t="shared" si="26"/>
        <v>1</v>
      </c>
      <c r="Q80" s="4">
        <f t="shared" si="27"/>
        <v>0</v>
      </c>
      <c r="R80" s="19">
        <f>VLOOKUP(A80,'[1]Carcass '!$C$107:$E$399,3,FALSE)</f>
        <v>12.2</v>
      </c>
      <c r="S80" s="4">
        <f>VLOOKUP(A80,'[1]Carcass '!$C$107:$F$399,4,FALSE)</f>
        <v>3.91</v>
      </c>
    </row>
    <row r="81" spans="1:21" x14ac:dyDescent="0.2">
      <c r="A81" s="94">
        <v>4769</v>
      </c>
      <c r="B81" s="87">
        <f>VLOOKUP(A81,[1]Assign!$A:$D,4,FALSE)</f>
        <v>592</v>
      </c>
      <c r="C81" s="4">
        <v>1</v>
      </c>
      <c r="D81" s="4">
        <v>207</v>
      </c>
      <c r="E81" s="4" t="str">
        <f>VLOOKUP(A81,[1]Assign!$A:$I,9,FALSE)</f>
        <v>Control</v>
      </c>
      <c r="F81" s="4">
        <f>VLOOKUP(A81,'[1]Carcass '!$C$105:$D$397,2,FALSE)</f>
        <v>885</v>
      </c>
      <c r="G81" s="4">
        <f t="shared" si="20"/>
        <v>1404.7619047619048</v>
      </c>
      <c r="H81" s="31">
        <f t="shared" si="21"/>
        <v>4.146744412050535</v>
      </c>
      <c r="I81" s="4">
        <f>VLOOKUP(D81,'[1]DMO head'!$A$2:$D$49,4,FALSE)</f>
        <v>21.495747185717072</v>
      </c>
      <c r="J81" s="19">
        <f t="shared" si="22"/>
        <v>812.76190476190482</v>
      </c>
      <c r="L81" s="4">
        <f>VLOOKUP(A81,'[1]Carcass '!$C$10:$J$397,8,FALSE)</f>
        <v>0</v>
      </c>
      <c r="M81" s="4">
        <f t="shared" si="23"/>
        <v>0</v>
      </c>
      <c r="N81" s="4">
        <f t="shared" si="24"/>
        <v>0</v>
      </c>
      <c r="O81" s="4">
        <f t="shared" si="25"/>
        <v>0</v>
      </c>
      <c r="P81" s="4">
        <f t="shared" si="26"/>
        <v>0</v>
      </c>
      <c r="Q81" s="4">
        <f t="shared" si="27"/>
        <v>0</v>
      </c>
      <c r="R81" s="19">
        <f>VLOOKUP(A81,'[1]Carcass '!$C$107:$E$399,3,FALSE)</f>
        <v>16.5</v>
      </c>
      <c r="S81" s="4">
        <f>VLOOKUP(A81,'[1]Carcass '!$C$107:$F$399,4,FALSE)</f>
        <v>3.2</v>
      </c>
      <c r="T81" s="4">
        <f>VLOOKUP(A81,'[1]Carcass '!$C$10:$G$397,5, FALSE)</f>
        <v>0.66</v>
      </c>
      <c r="U81" s="4">
        <f>VLOOKUP(A81,'[1]Carcass '!$C$107:$I$399,7,FALSE)</f>
        <v>490</v>
      </c>
    </row>
    <row r="82" spans="1:21" x14ac:dyDescent="0.2">
      <c r="A82" s="94">
        <v>4678</v>
      </c>
      <c r="B82" s="87">
        <f>VLOOKUP(A82,[1]Assign!$A:$D,4,FALSE)</f>
        <v>583</v>
      </c>
      <c r="C82" s="4">
        <v>1</v>
      </c>
      <c r="D82" s="4">
        <v>208</v>
      </c>
      <c r="E82" s="4" t="str">
        <f>VLOOKUP(A82,[1]Assign!$A:$I,9,FALSE)</f>
        <v>25% MDGS Variable</v>
      </c>
      <c r="F82" s="4">
        <f>VLOOKUP(A82,'[1]Carcass '!$C$105:$D$397,2,FALSE)</f>
        <v>827</v>
      </c>
      <c r="G82" s="4">
        <f t="shared" si="20"/>
        <v>1312.6984126984128</v>
      </c>
      <c r="H82" s="31">
        <f t="shared" si="21"/>
        <v>3.7229510851959837</v>
      </c>
      <c r="I82" s="4">
        <f>VLOOKUP(D82,'[1]DMO head'!$A$2:$D$49,4,FALSE)</f>
        <v>22.92374071584624</v>
      </c>
      <c r="J82" s="19">
        <f t="shared" si="22"/>
        <v>729.69841269841277</v>
      </c>
      <c r="L82" s="4">
        <f>VLOOKUP(A82,'[1]Carcass '!$C$10:$J$397,8,FALSE)</f>
        <v>0</v>
      </c>
      <c r="M82" s="4">
        <f t="shared" si="23"/>
        <v>0</v>
      </c>
      <c r="N82" s="4">
        <f t="shared" si="24"/>
        <v>0</v>
      </c>
      <c r="O82" s="4">
        <f t="shared" si="25"/>
        <v>0</v>
      </c>
      <c r="P82" s="4">
        <f t="shared" si="26"/>
        <v>0</v>
      </c>
      <c r="Q82" s="4">
        <f t="shared" si="27"/>
        <v>0</v>
      </c>
      <c r="R82" s="19">
        <f>VLOOKUP(A82,'[1]Carcass '!$C$107:$E$399,3,FALSE)</f>
        <v>14.6</v>
      </c>
      <c r="S82" s="4">
        <f>VLOOKUP(A82,'[1]Carcass '!$C$107:$F$399,4,FALSE)</f>
        <v>3.7</v>
      </c>
      <c r="T82" s="4">
        <f>VLOOKUP(A82,'[1]Carcass '!$C$10:$G$397,5, FALSE)</f>
        <v>0.69</v>
      </c>
      <c r="U82" s="4">
        <f>VLOOKUP(A82,'[1]Carcass '!$C$107:$I$399,7,FALSE)</f>
        <v>579</v>
      </c>
    </row>
    <row r="83" spans="1:21" x14ac:dyDescent="0.2">
      <c r="A83" s="94">
        <v>4391</v>
      </c>
      <c r="B83" s="87">
        <f>VLOOKUP(A83,[1]Assign!$A:$D,4,FALSE)</f>
        <v>588</v>
      </c>
      <c r="C83" s="4">
        <v>1</v>
      </c>
      <c r="D83" s="4">
        <v>209</v>
      </c>
      <c r="E83" s="4" t="str">
        <f>VLOOKUP(A83,[1]Assign!$A:$I,9,FALSE)</f>
        <v xml:space="preserve">25% MDGS Constant </v>
      </c>
      <c r="F83" s="4">
        <f>VLOOKUP(A83,'[1]Carcass '!$C$105:$D$397,2,FALSE)</f>
        <v>762</v>
      </c>
      <c r="G83" s="4">
        <f t="shared" si="20"/>
        <v>1209.5238095238094</v>
      </c>
      <c r="H83" s="31">
        <f t="shared" si="21"/>
        <v>3.1710398445092318</v>
      </c>
      <c r="I83" s="4">
        <f>VLOOKUP(D83,'[1]DMO head'!$A$2:$D$49,4,FALSE)</f>
        <v>21.32140895794052</v>
      </c>
      <c r="J83" s="19">
        <f t="shared" si="22"/>
        <v>621.5238095238094</v>
      </c>
      <c r="L83" s="4">
        <f>VLOOKUP(A83,'[1]Carcass '!$C$10:$J$397,8,FALSE)</f>
        <v>0</v>
      </c>
      <c r="M83" s="4">
        <f t="shared" si="23"/>
        <v>0</v>
      </c>
      <c r="N83" s="4">
        <f t="shared" si="24"/>
        <v>0</v>
      </c>
      <c r="O83" s="4">
        <f t="shared" si="25"/>
        <v>0</v>
      </c>
      <c r="P83" s="4">
        <f t="shared" si="26"/>
        <v>0</v>
      </c>
      <c r="Q83" s="4">
        <f t="shared" si="27"/>
        <v>0</v>
      </c>
      <c r="R83" s="19">
        <f>VLOOKUP(A83,'[1]Carcass '!$C$107:$E$399,3,FALSE)</f>
        <v>12.22</v>
      </c>
      <c r="S83" s="4">
        <f>VLOOKUP(A83,'[1]Carcass '!$C$107:$F$399,4,FALSE)</f>
        <v>3.4</v>
      </c>
      <c r="T83" s="4">
        <f>VLOOKUP(A83,'[1]Carcass '!$C$10:$G$397,5, FALSE)</f>
        <v>0.8</v>
      </c>
      <c r="U83" s="4">
        <f>VLOOKUP(A83,'[1]Carcass '!$C$107:$I$399,7,FALSE)</f>
        <v>462</v>
      </c>
    </row>
    <row r="84" spans="1:21" x14ac:dyDescent="0.2">
      <c r="A84" s="94">
        <v>4421</v>
      </c>
      <c r="B84" s="87">
        <f>VLOOKUP(A84,[1]Assign!$A:$D,4,FALSE)</f>
        <v>587</v>
      </c>
      <c r="C84" s="4">
        <v>1</v>
      </c>
      <c r="D84" s="4">
        <v>210</v>
      </c>
      <c r="E84" s="4" t="str">
        <f>VLOOKUP(A84,[1]Assign!$A:$I,9,FALSE)</f>
        <v xml:space="preserve">10% MDGS Constant </v>
      </c>
      <c r="F84" s="4">
        <f>VLOOKUP(A84,'[1]Carcass '!$C$105:$D$397,2,FALSE)</f>
        <v>794</v>
      </c>
      <c r="G84" s="4">
        <f t="shared" si="20"/>
        <v>1260.3174603174602</v>
      </c>
      <c r="H84" s="31">
        <f t="shared" si="21"/>
        <v>3.4352931648850014</v>
      </c>
      <c r="I84" s="4">
        <f>VLOOKUP(D84,'[1]DMO head'!$A$2:$D$49,4,FALSE)</f>
        <v>19.910351814073994</v>
      </c>
      <c r="J84" s="19">
        <f t="shared" si="22"/>
        <v>673.31746031746025</v>
      </c>
      <c r="L84" s="4">
        <f>VLOOKUP(A84,'[1]Carcass '!$C$10:$J$397,8,FALSE)</f>
        <v>0</v>
      </c>
      <c r="M84" s="4">
        <f t="shared" si="23"/>
        <v>0</v>
      </c>
      <c r="N84" s="4">
        <f t="shared" si="24"/>
        <v>0</v>
      </c>
      <c r="O84" s="4">
        <f t="shared" si="25"/>
        <v>0</v>
      </c>
      <c r="P84" s="4">
        <f t="shared" si="26"/>
        <v>0</v>
      </c>
      <c r="Q84" s="4">
        <f t="shared" si="27"/>
        <v>0</v>
      </c>
      <c r="R84" s="19">
        <f>VLOOKUP(A84,'[1]Carcass '!$C$107:$E$399,3,FALSE)</f>
        <v>11.97</v>
      </c>
      <c r="S84" s="4">
        <f>VLOOKUP(A84,'[1]Carcass '!$C$107:$F$399,4,FALSE)</f>
        <v>3.3</v>
      </c>
      <c r="T84" s="4">
        <f>VLOOKUP(A84,'[1]Carcass '!$C$10:$G$397,5, FALSE)</f>
        <v>0.57599999999999996</v>
      </c>
      <c r="U84" s="4">
        <f>VLOOKUP(A84,'[1]Carcass '!$C$107:$I$399,7,FALSE)</f>
        <v>519</v>
      </c>
    </row>
    <row r="85" spans="1:21" x14ac:dyDescent="0.2">
      <c r="A85" s="94">
        <v>4443</v>
      </c>
      <c r="B85" s="87">
        <f>VLOOKUP(A85,[1]Assign!$A:$D,4,FALSE)</f>
        <v>581</v>
      </c>
      <c r="C85" s="4">
        <v>1</v>
      </c>
      <c r="D85" s="4">
        <v>211</v>
      </c>
      <c r="E85" s="4" t="str">
        <f>VLOOKUP(A85,[1]Assign!$A:$I,9,FALSE)</f>
        <v>Control</v>
      </c>
      <c r="F85" s="4">
        <f>VLOOKUP(A85,'[1]Carcass '!$C$105:$D$397,2,FALSE)</f>
        <v>828</v>
      </c>
      <c r="G85" s="4">
        <f t="shared" si="20"/>
        <v>1314.2857142857142</v>
      </c>
      <c r="H85" s="31">
        <f t="shared" si="21"/>
        <v>3.7412536443148685</v>
      </c>
      <c r="I85" s="4">
        <f>VLOOKUP(D85,'[1]DMO head'!$A$2:$D$49,4,FALSE)</f>
        <v>19.728557757304522</v>
      </c>
      <c r="J85" s="19">
        <f t="shared" si="22"/>
        <v>733.28571428571422</v>
      </c>
      <c r="L85" s="4">
        <f>VLOOKUP(A85,'[1]Carcass '!$C$10:$J$397,8,FALSE)</f>
        <v>0</v>
      </c>
      <c r="M85" s="4">
        <f t="shared" si="23"/>
        <v>0</v>
      </c>
      <c r="N85" s="4">
        <f t="shared" si="24"/>
        <v>0</v>
      </c>
      <c r="O85" s="4">
        <f t="shared" si="25"/>
        <v>0</v>
      </c>
      <c r="P85" s="4">
        <f t="shared" si="26"/>
        <v>0</v>
      </c>
      <c r="Q85" s="4">
        <f t="shared" si="27"/>
        <v>0</v>
      </c>
      <c r="R85" s="19">
        <f>VLOOKUP(A85,'[1]Carcass '!$C$107:$E$399,3,FALSE)</f>
        <v>15.8</v>
      </c>
      <c r="S85" s="4">
        <f>VLOOKUP(A85,'[1]Carcass '!$C$107:$F$399,4,FALSE)</f>
        <v>2.9</v>
      </c>
      <c r="T85" s="4">
        <f>VLOOKUP(A85,'[1]Carcass '!$C$10:$G$397,5, FALSE)</f>
        <v>0.36</v>
      </c>
      <c r="U85" s="4">
        <f>VLOOKUP(A85,'[1]Carcass '!$C$107:$I$399,7,FALSE)</f>
        <v>634</v>
      </c>
    </row>
    <row r="86" spans="1:21" x14ac:dyDescent="0.2">
      <c r="A86" s="94">
        <v>4433</v>
      </c>
      <c r="B86" s="87">
        <f>VLOOKUP(A86,[1]Assign!$A:$D,4,FALSE)</f>
        <v>596</v>
      </c>
      <c r="C86" s="4">
        <v>1</v>
      </c>
      <c r="D86" s="4">
        <v>212</v>
      </c>
      <c r="E86" s="4" t="str">
        <f>VLOOKUP(A86,[1]Assign!$A:$I,9,FALSE)</f>
        <v>25% MDGS Variable</v>
      </c>
      <c r="F86" s="4">
        <f>VLOOKUP(A86,'[1]Carcass '!$C$105:$D$397,2,FALSE)</f>
        <v>808</v>
      </c>
      <c r="G86" s="4">
        <f t="shared" si="20"/>
        <v>1282.5396825396824</v>
      </c>
      <c r="H86" s="31">
        <f t="shared" si="21"/>
        <v>3.5027534823453186</v>
      </c>
      <c r="I86" s="4">
        <f>VLOOKUP(D86,'[1]DMO head'!$A$2:$D$49,4,FALSE)</f>
        <v>21.738935573736335</v>
      </c>
      <c r="J86" s="19">
        <f t="shared" si="22"/>
        <v>686.53968253968242</v>
      </c>
      <c r="L86" s="4">
        <f>VLOOKUP(A86,'[1]Carcass '!$C$10:$J$397,8,FALSE)</f>
        <v>0</v>
      </c>
      <c r="M86" s="4">
        <f t="shared" si="23"/>
        <v>0</v>
      </c>
      <c r="N86" s="4">
        <f t="shared" si="24"/>
        <v>0</v>
      </c>
      <c r="O86" s="4">
        <f t="shared" si="25"/>
        <v>0</v>
      </c>
      <c r="P86" s="4">
        <f t="shared" si="26"/>
        <v>0</v>
      </c>
      <c r="Q86" s="4">
        <f t="shared" si="27"/>
        <v>0</v>
      </c>
      <c r="R86" s="19">
        <f>VLOOKUP(A86,'[1]Carcass '!$C$107:$E$399,3,FALSE)</f>
        <v>12.22</v>
      </c>
      <c r="S86" s="4">
        <f>VLOOKUP(A86,'[1]Carcass '!$C$107:$F$399,4,FALSE)</f>
        <v>3.6</v>
      </c>
      <c r="T86" s="4">
        <f>VLOOKUP(A86,'[1]Carcass '!$C$10:$G$397,5, FALSE)</f>
        <v>0.624</v>
      </c>
      <c r="U86" s="4">
        <f>VLOOKUP(A86,'[1]Carcass '!$C$107:$I$399,7,FALSE)</f>
        <v>634</v>
      </c>
    </row>
    <row r="87" spans="1:21" x14ac:dyDescent="0.2">
      <c r="A87" s="94">
        <v>4355</v>
      </c>
      <c r="B87" s="87">
        <f>VLOOKUP(A87,[1]Assign!$A:$D,4,FALSE)</f>
        <v>593</v>
      </c>
      <c r="C87" s="4">
        <v>1</v>
      </c>
      <c r="D87" s="4">
        <v>213</v>
      </c>
      <c r="E87" s="4" t="str">
        <f>VLOOKUP(A87,[1]Assign!$A:$I,9,FALSE)</f>
        <v>10% MDGS Variable</v>
      </c>
      <c r="F87" s="4">
        <f>VLOOKUP(A87,'[1]Carcass '!$C$105:$D$397,2,FALSE)</f>
        <v>803</v>
      </c>
      <c r="G87" s="4" t="s">
        <v>43</v>
      </c>
      <c r="H87" s="31" t="s">
        <v>43</v>
      </c>
      <c r="I87" s="4">
        <f>VLOOKUP(D87,'[1]DMO head'!$A$2:$D$49,4,FALSE)</f>
        <v>22.955779082777788</v>
      </c>
      <c r="J87" s="19" t="s">
        <v>43</v>
      </c>
      <c r="L87" s="4">
        <f>VLOOKUP(A87,'[1]Carcass '!$C$10:$J$397,8,FALSE)</f>
        <v>0</v>
      </c>
      <c r="M87" s="4">
        <f t="shared" si="23"/>
        <v>0</v>
      </c>
      <c r="N87" s="4">
        <f t="shared" si="24"/>
        <v>0</v>
      </c>
      <c r="O87" s="4">
        <f t="shared" si="25"/>
        <v>0</v>
      </c>
      <c r="P87" s="4">
        <f t="shared" si="26"/>
        <v>0</v>
      </c>
      <c r="Q87" s="4">
        <f t="shared" si="27"/>
        <v>0</v>
      </c>
      <c r="R87" s="19">
        <f>VLOOKUP(A87,'[1]Carcass '!$C$107:$E$399,3,FALSE)</f>
        <v>13.4</v>
      </c>
      <c r="S87" s="4">
        <f>VLOOKUP(A87,'[1]Carcass '!$C$107:$F$399,4,FALSE)</f>
        <v>3.6</v>
      </c>
      <c r="T87" s="4">
        <f>VLOOKUP(A87,'[1]Carcass '!$C$10:$G$397,5, FALSE)</f>
        <v>0.82</v>
      </c>
      <c r="U87" s="4">
        <f>VLOOKUP(A87,'[1]Carcass '!$C$107:$I$399,7,FALSE)</f>
        <v>685</v>
      </c>
    </row>
    <row r="88" spans="1:21" x14ac:dyDescent="0.2">
      <c r="A88" s="94">
        <v>4576</v>
      </c>
      <c r="B88" s="87">
        <f>VLOOKUP(A88,[1]Assign!$A:$D,4,FALSE)</f>
        <v>594</v>
      </c>
      <c r="C88" s="4">
        <v>1</v>
      </c>
      <c r="D88" s="4">
        <v>214</v>
      </c>
      <c r="E88" s="4" t="str">
        <f>VLOOKUP(A88,[1]Assign!$A:$I,9,FALSE)</f>
        <v xml:space="preserve">25% MDGS Constant </v>
      </c>
      <c r="F88" s="4">
        <f>VLOOKUP(A88,'[1]Carcass '!$C$105:$D$397,2,FALSE)</f>
        <v>840</v>
      </c>
      <c r="G88" s="4">
        <f t="shared" si="20"/>
        <v>1333.3333333333333</v>
      </c>
      <c r="H88" s="31">
        <f t="shared" si="21"/>
        <v>3.7721088435374144</v>
      </c>
      <c r="I88" s="4">
        <f>VLOOKUP(D88,'[1]DMO head'!$A$2:$D$49,4,FALSE)</f>
        <v>22.398784651854065</v>
      </c>
      <c r="J88" s="19">
        <f t="shared" si="22"/>
        <v>739.33333333333326</v>
      </c>
      <c r="L88" s="4">
        <f>VLOOKUP(A88,'[1]Carcass '!$C$10:$J$397,8,FALSE)</f>
        <v>0</v>
      </c>
      <c r="M88" s="4">
        <f t="shared" si="23"/>
        <v>0</v>
      </c>
      <c r="N88" s="4">
        <f t="shared" si="24"/>
        <v>0</v>
      </c>
      <c r="O88" s="4">
        <f t="shared" si="25"/>
        <v>0</v>
      </c>
      <c r="P88" s="4">
        <f t="shared" si="26"/>
        <v>0</v>
      </c>
      <c r="Q88" s="4">
        <f t="shared" si="27"/>
        <v>0</v>
      </c>
      <c r="R88" s="19">
        <f>VLOOKUP(A88,'[1]Carcass '!$C$107:$E$399,3,FALSE)</f>
        <v>13.3</v>
      </c>
      <c r="S88" s="4">
        <f>VLOOKUP(A88,'[1]Carcass '!$C$107:$F$399,4,FALSE)</f>
        <v>3.4</v>
      </c>
      <c r="T88" s="4">
        <f>VLOOKUP(A88,'[1]Carcass '!$C$10:$G$397,5, FALSE)</f>
        <v>0.55200000000000005</v>
      </c>
      <c r="U88" s="4">
        <f>VLOOKUP(A88,'[1]Carcass '!$C$107:$I$399,7,FALSE)</f>
        <v>467</v>
      </c>
    </row>
    <row r="89" spans="1:21" x14ac:dyDescent="0.2">
      <c r="A89" s="94">
        <v>4483</v>
      </c>
      <c r="B89" s="87">
        <f>VLOOKUP(A89,[1]Assign!$A:$D,4,FALSE)</f>
        <v>580</v>
      </c>
      <c r="C89" s="4">
        <v>1</v>
      </c>
      <c r="D89" s="4">
        <v>205</v>
      </c>
      <c r="E89" s="4" t="str">
        <f>VLOOKUP(A89,[1]Assign!$A:$I,9,FALSE)</f>
        <v xml:space="preserve">10% MDGS Constant </v>
      </c>
      <c r="F89" s="4">
        <f>VLOOKUP(A89,'[1]Carcass '!$C$105:$D$397,2,FALSE)</f>
        <v>845</v>
      </c>
      <c r="G89" s="4">
        <f t="shared" si="20"/>
        <v>1341.2698412698412</v>
      </c>
      <c r="H89" s="31">
        <f t="shared" si="21"/>
        <v>3.8840298023971491</v>
      </c>
      <c r="I89" s="4">
        <f>VLOOKUP(D89,'[1]DMO head'!$A$2:$D$49,4,FALSE)</f>
        <v>21.582642370891651</v>
      </c>
      <c r="J89" s="19">
        <f t="shared" si="22"/>
        <v>761.26984126984121</v>
      </c>
      <c r="L89" s="4">
        <f>VLOOKUP(A89,'[1]Carcass '!$C$10:$J$397,8,FALSE)</f>
        <v>0</v>
      </c>
      <c r="M89" s="4">
        <f t="shared" si="23"/>
        <v>0</v>
      </c>
      <c r="N89" s="4">
        <f t="shared" si="24"/>
        <v>0</v>
      </c>
      <c r="O89" s="4">
        <f t="shared" si="25"/>
        <v>0</v>
      </c>
      <c r="P89" s="4">
        <f t="shared" si="26"/>
        <v>0</v>
      </c>
      <c r="Q89" s="4">
        <f t="shared" si="27"/>
        <v>0</v>
      </c>
      <c r="R89" s="19">
        <f>VLOOKUP(A89,'[1]Carcass '!$C$107:$E$399,3,FALSE)</f>
        <v>15.2</v>
      </c>
      <c r="S89" s="4">
        <f>VLOOKUP(A89,'[1]Carcass '!$C$107:$F$399,4,FALSE)</f>
        <v>3.1</v>
      </c>
      <c r="T89" s="4">
        <f>VLOOKUP(A89,'[1]Carcass '!$C$10:$G$397,5, FALSE)</f>
        <v>0.53</v>
      </c>
      <c r="U89" s="4">
        <f>VLOOKUP(A89,'[1]Carcass '!$C$107:$I$399,7,FALSE)</f>
        <v>652</v>
      </c>
    </row>
    <row r="90" spans="1:21" x14ac:dyDescent="0.2">
      <c r="A90" s="94">
        <v>4651</v>
      </c>
      <c r="B90" s="87">
        <f>VLOOKUP(A90,[1]Assign!$A:$D,4,FALSE)</f>
        <v>581</v>
      </c>
      <c r="C90" s="4">
        <v>1</v>
      </c>
      <c r="D90" s="4">
        <v>206</v>
      </c>
      <c r="E90" s="4" t="str">
        <f>VLOOKUP(A90,[1]Assign!$A:$I,9,FALSE)</f>
        <v>10% MDGS Variable</v>
      </c>
      <c r="F90" s="4">
        <f>VLOOKUP(A90,'[1]Carcass '!$C$105:$D$397,2,FALSE)</f>
        <v>804</v>
      </c>
      <c r="G90" s="4">
        <f t="shared" si="20"/>
        <v>1276.1904761904761</v>
      </c>
      <c r="H90" s="31">
        <f t="shared" si="21"/>
        <v>3.5468901846452865</v>
      </c>
      <c r="I90" s="4">
        <f>VLOOKUP(D90,'[1]DMO head'!$A$2:$D$49,4,FALSE)</f>
        <v>20.595227026767663</v>
      </c>
      <c r="J90" s="19">
        <f t="shared" si="22"/>
        <v>695.19047619047615</v>
      </c>
      <c r="L90" s="4">
        <f>VLOOKUP(A90,'[1]Carcass '!$C$10:$J$397,8,FALSE)</f>
        <v>0</v>
      </c>
      <c r="M90" s="4">
        <f t="shared" si="23"/>
        <v>0</v>
      </c>
      <c r="N90" s="4">
        <f t="shared" si="24"/>
        <v>0</v>
      </c>
      <c r="O90" s="4">
        <f t="shared" si="25"/>
        <v>0</v>
      </c>
      <c r="P90" s="4">
        <f t="shared" si="26"/>
        <v>0</v>
      </c>
      <c r="Q90" s="4">
        <f t="shared" si="27"/>
        <v>0</v>
      </c>
      <c r="R90" s="19">
        <f>VLOOKUP(A90,'[1]Carcass '!$C$107:$E$399,3,FALSE)</f>
        <v>13.4</v>
      </c>
      <c r="S90" s="4">
        <f>VLOOKUP(A90,'[1]Carcass '!$C$107:$F$399,4,FALSE)</f>
        <v>3.5</v>
      </c>
      <c r="T90" s="4">
        <f>VLOOKUP(A90,'[1]Carcass '!$C$10:$G$397,5, FALSE)</f>
        <v>0.63</v>
      </c>
      <c r="U90" s="4">
        <f>VLOOKUP(A90,'[1]Carcass '!$C$107:$I$399,7,FALSE)</f>
        <v>446</v>
      </c>
    </row>
    <row r="91" spans="1:21" x14ac:dyDescent="0.2">
      <c r="A91" s="94">
        <v>4427</v>
      </c>
      <c r="B91" s="87">
        <f>VLOOKUP(A91,[1]Assign!$A:$D,4,FALSE)</f>
        <v>594</v>
      </c>
      <c r="C91" s="4">
        <v>1</v>
      </c>
      <c r="D91" s="4">
        <v>207</v>
      </c>
      <c r="E91" s="4" t="str">
        <f>VLOOKUP(A91,[1]Assign!$A:$I,9,FALSE)</f>
        <v>Control</v>
      </c>
      <c r="F91" s="4">
        <f>VLOOKUP(A91,'[1]Carcass '!$C$105:$D$397,2,FALSE)</f>
        <v>781</v>
      </c>
      <c r="G91" s="4">
        <f t="shared" si="20"/>
        <v>1239.6825396825398</v>
      </c>
      <c r="H91" s="31">
        <f t="shared" si="21"/>
        <v>3.2942986718496927</v>
      </c>
      <c r="I91" s="4">
        <f>VLOOKUP(D91,'[1]DMO head'!$A$2:$D$49,4,FALSE)</f>
        <v>21.495747185717072</v>
      </c>
      <c r="J91" s="19">
        <f t="shared" si="22"/>
        <v>645.68253968253975</v>
      </c>
      <c r="L91" s="4">
        <f>VLOOKUP(A91,'[1]Carcass '!$C$10:$J$397,8,FALSE)</f>
        <v>0</v>
      </c>
      <c r="M91" s="4">
        <f t="shared" si="23"/>
        <v>0</v>
      </c>
      <c r="N91" s="4">
        <f t="shared" si="24"/>
        <v>0</v>
      </c>
      <c r="O91" s="4">
        <f t="shared" si="25"/>
        <v>0</v>
      </c>
      <c r="P91" s="4">
        <f t="shared" si="26"/>
        <v>0</v>
      </c>
      <c r="Q91" s="4">
        <f t="shared" si="27"/>
        <v>0</v>
      </c>
      <c r="R91" s="19">
        <f>VLOOKUP(A91,'[1]Carcass '!$C$107:$E$399,3,FALSE)</f>
        <v>14.6</v>
      </c>
      <c r="S91" s="4">
        <f>VLOOKUP(A91,'[1]Carcass '!$C$107:$F$399,4,FALSE)</f>
        <v>2.8</v>
      </c>
      <c r="T91" s="4">
        <f>VLOOKUP(A91,'[1]Carcass '!$C$10:$G$397,5, FALSE)</f>
        <v>0.47</v>
      </c>
      <c r="U91" s="4">
        <f>VLOOKUP(A91,'[1]Carcass '!$C$107:$I$399,7,FALSE)</f>
        <v>420</v>
      </c>
    </row>
    <row r="92" spans="1:21" x14ac:dyDescent="0.2">
      <c r="A92" s="94">
        <v>4640</v>
      </c>
      <c r="B92" s="87">
        <f>VLOOKUP(A92,[1]Assign!$A:$D,4,FALSE)</f>
        <v>594</v>
      </c>
      <c r="C92" s="4">
        <v>1</v>
      </c>
      <c r="D92" s="4">
        <v>208</v>
      </c>
      <c r="E92" s="4" t="str">
        <f>VLOOKUP(A92,[1]Assign!$A:$I,9,FALSE)</f>
        <v>25% MDGS Variable</v>
      </c>
      <c r="F92" s="4">
        <f>VLOOKUP(A92,'[1]Carcass '!$C$105:$D$397,2,FALSE)</f>
        <v>925</v>
      </c>
      <c r="G92" s="4">
        <f t="shared" si="20"/>
        <v>1468.2539682539682</v>
      </c>
      <c r="H92" s="31">
        <f t="shared" si="21"/>
        <v>4.4604794298671848</v>
      </c>
      <c r="I92" s="4">
        <f>VLOOKUP(D92,'[1]DMO head'!$A$2:$D$49,4,FALSE)</f>
        <v>22.92374071584624</v>
      </c>
      <c r="J92" s="19">
        <f t="shared" si="22"/>
        <v>874.2539682539682</v>
      </c>
      <c r="L92" s="4" t="str">
        <f>VLOOKUP(A92,'[1]Carcass '!$C$10:$J$397,8,FALSE)</f>
        <v>A</v>
      </c>
      <c r="M92" s="4">
        <f t="shared" si="23"/>
        <v>1</v>
      </c>
      <c r="N92" s="4">
        <f t="shared" si="24"/>
        <v>0</v>
      </c>
      <c r="O92" s="4">
        <f t="shared" si="25"/>
        <v>0</v>
      </c>
      <c r="P92" s="4">
        <f t="shared" si="26"/>
        <v>1</v>
      </c>
      <c r="Q92" s="4">
        <f t="shared" si="27"/>
        <v>0</v>
      </c>
      <c r="R92" s="19">
        <f>VLOOKUP(A92,'[1]Carcass '!$C$107:$E$399,3,FALSE)</f>
        <v>14.7</v>
      </c>
      <c r="S92" s="4">
        <f>VLOOKUP(A92,'[1]Carcass '!$C$107:$F$399,4,FALSE)</f>
        <v>3.83</v>
      </c>
      <c r="T92" s="4">
        <f>VLOOKUP(A92,'[1]Carcass '!$C$10:$G$397,5, FALSE)</f>
        <v>0.90800000000000003</v>
      </c>
      <c r="U92" s="4">
        <f>VLOOKUP(A92,'[1]Carcass '!$C$107:$I$399,7,FALSE)</f>
        <v>390</v>
      </c>
    </row>
    <row r="93" spans="1:21" x14ac:dyDescent="0.2">
      <c r="A93" s="94">
        <v>4454</v>
      </c>
      <c r="B93" s="87">
        <f>VLOOKUP(A93,[1]Assign!$A:$D,4,FALSE)</f>
        <v>576</v>
      </c>
      <c r="C93" s="4">
        <v>1</v>
      </c>
      <c r="D93" s="4">
        <v>209</v>
      </c>
      <c r="E93" s="4" t="str">
        <f>VLOOKUP(A93,[1]Assign!$A:$I,9,FALSE)</f>
        <v xml:space="preserve">25% MDGS Constant </v>
      </c>
      <c r="F93" s="4">
        <f>VLOOKUP(A93,'[1]Carcass '!$C$105:$D$397,2,FALSE)</f>
        <v>771</v>
      </c>
      <c r="G93" s="4">
        <f t="shared" si="20"/>
        <v>1223.8095238095239</v>
      </c>
      <c r="H93" s="31">
        <f t="shared" si="21"/>
        <v>3.305150631681244</v>
      </c>
      <c r="I93" s="4">
        <f>VLOOKUP(D93,'[1]DMO head'!$A$2:$D$49,4,FALSE)</f>
        <v>21.32140895794052</v>
      </c>
      <c r="J93" s="19">
        <f t="shared" si="22"/>
        <v>647.80952380952385</v>
      </c>
      <c r="L93" s="4">
        <f>VLOOKUP(A93,'[1]Carcass '!$C$10:$J$397,8,FALSE)</f>
        <v>0</v>
      </c>
      <c r="M93" s="4">
        <f t="shared" si="23"/>
        <v>0</v>
      </c>
      <c r="N93" s="4">
        <f t="shared" si="24"/>
        <v>0</v>
      </c>
      <c r="O93" s="4">
        <f t="shared" si="25"/>
        <v>0</v>
      </c>
      <c r="P93" s="4">
        <f t="shared" si="26"/>
        <v>0</v>
      </c>
      <c r="Q93" s="4">
        <f t="shared" si="27"/>
        <v>0</v>
      </c>
      <c r="R93" s="19">
        <f>VLOOKUP(A93,'[1]Carcass '!$C$107:$E$399,3,FALSE)</f>
        <v>14.22</v>
      </c>
      <c r="S93" s="4">
        <f>VLOOKUP(A93,'[1]Carcass '!$C$107:$F$399,4,FALSE)</f>
        <v>3.23</v>
      </c>
      <c r="T93" s="4">
        <f>VLOOKUP(A93,'[1]Carcass '!$C$10:$G$397,5, FALSE)</f>
        <v>0.55600000000000005</v>
      </c>
      <c r="U93" s="4">
        <f>VLOOKUP(A93,'[1]Carcass '!$C$107:$I$399,7,FALSE)</f>
        <v>458</v>
      </c>
    </row>
    <row r="94" spans="1:21" x14ac:dyDescent="0.2">
      <c r="A94" s="94">
        <v>4572</v>
      </c>
      <c r="B94" s="87">
        <f>VLOOKUP(A94,[1]Assign!$A:$D,4,FALSE)</f>
        <v>582</v>
      </c>
      <c r="C94" s="4">
        <v>1</v>
      </c>
      <c r="D94" s="4">
        <v>210</v>
      </c>
      <c r="E94" s="4" t="str">
        <f>VLOOKUP(A94,[1]Assign!$A:$I,9,FALSE)</f>
        <v xml:space="preserve">10% MDGS Constant </v>
      </c>
      <c r="F94" s="4">
        <f>VLOOKUP(A94,'[1]Carcass '!$C$105:$D$397,2,FALSE)</f>
        <v>650</v>
      </c>
      <c r="G94" s="4">
        <f t="shared" si="20"/>
        <v>1031.7460317460318</v>
      </c>
      <c r="H94" s="31">
        <f t="shared" si="21"/>
        <v>2.2946226109491419</v>
      </c>
      <c r="I94" s="4">
        <f>VLOOKUP(D94,'[1]DMO head'!$A$2:$D$49,4,FALSE)</f>
        <v>19.910351814073994</v>
      </c>
      <c r="J94" s="19">
        <f t="shared" si="22"/>
        <v>449.7460317460318</v>
      </c>
      <c r="L94" s="4">
        <f>VLOOKUP(A94,'[1]Carcass '!$C$10:$J$397,8,FALSE)</f>
        <v>0</v>
      </c>
      <c r="M94" s="4">
        <f t="shared" si="23"/>
        <v>0</v>
      </c>
      <c r="N94" s="4">
        <f t="shared" si="24"/>
        <v>0</v>
      </c>
      <c r="O94" s="4">
        <f t="shared" si="25"/>
        <v>0</v>
      </c>
      <c r="P94" s="4">
        <f t="shared" si="26"/>
        <v>0</v>
      </c>
      <c r="Q94" s="4">
        <f t="shared" si="27"/>
        <v>0</v>
      </c>
      <c r="R94" s="19">
        <f>VLOOKUP(A94,'[1]Carcass '!$C$107:$E$399,3,FALSE)</f>
        <v>14.6</v>
      </c>
      <c r="S94" s="4">
        <f>VLOOKUP(A94,'[1]Carcass '!$C$107:$F$399,4,FALSE)</f>
        <v>2.85</v>
      </c>
      <c r="T94" s="4">
        <f>VLOOKUP(A94,'[1]Carcass '!$C$10:$G$397,5, FALSE)</f>
        <v>0.4</v>
      </c>
      <c r="U94" s="4">
        <f>VLOOKUP(A94,'[1]Carcass '!$C$107:$I$399,7,FALSE)</f>
        <v>395</v>
      </c>
    </row>
    <row r="95" spans="1:21" x14ac:dyDescent="0.2">
      <c r="A95" s="94">
        <v>4767</v>
      </c>
      <c r="B95" s="87">
        <f>VLOOKUP(A95,[1]Assign!$A:$D,4,FALSE)</f>
        <v>592</v>
      </c>
      <c r="C95" s="4">
        <v>1</v>
      </c>
      <c r="D95" s="4">
        <v>211</v>
      </c>
      <c r="E95" s="4" t="str">
        <f>VLOOKUP(A95,[1]Assign!$A:$I,9,FALSE)</f>
        <v>Control</v>
      </c>
      <c r="F95" s="4">
        <f>VLOOKUP(A95,'[1]Carcass '!$C$105:$D$397,2,FALSE)</f>
        <v>779</v>
      </c>
      <c r="G95" s="4">
        <f t="shared" si="20"/>
        <v>1236.5079365079364</v>
      </c>
      <c r="H95" s="31">
        <f t="shared" si="21"/>
        <v>3.2883057985098794</v>
      </c>
      <c r="I95" s="4">
        <f>VLOOKUP(D95,'[1]DMO head'!$A$2:$D$49,4,FALSE)</f>
        <v>19.728557757304522</v>
      </c>
      <c r="J95" s="19">
        <f t="shared" si="22"/>
        <v>644.50793650793639</v>
      </c>
      <c r="L95" s="4" t="str">
        <f>VLOOKUP(A95,'[1]Carcass '!$C$10:$J$397,8,FALSE)</f>
        <v>A</v>
      </c>
      <c r="M95" s="4">
        <f t="shared" si="23"/>
        <v>1</v>
      </c>
      <c r="N95" s="4">
        <f t="shared" si="24"/>
        <v>0</v>
      </c>
      <c r="O95" s="4">
        <f t="shared" si="25"/>
        <v>0</v>
      </c>
      <c r="P95" s="4">
        <f t="shared" si="26"/>
        <v>1</v>
      </c>
      <c r="Q95" s="4">
        <f t="shared" si="27"/>
        <v>0</v>
      </c>
      <c r="R95" s="19">
        <f>VLOOKUP(A95,'[1]Carcass '!$C$107:$E$399,3,FALSE)</f>
        <v>15.9</v>
      </c>
      <c r="S95" s="4">
        <f>VLOOKUP(A95,'[1]Carcass '!$C$107:$F$399,4,FALSE)</f>
        <v>2.8</v>
      </c>
      <c r="T95" s="4">
        <f>VLOOKUP(A95,'[1]Carcass '!$C$10:$G$397,5, FALSE)</f>
        <v>0.45</v>
      </c>
      <c r="U95" s="4">
        <f>VLOOKUP(A95,'[1]Carcass '!$C$107:$I$399,7,FALSE)</f>
        <v>428</v>
      </c>
    </row>
    <row r="96" spans="1:21" x14ac:dyDescent="0.2">
      <c r="A96" s="94">
        <v>4490</v>
      </c>
      <c r="B96" s="87">
        <f>VLOOKUP(A96,[1]Assign!$A:$D,4,FALSE)</f>
        <v>600</v>
      </c>
      <c r="C96" s="4">
        <v>1</v>
      </c>
      <c r="D96" s="4">
        <v>212</v>
      </c>
      <c r="E96" s="4" t="str">
        <f>VLOOKUP(A96,[1]Assign!$A:$I,9,FALSE)</f>
        <v>25% MDGS Variable</v>
      </c>
      <c r="F96" s="4">
        <f>VLOOKUP(A96,'[1]Carcass '!$C$105:$D$397,2,FALSE)</f>
        <v>811</v>
      </c>
      <c r="G96" s="4">
        <f t="shared" si="20"/>
        <v>1287.3015873015872</v>
      </c>
      <c r="H96" s="31">
        <f t="shared" si="21"/>
        <v>3.5066407515387104</v>
      </c>
      <c r="I96" s="4">
        <f>VLOOKUP(D96,'[1]DMO head'!$A$2:$D$49,4,FALSE)</f>
        <v>21.738935573736335</v>
      </c>
      <c r="J96" s="19">
        <f t="shared" si="22"/>
        <v>687.30158730158723</v>
      </c>
      <c r="L96" s="4" t="str">
        <f>VLOOKUP(A96,'[1]Carcass '!$C$10:$J$397,8,FALSE)</f>
        <v>A-</v>
      </c>
      <c r="M96" s="4">
        <f t="shared" si="23"/>
        <v>0</v>
      </c>
      <c r="N96" s="4">
        <f t="shared" si="24"/>
        <v>1</v>
      </c>
      <c r="O96" s="4">
        <f t="shared" si="25"/>
        <v>0</v>
      </c>
      <c r="P96" s="4">
        <f t="shared" si="26"/>
        <v>1</v>
      </c>
      <c r="Q96" s="4">
        <f t="shared" si="27"/>
        <v>0</v>
      </c>
      <c r="R96" s="19">
        <f>VLOOKUP(A96,'[1]Carcass '!$C$107:$E$399,3,FALSE)</f>
        <v>15</v>
      </c>
      <c r="S96" s="4">
        <f>VLOOKUP(A96,'[1]Carcass '!$C$107:$F$399,4,FALSE)</f>
        <v>2.8</v>
      </c>
      <c r="T96" s="4">
        <f>VLOOKUP(A96,'[1]Carcass '!$C$10:$G$397,5, FALSE)</f>
        <v>0.31999999999999995</v>
      </c>
      <c r="U96" s="4">
        <f>VLOOKUP(A96,'[1]Carcass '!$C$107:$I$399,7,FALSE)</f>
        <v>531</v>
      </c>
    </row>
    <row r="97" spans="1:21" x14ac:dyDescent="0.2">
      <c r="A97" s="94">
        <v>4675</v>
      </c>
      <c r="B97" s="87">
        <f>VLOOKUP(A97,[1]Assign!$A:$D,4,FALSE)</f>
        <v>583</v>
      </c>
      <c r="C97" s="4">
        <v>1</v>
      </c>
      <c r="D97" s="4">
        <v>213</v>
      </c>
      <c r="E97" s="4" t="str">
        <f>VLOOKUP(A97,[1]Assign!$A:$I,9,FALSE)</f>
        <v>10% MDGS Variable</v>
      </c>
      <c r="F97" s="4">
        <f>VLOOKUP(A97,'[1]Carcass '!$C$105:$D$397,2,FALSE)</f>
        <v>764</v>
      </c>
      <c r="G97" s="4">
        <f t="shared" si="20"/>
        <v>1212.6984126984128</v>
      </c>
      <c r="H97" s="31">
        <f t="shared" si="21"/>
        <v>3.2127470035633303</v>
      </c>
      <c r="I97" s="4">
        <f>VLOOKUP(D97,'[1]DMO head'!$A$2:$D$49,4,FALSE)</f>
        <v>22.955779082777788</v>
      </c>
      <c r="J97" s="19">
        <f t="shared" si="22"/>
        <v>629.69841269841277</v>
      </c>
      <c r="L97" s="4">
        <f>VLOOKUP(A97,'[1]Carcass '!$C$10:$J$397,8,FALSE)</f>
        <v>0</v>
      </c>
      <c r="M97" s="4">
        <f t="shared" si="23"/>
        <v>0</v>
      </c>
      <c r="N97" s="4">
        <f t="shared" si="24"/>
        <v>0</v>
      </c>
      <c r="O97" s="4">
        <f t="shared" si="25"/>
        <v>0</v>
      </c>
      <c r="P97" s="4">
        <f t="shared" si="26"/>
        <v>0</v>
      </c>
      <c r="Q97" s="4">
        <f t="shared" si="27"/>
        <v>0</v>
      </c>
      <c r="R97" s="19">
        <f>VLOOKUP(A97,'[1]Carcass '!$C$107:$E$399,3,FALSE)</f>
        <v>12.93</v>
      </c>
      <c r="S97" s="4">
        <f>VLOOKUP(A97,'[1]Carcass '!$C$107:$F$399,4,FALSE)</f>
        <v>3.82</v>
      </c>
      <c r="T97" s="4">
        <f>VLOOKUP(A97,'[1]Carcass '!$C$10:$G$397,5, FALSE)</f>
        <v>0.72799999999999998</v>
      </c>
      <c r="U97" s="4">
        <f>VLOOKUP(A97,'[1]Carcass '!$C$107:$I$399,7,FALSE)</f>
        <v>860</v>
      </c>
    </row>
    <row r="98" spans="1:21" ht="16" thickBot="1" x14ac:dyDescent="0.25">
      <c r="A98" s="102">
        <v>4649</v>
      </c>
      <c r="B98" s="87">
        <f>VLOOKUP(A98,[1]Assign!$A:$D,4,FALSE)</f>
        <v>582</v>
      </c>
      <c r="C98" s="4">
        <v>1</v>
      </c>
      <c r="D98" s="4">
        <v>214</v>
      </c>
      <c r="E98" s="4" t="str">
        <f>VLOOKUP(A98,[1]Assign!$A:$I,9,FALSE)</f>
        <v xml:space="preserve">25% MDGS Constant </v>
      </c>
      <c r="F98" s="4">
        <f>VLOOKUP(A98,'[1]Carcass '!$C$105:$D$397,2,FALSE)</f>
        <v>798</v>
      </c>
      <c r="G98" s="4">
        <f t="shared" si="20"/>
        <v>1266.6666666666667</v>
      </c>
      <c r="H98" s="31">
        <f t="shared" si="21"/>
        <v>3.4931972789115648</v>
      </c>
      <c r="I98" s="4">
        <f>VLOOKUP(D98,'[1]DMO head'!$A$2:$D$49,4,FALSE)</f>
        <v>22.398784651854065</v>
      </c>
      <c r="J98" s="19">
        <f t="shared" si="22"/>
        <v>684.66666666666674</v>
      </c>
      <c r="L98" s="4">
        <f>VLOOKUP(A98,'[1]Carcass '!$C$10:$J$397,8,FALSE)</f>
        <v>0</v>
      </c>
      <c r="M98" s="4">
        <f t="shared" si="23"/>
        <v>0</v>
      </c>
      <c r="N98" s="4">
        <f t="shared" si="24"/>
        <v>0</v>
      </c>
      <c r="O98" s="4">
        <f t="shared" si="25"/>
        <v>0</v>
      </c>
      <c r="P98" s="4">
        <f t="shared" si="26"/>
        <v>0</v>
      </c>
      <c r="Q98" s="4">
        <f t="shared" si="27"/>
        <v>0</v>
      </c>
      <c r="R98" s="19">
        <f>VLOOKUP(A98,'[1]Carcass '!$C$107:$E$399,3,FALSE)</f>
        <v>13.2</v>
      </c>
      <c r="S98" s="4">
        <f>VLOOKUP(A98,'[1]Carcass '!$C$107:$F$399,4,FALSE)</f>
        <v>3.4</v>
      </c>
    </row>
    <row r="99" spans="1:21" x14ac:dyDescent="0.2">
      <c r="A99" s="86">
        <v>4471</v>
      </c>
      <c r="B99" s="87">
        <f>VLOOKUP(A99,[1]Assign!$A:$D,4,FALSE)</f>
        <v>599</v>
      </c>
      <c r="C99" s="4">
        <v>2</v>
      </c>
      <c r="D99" s="4">
        <v>215</v>
      </c>
      <c r="E99" s="4" t="str">
        <f>VLOOKUP(A99,[1]Assign!$A:$I,9,FALSE)</f>
        <v>10% MDGS Variable</v>
      </c>
      <c r="F99" s="4">
        <f>VLOOKUP(A99,'[1]Carcass '!$C$105:$D$397,2,FALSE)</f>
        <v>879</v>
      </c>
      <c r="G99" s="4">
        <f t="shared" si="20"/>
        <v>1395.2380952380952</v>
      </c>
      <c r="H99" s="31">
        <f t="shared" si="21"/>
        <v>4.0624392614188531</v>
      </c>
      <c r="I99" s="4">
        <f>VLOOKUP(D99,'[1]DMO head'!$A$2:$D$49,4,FALSE)</f>
        <v>21.5797851350505</v>
      </c>
      <c r="J99" s="19">
        <f t="shared" si="22"/>
        <v>796.23809523809518</v>
      </c>
      <c r="L99" s="4" t="str">
        <f>VLOOKUP(A99,'[1]Carcass '!$C$10:$J$397,8,FALSE)</f>
        <v>C</v>
      </c>
      <c r="M99" s="4">
        <f t="shared" si="23"/>
        <v>0</v>
      </c>
      <c r="N99" s="4">
        <f t="shared" si="24"/>
        <v>0</v>
      </c>
      <c r="O99" s="4">
        <f t="shared" si="25"/>
        <v>0</v>
      </c>
      <c r="P99" s="4">
        <f t="shared" si="26"/>
        <v>0</v>
      </c>
      <c r="Q99" s="4">
        <f t="shared" si="27"/>
        <v>1</v>
      </c>
      <c r="R99" s="19" t="str">
        <f>VLOOKUP(A99,'[1]Carcass '!$C$107:$E$399,3,FALSE)</f>
        <v>.</v>
      </c>
      <c r="S99" s="4" t="str">
        <f>VLOOKUP(A99,'[1]Carcass '!$C$107:$F$399,4,FALSE)</f>
        <v>.</v>
      </c>
    </row>
    <row r="100" spans="1:21" x14ac:dyDescent="0.2">
      <c r="A100" s="94">
        <v>4639</v>
      </c>
      <c r="B100" s="87">
        <f>VLOOKUP(A100,[1]Assign!$A:$D,4,FALSE)</f>
        <v>598</v>
      </c>
      <c r="C100" s="4">
        <v>2</v>
      </c>
      <c r="D100" s="4">
        <v>216</v>
      </c>
      <c r="E100" s="4" t="str">
        <f>VLOOKUP(A100,[1]Assign!$A:$I,9,FALSE)</f>
        <v xml:space="preserve">10% MDGS Constant </v>
      </c>
      <c r="F100" s="4">
        <f>VLOOKUP(A100,'[1]Carcass '!$C$105:$D$397,2,FALSE)</f>
        <v>774</v>
      </c>
      <c r="G100" s="4">
        <f t="shared" si="20"/>
        <v>1228.5714285714287</v>
      </c>
      <c r="H100" s="31">
        <f t="shared" si="21"/>
        <v>3.2172011661807587</v>
      </c>
      <c r="I100" s="4">
        <f>VLOOKUP(D100,'[1]DMO head'!$A$2:$D$49,4,FALSE)</f>
        <v>21.830062429040414</v>
      </c>
      <c r="J100" s="19">
        <f t="shared" si="22"/>
        <v>630.57142857142867</v>
      </c>
      <c r="L100" s="4" t="str">
        <f>VLOOKUP(A100,'[1]Carcass '!$C$10:$J$397,8,FALSE)</f>
        <v>A-</v>
      </c>
      <c r="M100" s="4">
        <f t="shared" si="23"/>
        <v>0</v>
      </c>
      <c r="N100" s="4">
        <f t="shared" si="24"/>
        <v>1</v>
      </c>
      <c r="O100" s="4">
        <f t="shared" si="25"/>
        <v>0</v>
      </c>
      <c r="P100" s="4">
        <f t="shared" si="26"/>
        <v>1</v>
      </c>
      <c r="Q100" s="4">
        <f t="shared" si="27"/>
        <v>0</v>
      </c>
      <c r="R100" s="19">
        <f>VLOOKUP(A100,'[1]Carcass '!$C$107:$E$399,3,FALSE)</f>
        <v>12.7</v>
      </c>
      <c r="S100" s="4">
        <f>VLOOKUP(A100,'[1]Carcass '!$C$107:$F$399,4,FALSE)</f>
        <v>3.9</v>
      </c>
      <c r="T100" s="4">
        <f>VLOOKUP(A100,'[1]Carcass '!$C$10:$G$397,5, FALSE)</f>
        <v>0.76</v>
      </c>
      <c r="U100" s="4">
        <f>VLOOKUP(A100,'[1]Carcass '!$C$107:$I$399,7,FALSE)</f>
        <v>684</v>
      </c>
    </row>
    <row r="101" spans="1:21" x14ac:dyDescent="0.2">
      <c r="A101" s="94">
        <v>4611</v>
      </c>
      <c r="B101" s="87">
        <f>VLOOKUP(A101,[1]Assign!$A:$D,4,FALSE)</f>
        <v>596</v>
      </c>
      <c r="C101" s="4">
        <v>2</v>
      </c>
      <c r="D101" s="4">
        <v>301</v>
      </c>
      <c r="E101" s="4" t="str">
        <f>VLOOKUP(A101,[1]Assign!$A:$I,9,FALSE)</f>
        <v xml:space="preserve">25% MDGS Constant </v>
      </c>
      <c r="F101" s="4">
        <f>VLOOKUP(A101,'[1]Carcass '!$C$105:$D$397,2,FALSE)</f>
        <v>818</v>
      </c>
      <c r="G101" s="4">
        <f t="shared" si="20"/>
        <v>1298.4126984126983</v>
      </c>
      <c r="H101" s="31">
        <f t="shared" si="21"/>
        <v>3.5837382572076444</v>
      </c>
      <c r="I101" s="4">
        <f>VLOOKUP(D101,'[1]DMO head'!$A$2:$D$49,4,FALSE)</f>
        <v>22.630176042777777</v>
      </c>
      <c r="J101" s="19">
        <f t="shared" si="22"/>
        <v>702.41269841269832</v>
      </c>
      <c r="L101" s="4">
        <f>VLOOKUP(A101,'[1]Carcass '!$C$10:$J$397,8,FALSE)</f>
        <v>0</v>
      </c>
      <c r="M101" s="4">
        <f t="shared" si="23"/>
        <v>0</v>
      </c>
      <c r="N101" s="4">
        <f t="shared" si="24"/>
        <v>0</v>
      </c>
      <c r="O101" s="4">
        <f t="shared" si="25"/>
        <v>0</v>
      </c>
      <c r="P101" s="4">
        <f t="shared" si="26"/>
        <v>0</v>
      </c>
      <c r="Q101" s="4">
        <f t="shared" si="27"/>
        <v>0</v>
      </c>
      <c r="R101" s="19">
        <f>VLOOKUP(A101,'[1]Carcass '!$C$107:$E$399,3,FALSE)</f>
        <v>14.2</v>
      </c>
      <c r="S101" s="4">
        <f>VLOOKUP(A101,'[1]Carcass '!$C$107:$F$399,4,FALSE)</f>
        <v>3.3</v>
      </c>
      <c r="T101" s="4">
        <f>VLOOKUP(A101,'[1]Carcass '!$C$10:$G$397,5, FALSE)</f>
        <v>0.54</v>
      </c>
      <c r="U101" s="4">
        <f>VLOOKUP(A101,'[1]Carcass '!$C$107:$I$399,7,FALSE)</f>
        <v>464</v>
      </c>
    </row>
    <row r="102" spans="1:21" x14ac:dyDescent="0.2">
      <c r="A102" s="94">
        <v>4389</v>
      </c>
      <c r="B102" s="87">
        <f>VLOOKUP(A102,[1]Assign!$A:$D,4,FALSE)</f>
        <v>592</v>
      </c>
      <c r="C102" s="4">
        <v>2</v>
      </c>
      <c r="D102" s="4">
        <v>302</v>
      </c>
      <c r="E102" s="4" t="str">
        <f>VLOOKUP(A102,[1]Assign!$A:$I,9,FALSE)</f>
        <v>25% MDGS Variable</v>
      </c>
      <c r="F102" s="4">
        <f>VLOOKUP(A102,'[1]Carcass '!$C$105:$D$397,2,FALSE)</f>
        <v>727</v>
      </c>
      <c r="G102" s="4">
        <f t="shared" si="20"/>
        <v>1153.968253968254</v>
      </c>
      <c r="H102" s="31">
        <f t="shared" si="21"/>
        <v>2.8671849692257858</v>
      </c>
      <c r="I102" s="4">
        <f>VLOOKUP(D102,'[1]DMO head'!$A$2:$D$49,4,FALSE)</f>
        <v>21.718133105510006</v>
      </c>
      <c r="J102" s="19">
        <f t="shared" si="22"/>
        <v>561.96825396825398</v>
      </c>
      <c r="L102" s="4" t="str">
        <f>VLOOKUP(A102,'[1]Carcass '!$C$10:$J$397,8,FALSE)</f>
        <v>A-</v>
      </c>
      <c r="M102" s="4">
        <f t="shared" si="23"/>
        <v>0</v>
      </c>
      <c r="N102" s="4">
        <f t="shared" si="24"/>
        <v>1</v>
      </c>
      <c r="O102" s="4">
        <f t="shared" si="25"/>
        <v>0</v>
      </c>
      <c r="P102" s="4">
        <f t="shared" si="26"/>
        <v>1</v>
      </c>
      <c r="Q102" s="4">
        <f t="shared" si="27"/>
        <v>0</v>
      </c>
      <c r="R102" s="19">
        <f>VLOOKUP(A102,'[1]Carcass '!$C$107:$E$399,3,FALSE)</f>
        <v>14.24</v>
      </c>
      <c r="S102" s="4">
        <f>VLOOKUP(A102,'[1]Carcass '!$C$107:$F$399,4,FALSE)</f>
        <v>2.95</v>
      </c>
      <c r="T102" s="4">
        <f>VLOOKUP(A102,'[1]Carcass '!$C$10:$G$397,5, FALSE)</f>
        <v>1.3919999999999999</v>
      </c>
    </row>
    <row r="103" spans="1:21" x14ac:dyDescent="0.2">
      <c r="A103" s="94">
        <v>4537</v>
      </c>
      <c r="B103" s="87">
        <f>VLOOKUP(A103,[1]Assign!$A:$D,4,FALSE)</f>
        <v>602</v>
      </c>
      <c r="C103" s="4">
        <v>2</v>
      </c>
      <c r="D103" s="4">
        <v>303</v>
      </c>
      <c r="E103" s="4" t="str">
        <f>VLOOKUP(A103,[1]Assign!$A:$I,9,FALSE)</f>
        <v>Control</v>
      </c>
      <c r="F103" s="4">
        <f>VLOOKUP(A103,'[1]Carcass '!$C$105:$D$397,2,FALSE)</f>
        <v>817</v>
      </c>
      <c r="G103" s="4">
        <f t="shared" si="20"/>
        <v>1296.8253968253969</v>
      </c>
      <c r="H103" s="31">
        <f t="shared" si="21"/>
        <v>3.5450275348234532</v>
      </c>
      <c r="I103" s="4">
        <f>VLOOKUP(D103,'[1]DMO head'!$A$2:$D$49,4,FALSE)</f>
        <v>21.256780292032506</v>
      </c>
      <c r="J103" s="19">
        <f t="shared" si="22"/>
        <v>694.82539682539687</v>
      </c>
      <c r="L103" s="4" t="str">
        <f>VLOOKUP(A103,'[1]Carcass '!$C$10:$J$397,8,FALSE)</f>
        <v>A</v>
      </c>
      <c r="M103" s="4">
        <f t="shared" si="23"/>
        <v>1</v>
      </c>
      <c r="N103" s="4">
        <f t="shared" si="24"/>
        <v>0</v>
      </c>
      <c r="O103" s="4">
        <f t="shared" si="25"/>
        <v>0</v>
      </c>
      <c r="P103" s="4">
        <f t="shared" si="26"/>
        <v>1</v>
      </c>
      <c r="Q103" s="4">
        <f t="shared" si="27"/>
        <v>0</v>
      </c>
      <c r="R103" s="19">
        <f>VLOOKUP(A103,'[1]Carcass '!$C$107:$E$399,3,FALSE)</f>
        <v>14</v>
      </c>
      <c r="S103" s="4">
        <f>VLOOKUP(A103,'[1]Carcass '!$C$107:$F$399,4,FALSE)</f>
        <v>3.09</v>
      </c>
      <c r="T103" s="4">
        <f>VLOOKUP(A103,'[1]Carcass '!$C$10:$G$397,5, FALSE)</f>
        <v>0.53600000000000003</v>
      </c>
      <c r="U103" s="4">
        <f>VLOOKUP(A103,'[1]Carcass '!$C$107:$I$399,7,FALSE)</f>
        <v>434</v>
      </c>
    </row>
    <row r="104" spans="1:21" x14ac:dyDescent="0.2">
      <c r="A104" s="94">
        <v>4394</v>
      </c>
      <c r="B104" s="87">
        <f>VLOOKUP(A104,[1]Assign!$A:$D,4,FALSE)</f>
        <v>600</v>
      </c>
      <c r="C104" s="4">
        <v>2</v>
      </c>
      <c r="D104" s="4">
        <v>304</v>
      </c>
      <c r="E104" s="4" t="str">
        <f>VLOOKUP(A104,[1]Assign!$A:$I,9,FALSE)</f>
        <v>10% MDGS Variable</v>
      </c>
      <c r="F104" s="4">
        <f>VLOOKUP(A104,'[1]Carcass '!$C$105:$D$397,2,FALSE)</f>
        <v>827</v>
      </c>
      <c r="G104" s="4" t="s">
        <v>43</v>
      </c>
      <c r="H104" s="31" t="s">
        <v>43</v>
      </c>
      <c r="I104" s="4">
        <f>VLOOKUP(D104,'[1]DMO head'!$A$2:$D$49,4,FALSE)</f>
        <v>21.282594490991229</v>
      </c>
      <c r="J104" s="19" t="s">
        <v>43</v>
      </c>
      <c r="L104" s="4">
        <f>VLOOKUP(A104,'[1]Carcass '!$C$10:$J$397,8,FALSE)</f>
        <v>0</v>
      </c>
      <c r="M104" s="4">
        <f t="shared" si="23"/>
        <v>0</v>
      </c>
      <c r="N104" s="4">
        <f t="shared" si="24"/>
        <v>0</v>
      </c>
      <c r="O104" s="4">
        <f t="shared" si="25"/>
        <v>0</v>
      </c>
      <c r="P104" s="4">
        <f t="shared" si="26"/>
        <v>0</v>
      </c>
      <c r="Q104" s="4">
        <f t="shared" si="27"/>
        <v>0</v>
      </c>
      <c r="R104" s="19">
        <f>VLOOKUP(A104,'[1]Carcass '!$C$107:$E$399,3,FALSE)</f>
        <v>15</v>
      </c>
      <c r="S104" s="4">
        <f>VLOOKUP(A104,'[1]Carcass '!$C$107:$F$399,4,FALSE)</f>
        <v>3.4</v>
      </c>
      <c r="T104" s="4">
        <f>VLOOKUP(A104,'[1]Carcass '!$C$10:$G$397,5, FALSE)</f>
        <v>0.57999999999999996</v>
      </c>
      <c r="U104" s="4">
        <f>VLOOKUP(A104,'[1]Carcass '!$C$107:$I$399,7,FALSE)</f>
        <v>457</v>
      </c>
    </row>
    <row r="105" spans="1:21" x14ac:dyDescent="0.2">
      <c r="A105" s="94">
        <v>4612</v>
      </c>
      <c r="B105" s="87">
        <f>VLOOKUP(A105,[1]Assign!$A:$D,4,FALSE)</f>
        <v>591</v>
      </c>
      <c r="C105" s="4">
        <v>2</v>
      </c>
      <c r="D105" s="4">
        <v>305</v>
      </c>
      <c r="E105" s="4" t="str">
        <f>VLOOKUP(A105,[1]Assign!$A:$I,9,FALSE)</f>
        <v xml:space="preserve">10% MDGS Constant </v>
      </c>
      <c r="F105" s="4">
        <f>VLOOKUP(A105,'[1]Carcass '!$C$105:$D$397,2,FALSE)</f>
        <v>860</v>
      </c>
      <c r="G105" s="4">
        <f t="shared" si="20"/>
        <v>1365.0793650793651</v>
      </c>
      <c r="H105" s="31">
        <f t="shared" si="21"/>
        <v>3.9493845157110461</v>
      </c>
      <c r="I105" s="4">
        <f>VLOOKUP(D105,'[1]DMO head'!$A$2:$D$49,4,FALSE)</f>
        <v>20.599573820131273</v>
      </c>
      <c r="J105" s="19">
        <f t="shared" si="22"/>
        <v>774.07936507936506</v>
      </c>
      <c r="L105" s="4">
        <f>VLOOKUP(A105,'[1]Carcass '!$C$10:$J$397,8,FALSE)</f>
        <v>0</v>
      </c>
      <c r="M105" s="4">
        <f t="shared" si="23"/>
        <v>0</v>
      </c>
      <c r="N105" s="4">
        <f t="shared" si="24"/>
        <v>0</v>
      </c>
      <c r="O105" s="4">
        <f t="shared" si="25"/>
        <v>0</v>
      </c>
      <c r="P105" s="4">
        <f t="shared" si="26"/>
        <v>0</v>
      </c>
      <c r="Q105" s="4">
        <f t="shared" si="27"/>
        <v>0</v>
      </c>
      <c r="R105" s="19">
        <f>VLOOKUP(A105,'[1]Carcass '!$C$107:$E$399,3,FALSE)</f>
        <v>15.5</v>
      </c>
      <c r="S105" s="4">
        <f>VLOOKUP(A105,'[1]Carcass '!$C$107:$F$399,4,FALSE)</f>
        <v>3</v>
      </c>
      <c r="T105" s="4">
        <f>VLOOKUP(A105,'[1]Carcass '!$C$10:$G$397,5, FALSE)</f>
        <v>0.5</v>
      </c>
      <c r="U105" s="4">
        <f>VLOOKUP(A105,'[1]Carcass '!$C$107:$I$399,7,FALSE)</f>
        <v>451</v>
      </c>
    </row>
    <row r="106" spans="1:21" x14ac:dyDescent="0.2">
      <c r="A106" s="94">
        <v>4496</v>
      </c>
      <c r="B106" s="87">
        <f>VLOOKUP(A106,[1]Assign!$A:$D,4,FALSE)</f>
        <v>594</v>
      </c>
      <c r="C106" s="4">
        <v>2</v>
      </c>
      <c r="D106" s="4">
        <v>306</v>
      </c>
      <c r="E106" s="4" t="str">
        <f>VLOOKUP(A106,[1]Assign!$A:$I,9,FALSE)</f>
        <v>Control</v>
      </c>
      <c r="F106" s="4">
        <f>VLOOKUP(A106,'[1]Carcass '!$C$105:$D$397,2,FALSE)</f>
        <v>859</v>
      </c>
      <c r="G106" s="4">
        <f t="shared" si="20"/>
        <v>1363.4920634920634</v>
      </c>
      <c r="H106" s="31">
        <f t="shared" si="21"/>
        <v>3.9259799157758337</v>
      </c>
      <c r="I106" s="4">
        <f>VLOOKUP(D106,'[1]DMO head'!$A$2:$D$49,4,FALSE)</f>
        <v>23.243543323568986</v>
      </c>
      <c r="J106" s="19">
        <f t="shared" si="22"/>
        <v>769.49206349206338</v>
      </c>
      <c r="L106" s="4" t="str">
        <f>VLOOKUP(A106,'[1]Carcass '!$C$10:$J$397,8,FALSE)</f>
        <v>C</v>
      </c>
      <c r="M106" s="4">
        <f t="shared" si="23"/>
        <v>0</v>
      </c>
      <c r="N106" s="4">
        <f t="shared" si="24"/>
        <v>0</v>
      </c>
      <c r="O106" s="4">
        <f t="shared" si="25"/>
        <v>0</v>
      </c>
      <c r="P106" s="4">
        <f t="shared" si="26"/>
        <v>0</v>
      </c>
      <c r="Q106" s="4">
        <f t="shared" si="27"/>
        <v>1</v>
      </c>
      <c r="R106" s="19">
        <f>VLOOKUP(A106,'[1]Carcass '!$C$107:$E$399,3,FALSE)</f>
        <v>16.2</v>
      </c>
      <c r="S106" s="4">
        <f>VLOOKUP(A106,'[1]Carcass '!$C$107:$F$399,4,FALSE)</f>
        <v>4.0999999999999996</v>
      </c>
      <c r="T106" s="4">
        <f>VLOOKUP(A106,'[1]Carcass '!$C$10:$G$397,5, FALSE)</f>
        <v>0.92</v>
      </c>
      <c r="U106" s="4">
        <f>VLOOKUP(A106,'[1]Carcass '!$C$107:$I$399,7,FALSE)</f>
        <v>598</v>
      </c>
    </row>
    <row r="107" spans="1:21" x14ac:dyDescent="0.2">
      <c r="A107" s="94">
        <v>4628</v>
      </c>
      <c r="B107" s="87">
        <f>VLOOKUP(A107,[1]Assign!$A:$D,4,FALSE)</f>
        <v>580</v>
      </c>
      <c r="C107" s="4">
        <v>2</v>
      </c>
      <c r="D107" s="4">
        <v>307</v>
      </c>
      <c r="E107" s="4" t="str">
        <f>VLOOKUP(A107,[1]Assign!$A:$I,9,FALSE)</f>
        <v>25% MDGS Variable</v>
      </c>
      <c r="F107" s="4">
        <f>VLOOKUP(A107,'[1]Carcass '!$C$105:$D$397,2,FALSE)</f>
        <v>813</v>
      </c>
      <c r="G107" s="4">
        <f t="shared" si="20"/>
        <v>1290.4761904761904</v>
      </c>
      <c r="H107" s="31">
        <f t="shared" si="21"/>
        <v>3.6248785228377058</v>
      </c>
      <c r="I107" s="4">
        <f>VLOOKUP(D107,'[1]DMO head'!$A$2:$D$49,4,FALSE)</f>
        <v>21.697158876111111</v>
      </c>
      <c r="J107" s="19">
        <f t="shared" si="22"/>
        <v>710.47619047619037</v>
      </c>
      <c r="L107" s="4">
        <f>VLOOKUP(A107,'[1]Carcass '!$C$10:$J$397,8,FALSE)</f>
        <v>0</v>
      </c>
      <c r="M107" s="4">
        <f t="shared" si="23"/>
        <v>0</v>
      </c>
      <c r="N107" s="4">
        <f t="shared" si="24"/>
        <v>0</v>
      </c>
      <c r="O107" s="4">
        <f t="shared" si="25"/>
        <v>0</v>
      </c>
      <c r="P107" s="4">
        <f t="shared" si="26"/>
        <v>0</v>
      </c>
      <c r="Q107" s="4">
        <f t="shared" si="27"/>
        <v>0</v>
      </c>
      <c r="R107" s="19">
        <f>VLOOKUP(A107,'[1]Carcass '!$C$107:$E$399,3,FALSE)</f>
        <v>14.2</v>
      </c>
      <c r="S107" s="4">
        <f>VLOOKUP(A107,'[1]Carcass '!$C$107:$F$399,4,FALSE)</f>
        <v>3</v>
      </c>
      <c r="T107" s="4">
        <f>VLOOKUP(A107,'[1]Carcass '!$C$10:$G$397,5, FALSE)</f>
        <v>0.49</v>
      </c>
      <c r="U107" s="4">
        <f>VLOOKUP(A107,'[1]Carcass '!$C$107:$I$399,7,FALSE)</f>
        <v>381</v>
      </c>
    </row>
    <row r="108" spans="1:21" x14ac:dyDescent="0.2">
      <c r="A108" s="94">
        <v>4600</v>
      </c>
      <c r="B108" s="87">
        <f>VLOOKUP(A108,[1]Assign!$A:$D,4,FALSE)</f>
        <v>594</v>
      </c>
      <c r="C108" s="4">
        <v>2</v>
      </c>
      <c r="D108" s="4">
        <v>308</v>
      </c>
      <c r="E108" s="4" t="str">
        <f>VLOOKUP(A108,[1]Assign!$A:$I,9,FALSE)</f>
        <v xml:space="preserve">25% MDGS Constant </v>
      </c>
      <c r="F108" s="4">
        <f>VLOOKUP(A108,'[1]Carcass '!$C$105:$D$397,2,FALSE)</f>
        <v>770</v>
      </c>
      <c r="G108" s="4">
        <f t="shared" si="20"/>
        <v>1222.2222222222222</v>
      </c>
      <c r="H108" s="31">
        <f t="shared" si="21"/>
        <v>3.2052154195011333</v>
      </c>
      <c r="I108" s="4">
        <f>VLOOKUP(D108,'[1]DMO head'!$A$2:$D$49,4,FALSE)</f>
        <v>23.183092460704504</v>
      </c>
      <c r="J108" s="19">
        <f t="shared" si="22"/>
        <v>628.22222222222217</v>
      </c>
      <c r="L108" s="4">
        <f>VLOOKUP(A108,'[1]Carcass '!$C$10:$J$397,8,FALSE)</f>
        <v>0</v>
      </c>
      <c r="M108" s="4">
        <f t="shared" si="23"/>
        <v>0</v>
      </c>
      <c r="N108" s="4">
        <f t="shared" si="24"/>
        <v>0</v>
      </c>
      <c r="O108" s="4">
        <f t="shared" si="25"/>
        <v>0</v>
      </c>
      <c r="P108" s="4">
        <f t="shared" si="26"/>
        <v>0</v>
      </c>
      <c r="Q108" s="4">
        <f t="shared" si="27"/>
        <v>0</v>
      </c>
      <c r="R108" s="19">
        <f>VLOOKUP(A108,'[1]Carcass '!$C$107:$E$399,3,FALSE)</f>
        <v>14.45</v>
      </c>
      <c r="S108" s="4">
        <f>VLOOKUP(A108,'[1]Carcass '!$C$107:$F$399,4,FALSE)</f>
        <v>3.2</v>
      </c>
      <c r="T108" s="4">
        <f>VLOOKUP(A108,'[1]Carcass '!$C$10:$G$397,5, FALSE)</f>
        <v>0.5</v>
      </c>
      <c r="U108" s="4">
        <f>VLOOKUP(A108,'[1]Carcass '!$C$107:$I$399,7,FALSE)</f>
        <v>450</v>
      </c>
    </row>
    <row r="109" spans="1:21" x14ac:dyDescent="0.2">
      <c r="A109" s="94">
        <v>4696</v>
      </c>
      <c r="B109" s="87">
        <f>VLOOKUP(A109,[1]Assign!$A:$D,4,FALSE)</f>
        <v>591</v>
      </c>
      <c r="C109" s="4">
        <v>2</v>
      </c>
      <c r="D109" s="4">
        <v>309</v>
      </c>
      <c r="E109" s="4" t="str">
        <f>VLOOKUP(A109,[1]Assign!$A:$I,9,FALSE)</f>
        <v>Control</v>
      </c>
      <c r="F109" s="4">
        <f>VLOOKUP(A109,'[1]Carcass '!$C$105:$D$397,2,FALSE)</f>
        <v>838</v>
      </c>
      <c r="G109" s="4">
        <f t="shared" si="20"/>
        <v>1330.1587301587301</v>
      </c>
      <c r="H109" s="31">
        <f t="shared" si="21"/>
        <v>3.7712180110139291</v>
      </c>
      <c r="I109" s="4">
        <f>VLOOKUP(D109,'[1]DMO head'!$A$2:$D$49,4,FALSE)</f>
        <v>22.382749735000004</v>
      </c>
      <c r="J109" s="19">
        <f t="shared" si="22"/>
        <v>739.15873015873012</v>
      </c>
      <c r="L109" s="4">
        <f>VLOOKUP(A109,'[1]Carcass '!$C$10:$J$397,8,FALSE)</f>
        <v>0</v>
      </c>
      <c r="M109" s="4">
        <f t="shared" si="23"/>
        <v>0</v>
      </c>
      <c r="N109" s="4">
        <f t="shared" si="24"/>
        <v>0</v>
      </c>
      <c r="O109" s="4">
        <f t="shared" si="25"/>
        <v>0</v>
      </c>
      <c r="P109" s="4">
        <f t="shared" si="26"/>
        <v>0</v>
      </c>
      <c r="Q109" s="4">
        <f t="shared" si="27"/>
        <v>0</v>
      </c>
      <c r="R109" s="19">
        <f>VLOOKUP(A109,'[1]Carcass '!$C$107:$E$399,3,FALSE)</f>
        <v>13</v>
      </c>
      <c r="S109" s="4">
        <f>VLOOKUP(A109,'[1]Carcass '!$C$107:$F$399,4,FALSE)</f>
        <v>2.7</v>
      </c>
      <c r="T109" s="4">
        <f>VLOOKUP(A109,'[1]Carcass '!$C$10:$G$397,5, FALSE)</f>
        <v>0.36399999999999999</v>
      </c>
      <c r="U109" s="4">
        <f>VLOOKUP(A109,'[1]Carcass '!$C$107:$I$399,7,FALSE)</f>
        <v>502</v>
      </c>
    </row>
    <row r="110" spans="1:21" x14ac:dyDescent="0.2">
      <c r="A110" s="94">
        <v>4674</v>
      </c>
      <c r="B110" s="87">
        <f>VLOOKUP(A110,[1]Assign!$A:$D,4,FALSE)</f>
        <v>595</v>
      </c>
      <c r="C110" s="4">
        <v>2</v>
      </c>
      <c r="D110" s="4">
        <v>310</v>
      </c>
      <c r="E110" s="4" t="str">
        <f>VLOOKUP(A110,[1]Assign!$A:$I,9,FALSE)</f>
        <v>10% MDGS Variable</v>
      </c>
      <c r="F110" s="4">
        <f>VLOOKUP(A110,'[1]Carcass '!$C$105:$D$397,2,FALSE)</f>
        <v>756</v>
      </c>
      <c r="G110" s="4">
        <f t="shared" si="20"/>
        <v>1200</v>
      </c>
      <c r="H110" s="31">
        <f t="shared" si="21"/>
        <v>3.0867346938775508</v>
      </c>
      <c r="I110" s="4">
        <f>VLOOKUP(D110,'[1]DMO head'!$A$2:$D$49,4,FALSE)</f>
        <v>23.18107161691918</v>
      </c>
      <c r="J110" s="19">
        <f t="shared" si="22"/>
        <v>605</v>
      </c>
      <c r="L110" s="4">
        <f>VLOOKUP(A110,'[1]Carcass '!$C$10:$J$397,8,FALSE)</f>
        <v>0</v>
      </c>
      <c r="M110" s="4">
        <f t="shared" si="23"/>
        <v>0</v>
      </c>
      <c r="N110" s="4">
        <f t="shared" si="24"/>
        <v>0</v>
      </c>
      <c r="O110" s="4">
        <f t="shared" si="25"/>
        <v>0</v>
      </c>
      <c r="P110" s="4">
        <f t="shared" si="26"/>
        <v>0</v>
      </c>
      <c r="Q110" s="4">
        <f t="shared" si="27"/>
        <v>0</v>
      </c>
      <c r="R110" s="19">
        <f>VLOOKUP(A110,'[1]Carcass '!$C$107:$E$399,3,FALSE)</f>
        <v>13.7</v>
      </c>
      <c r="S110" s="4">
        <f>VLOOKUP(A110,'[1]Carcass '!$C$107:$F$399,4,FALSE)</f>
        <v>3.3</v>
      </c>
      <c r="T110" s="4">
        <f>VLOOKUP(A110,'[1]Carcass '!$C$10:$G$397,5, FALSE)</f>
        <v>0.71</v>
      </c>
      <c r="U110" s="4">
        <f>VLOOKUP(A110,'[1]Carcass '!$C$107:$I$399,7,FALSE)</f>
        <v>479</v>
      </c>
    </row>
    <row r="111" spans="1:21" x14ac:dyDescent="0.2">
      <c r="A111" s="94">
        <v>4752</v>
      </c>
      <c r="B111" s="87">
        <f>VLOOKUP(A111,[1]Assign!$A:$D,4,FALSE)</f>
        <v>601</v>
      </c>
      <c r="C111" s="4">
        <v>2</v>
      </c>
      <c r="D111" s="4">
        <v>311</v>
      </c>
      <c r="E111" s="4" t="str">
        <f>VLOOKUP(A111,[1]Assign!$A:$I,9,FALSE)</f>
        <v xml:space="preserve">10% MDGS Constant </v>
      </c>
      <c r="F111" s="4">
        <f>VLOOKUP(A111,'[1]Carcass '!$C$105:$D$397,2,FALSE)</f>
        <v>809</v>
      </c>
      <c r="G111" s="4">
        <f t="shared" si="20"/>
        <v>1284.1269841269841</v>
      </c>
      <c r="H111" s="31">
        <f t="shared" si="21"/>
        <v>3.4853417557499187</v>
      </c>
      <c r="I111" s="4">
        <f>VLOOKUP(D111,'[1]DMO head'!$A$2:$D$49,4,FALSE)</f>
        <v>23.779243605703989</v>
      </c>
      <c r="J111" s="19">
        <f t="shared" si="22"/>
        <v>683.1269841269841</v>
      </c>
      <c r="L111" s="4" t="str">
        <f>VLOOKUP(A111,'[1]Carcass '!$C$10:$J$397,8,FALSE)</f>
        <v>C</v>
      </c>
      <c r="M111" s="4">
        <f t="shared" si="23"/>
        <v>0</v>
      </c>
      <c r="N111" s="4">
        <f t="shared" si="24"/>
        <v>0</v>
      </c>
      <c r="O111" s="4">
        <f t="shared" si="25"/>
        <v>0</v>
      </c>
      <c r="P111" s="4">
        <f t="shared" si="26"/>
        <v>0</v>
      </c>
      <c r="Q111" s="4">
        <f t="shared" si="27"/>
        <v>1</v>
      </c>
      <c r="R111" s="19">
        <f>VLOOKUP(A111,'[1]Carcass '!$C$107:$E$399,3,FALSE)</f>
        <v>12.8</v>
      </c>
      <c r="S111" s="4">
        <f>VLOOKUP(A111,'[1]Carcass '!$C$107:$F$399,4,FALSE)</f>
        <v>3.3</v>
      </c>
      <c r="T111" s="4">
        <f>VLOOKUP(A111,'[1]Carcass '!$C$10:$G$397,5, FALSE)</f>
        <v>0.64400000000000002</v>
      </c>
      <c r="U111" s="4">
        <f>VLOOKUP(A111,'[1]Carcass '!$C$107:$I$399,7,FALSE)</f>
        <v>563</v>
      </c>
    </row>
    <row r="112" spans="1:21" x14ac:dyDescent="0.2">
      <c r="A112" s="94">
        <v>4408</v>
      </c>
      <c r="B112" s="87">
        <f>VLOOKUP(A112,[1]Assign!$A:$D,4,FALSE)</f>
        <v>596</v>
      </c>
      <c r="C112" s="4">
        <v>2</v>
      </c>
      <c r="D112" s="4">
        <v>312</v>
      </c>
      <c r="E112" s="4" t="str">
        <f>VLOOKUP(A112,[1]Assign!$A:$I,9,FALSE)</f>
        <v xml:space="preserve">25% MDGS Constant </v>
      </c>
      <c r="F112" s="4">
        <f>VLOOKUP(A112,'[1]Carcass '!$C$105:$D$397,2,FALSE)</f>
        <v>792</v>
      </c>
      <c r="G112" s="4">
        <f t="shared" si="20"/>
        <v>1257.1428571428571</v>
      </c>
      <c r="H112" s="31">
        <f t="shared" si="21"/>
        <v>3.3731778425655974</v>
      </c>
      <c r="I112" s="4">
        <f>VLOOKUP(D112,'[1]DMO head'!$A$2:$D$49,4,FALSE)</f>
        <v>23.507213350404029</v>
      </c>
      <c r="J112" s="19">
        <f t="shared" si="22"/>
        <v>661.14285714285711</v>
      </c>
      <c r="L112" s="4" t="str">
        <f>VLOOKUP(A112,'[1]Carcass '!$C$10:$J$397,8,FALSE)</f>
        <v>A-</v>
      </c>
      <c r="M112" s="4">
        <f t="shared" si="23"/>
        <v>0</v>
      </c>
      <c r="N112" s="4">
        <f t="shared" si="24"/>
        <v>1</v>
      </c>
      <c r="O112" s="4">
        <f t="shared" si="25"/>
        <v>0</v>
      </c>
      <c r="P112" s="4">
        <f t="shared" si="26"/>
        <v>1</v>
      </c>
      <c r="Q112" s="4">
        <f t="shared" si="27"/>
        <v>0</v>
      </c>
      <c r="R112" s="19">
        <f>VLOOKUP(A112,'[1]Carcass '!$C$107:$E$399,3,FALSE)</f>
        <v>13.5</v>
      </c>
      <c r="S112" s="4">
        <f>VLOOKUP(A112,'[1]Carcass '!$C$107:$F$399,4,FALSE)</f>
        <v>3.2</v>
      </c>
      <c r="T112" s="4">
        <f>VLOOKUP(A112,'[1]Carcass '!$C$10:$G$397,5, FALSE)</f>
        <v>0.6</v>
      </c>
      <c r="U112" s="4">
        <f>VLOOKUP(A112,'[1]Carcass '!$C$107:$I$399,7,FALSE)</f>
        <v>439</v>
      </c>
    </row>
    <row r="113" spans="1:21" x14ac:dyDescent="0.2">
      <c r="A113" s="94">
        <v>4329</v>
      </c>
      <c r="B113" s="87">
        <f>VLOOKUP(A113,[1]Assign!$A:$D,4,FALSE)</f>
        <v>597</v>
      </c>
      <c r="C113" s="4">
        <v>2</v>
      </c>
      <c r="D113" s="4">
        <v>313</v>
      </c>
      <c r="E113" s="4" t="str">
        <f>VLOOKUP(A113,[1]Assign!$A:$I,9,FALSE)</f>
        <v>25% MDGS Variable</v>
      </c>
      <c r="F113" s="4">
        <f>VLOOKUP(A113,'[1]Carcass '!$C$105:$D$397,2,FALSE)</f>
        <v>853</v>
      </c>
      <c r="G113" s="4">
        <f t="shared" si="20"/>
        <v>1353.968253968254</v>
      </c>
      <c r="H113" s="31">
        <f t="shared" si="21"/>
        <v>3.8620829284094591</v>
      </c>
      <c r="I113" s="4">
        <f>VLOOKUP(D113,'[1]DMO head'!$A$2:$D$49,4,FALSE)</f>
        <v>23.480892071111096</v>
      </c>
      <c r="J113" s="19">
        <f t="shared" si="22"/>
        <v>756.96825396825398</v>
      </c>
      <c r="L113" s="4">
        <f>VLOOKUP(A113,'[1]Carcass '!$C$10:$J$397,8,FALSE)</f>
        <v>0</v>
      </c>
      <c r="M113" s="4">
        <f t="shared" si="23"/>
        <v>0</v>
      </c>
      <c r="N113" s="4">
        <f t="shared" si="24"/>
        <v>0</v>
      </c>
      <c r="O113" s="4">
        <f t="shared" si="25"/>
        <v>0</v>
      </c>
      <c r="P113" s="4">
        <f t="shared" si="26"/>
        <v>0</v>
      </c>
      <c r="Q113" s="4">
        <f t="shared" si="27"/>
        <v>0</v>
      </c>
      <c r="R113" s="19">
        <f>VLOOKUP(A113,'[1]Carcass '!$C$107:$E$399,3,FALSE)</f>
        <v>13.7</v>
      </c>
      <c r="S113" s="4">
        <f>VLOOKUP(A113,'[1]Carcass '!$C$107:$F$399,4,FALSE)</f>
        <v>4.2</v>
      </c>
      <c r="T113" s="4">
        <f>VLOOKUP(A113,'[1]Carcass '!$C$10:$G$397,5, FALSE)</f>
        <v>0.88000000000000012</v>
      </c>
      <c r="U113" s="4">
        <f>VLOOKUP(A113,'[1]Carcass '!$C$107:$I$399,7,FALSE)</f>
        <v>458</v>
      </c>
    </row>
    <row r="114" spans="1:21" x14ac:dyDescent="0.2">
      <c r="A114" s="94">
        <v>4439</v>
      </c>
      <c r="B114" s="87">
        <f>VLOOKUP(A114,[1]Assign!$A:$D,4,FALSE)</f>
        <v>606</v>
      </c>
      <c r="C114" s="4">
        <v>2</v>
      </c>
      <c r="D114" s="4">
        <v>314</v>
      </c>
      <c r="E114" s="4" t="str">
        <f>VLOOKUP(A114,[1]Assign!$A:$I,9,FALSE)</f>
        <v>25% MDGS Variable</v>
      </c>
      <c r="F114" s="4">
        <f>VLOOKUP(A114,'[1]Carcass '!$C$105:$D$397,2,FALSE)</f>
        <v>856</v>
      </c>
      <c r="G114" s="4">
        <f t="shared" si="20"/>
        <v>1358.7301587301588</v>
      </c>
      <c r="H114" s="31">
        <f t="shared" si="21"/>
        <v>3.8404599935212183</v>
      </c>
      <c r="I114" s="4">
        <f>VLOOKUP(D114,'[1]DMO head'!$A$2:$D$49,4,FALSE)</f>
        <v>23.926712488585853</v>
      </c>
      <c r="J114" s="19">
        <f t="shared" si="22"/>
        <v>752.73015873015879</v>
      </c>
      <c r="L114" s="4">
        <f>VLOOKUP(A114,'[1]Carcass '!$C$10:$J$397,8,FALSE)</f>
        <v>0</v>
      </c>
      <c r="M114" s="4">
        <f t="shared" si="23"/>
        <v>0</v>
      </c>
      <c r="N114" s="4">
        <f t="shared" si="24"/>
        <v>0</v>
      </c>
      <c r="O114" s="4">
        <f t="shared" si="25"/>
        <v>0</v>
      </c>
      <c r="P114" s="4">
        <f t="shared" si="26"/>
        <v>0</v>
      </c>
      <c r="Q114" s="4">
        <f t="shared" si="27"/>
        <v>0</v>
      </c>
      <c r="R114" s="19">
        <f>VLOOKUP(A114,'[1]Carcass '!$C$107:$E$399,3,FALSE)</f>
        <v>14</v>
      </c>
      <c r="S114" s="4">
        <f>VLOOKUP(A114,'[1]Carcass '!$C$107:$F$399,4,FALSE)</f>
        <v>3.4</v>
      </c>
      <c r="T114" s="4">
        <f>VLOOKUP(A114,'[1]Carcass '!$C$10:$G$397,5, FALSE)</f>
        <v>0.57999999999999996</v>
      </c>
      <c r="U114" s="4">
        <f>VLOOKUP(A114,'[1]Carcass '!$C$107:$I$399,7,FALSE)</f>
        <v>463</v>
      </c>
    </row>
    <row r="115" spans="1:21" x14ac:dyDescent="0.2">
      <c r="A115" s="94">
        <v>4634</v>
      </c>
      <c r="B115" s="87">
        <f>VLOOKUP(A115,[1]Assign!$A:$D,4,FALSE)</f>
        <v>595</v>
      </c>
      <c r="C115" s="4">
        <v>2</v>
      </c>
      <c r="D115" s="4">
        <v>315</v>
      </c>
      <c r="E115" s="4" t="str">
        <f>VLOOKUP(A115,[1]Assign!$A:$I,9,FALSE)</f>
        <v xml:space="preserve">25% MDGS Constant </v>
      </c>
      <c r="F115" s="4">
        <f>VLOOKUP(A115,'[1]Carcass '!$C$105:$D$397,2,FALSE)</f>
        <v>798</v>
      </c>
      <c r="G115" s="4" t="s">
        <v>43</v>
      </c>
      <c r="H115" s="31" t="s">
        <v>43</v>
      </c>
      <c r="I115" s="4">
        <f>VLOOKUP(D115,'[1]DMO head'!$A$2:$D$49,4,FALSE)</f>
        <v>23.392790065062279</v>
      </c>
      <c r="J115" s="19" t="s">
        <v>43</v>
      </c>
      <c r="L115" s="4">
        <f>VLOOKUP(A115,'[1]Carcass '!$C$10:$J$397,8,FALSE)</f>
        <v>0</v>
      </c>
      <c r="M115" s="4">
        <f t="shared" si="23"/>
        <v>0</v>
      </c>
      <c r="N115" s="4">
        <f t="shared" si="24"/>
        <v>0</v>
      </c>
      <c r="O115" s="4">
        <f t="shared" si="25"/>
        <v>0</v>
      </c>
      <c r="P115" s="4">
        <f t="shared" si="26"/>
        <v>0</v>
      </c>
      <c r="Q115" s="4">
        <f t="shared" si="27"/>
        <v>0</v>
      </c>
      <c r="R115" s="19">
        <f>VLOOKUP(A115,'[1]Carcass '!$C$107:$E$399,3,FALSE)</f>
        <v>12.6</v>
      </c>
      <c r="S115" s="4">
        <f>VLOOKUP(A115,'[1]Carcass '!$C$107:$F$399,4,FALSE)</f>
        <v>3.7</v>
      </c>
    </row>
    <row r="116" spans="1:21" x14ac:dyDescent="0.2">
      <c r="A116" s="94">
        <v>4690</v>
      </c>
      <c r="B116" s="87">
        <f>VLOOKUP(A116,[1]Assign!$A:$D,4,FALSE)</f>
        <v>598</v>
      </c>
      <c r="C116" s="4">
        <v>2</v>
      </c>
      <c r="D116" s="4">
        <v>316</v>
      </c>
      <c r="E116" s="4" t="str">
        <f>VLOOKUP(A116,[1]Assign!$A:$I,9,FALSE)</f>
        <v xml:space="preserve">10% MDGS Constant </v>
      </c>
      <c r="F116" s="4">
        <f>VLOOKUP(A116,'[1]Carcass '!$C$105:$D$397,2,FALSE)</f>
        <v>897</v>
      </c>
      <c r="G116" s="4">
        <f t="shared" si="20"/>
        <v>1423.8095238095239</v>
      </c>
      <c r="H116" s="31">
        <f t="shared" si="21"/>
        <v>4.2133138969873665</v>
      </c>
      <c r="I116" s="4">
        <f>VLOOKUP(D116,'[1]DMO head'!$A$2:$D$49,4,FALSE)</f>
        <v>23.276936370757571</v>
      </c>
      <c r="J116" s="19">
        <f t="shared" si="22"/>
        <v>825.80952380952385</v>
      </c>
      <c r="L116" s="4" t="str">
        <f>VLOOKUP(A116,'[1]Carcass '!$C$10:$J$397,8,FALSE)</f>
        <v>A+</v>
      </c>
      <c r="M116" s="4">
        <f t="shared" si="23"/>
        <v>0</v>
      </c>
      <c r="N116" s="4">
        <f t="shared" si="24"/>
        <v>0</v>
      </c>
      <c r="O116" s="4">
        <f t="shared" si="25"/>
        <v>1</v>
      </c>
      <c r="P116" s="4">
        <f t="shared" si="26"/>
        <v>1</v>
      </c>
      <c r="Q116" s="4">
        <f t="shared" si="27"/>
        <v>0</v>
      </c>
      <c r="R116" s="19">
        <f>VLOOKUP(A116,'[1]Carcass '!$C$107:$E$399,3,FALSE)</f>
        <v>13.5</v>
      </c>
      <c r="S116" s="4">
        <f>VLOOKUP(A116,'[1]Carcass '!$C$107:$F$399,4,FALSE)</f>
        <v>3.65</v>
      </c>
      <c r="T116" s="4">
        <f>VLOOKUP(A116,'[1]Carcass '!$C$10:$G$397,5, FALSE)</f>
        <v>0.72</v>
      </c>
      <c r="U116" s="4">
        <f>VLOOKUP(A116,'[1]Carcass '!$C$107:$I$399,7,FALSE)</f>
        <v>536</v>
      </c>
    </row>
    <row r="117" spans="1:21" x14ac:dyDescent="0.2">
      <c r="A117" s="94">
        <v>4467</v>
      </c>
      <c r="B117" s="87">
        <f>VLOOKUP(A117,[1]Assign!$A:$D,4,FALSE)</f>
        <v>601</v>
      </c>
      <c r="C117" s="4">
        <v>2</v>
      </c>
      <c r="D117" s="4">
        <v>317</v>
      </c>
      <c r="E117" s="4" t="str">
        <f>VLOOKUP(A117,[1]Assign!$A:$I,9,FALSE)</f>
        <v>Control</v>
      </c>
      <c r="F117" s="4">
        <f>VLOOKUP(A117,'[1]Carcass '!$C$105:$D$397,2,FALSE)</f>
        <v>852</v>
      </c>
      <c r="G117" s="4">
        <f t="shared" si="20"/>
        <v>1352.3809523809523</v>
      </c>
      <c r="H117" s="31">
        <f t="shared" si="21"/>
        <v>3.83357628765792</v>
      </c>
      <c r="I117" s="4">
        <f>VLOOKUP(D117,'[1]DMO head'!$A$2:$D$49,4,FALSE)</f>
        <v>23.188136258216968</v>
      </c>
      <c r="J117" s="19">
        <f t="shared" si="22"/>
        <v>751.38095238095229</v>
      </c>
      <c r="L117" s="4">
        <f>VLOOKUP(A117,'[1]Carcass '!$C$10:$J$397,8,FALSE)</f>
        <v>0</v>
      </c>
      <c r="M117" s="4">
        <f t="shared" si="23"/>
        <v>0</v>
      </c>
      <c r="N117" s="4">
        <f t="shared" si="24"/>
        <v>0</v>
      </c>
      <c r="O117" s="4">
        <f t="shared" si="25"/>
        <v>0</v>
      </c>
      <c r="P117" s="4">
        <f t="shared" si="26"/>
        <v>0</v>
      </c>
      <c r="Q117" s="4">
        <f t="shared" si="27"/>
        <v>0</v>
      </c>
      <c r="R117" s="19">
        <f>VLOOKUP(A117,'[1]Carcass '!$C$107:$E$399,3,FALSE)</f>
        <v>13.1</v>
      </c>
      <c r="S117" s="4">
        <f>VLOOKUP(A117,'[1]Carcass '!$C$107:$F$399,4,FALSE)</f>
        <v>3.5</v>
      </c>
      <c r="T117" s="4">
        <f>VLOOKUP(A117,'[1]Carcass '!$C$10:$G$397,5, FALSE)</f>
        <v>0.79</v>
      </c>
      <c r="U117" s="4">
        <f>VLOOKUP(A117,'[1]Carcass '!$C$107:$I$399,7,FALSE)</f>
        <v>407</v>
      </c>
    </row>
    <row r="118" spans="1:21" x14ac:dyDescent="0.2">
      <c r="A118" s="94">
        <v>4479</v>
      </c>
      <c r="B118" s="87">
        <f>VLOOKUP(A118,[1]Assign!$A:$D,4,FALSE)</f>
        <v>596</v>
      </c>
      <c r="C118" s="4">
        <v>2</v>
      </c>
      <c r="D118" s="4">
        <v>318</v>
      </c>
      <c r="E118" s="4" t="str">
        <f>VLOOKUP(A118,[1]Assign!$A:$I,9,FALSE)</f>
        <v>10% MDGS Variable</v>
      </c>
      <c r="F118" s="4">
        <f>VLOOKUP(A118,'[1]Carcass '!$C$105:$D$397,2,FALSE)</f>
        <v>800</v>
      </c>
      <c r="G118" s="4">
        <f t="shared" si="20"/>
        <v>1269.8412698412699</v>
      </c>
      <c r="H118" s="31">
        <f t="shared" si="21"/>
        <v>3.4379656624554586</v>
      </c>
      <c r="I118" s="4">
        <f>VLOOKUP(D118,'[1]DMO head'!$A$2:$D$49,4,FALSE)</f>
        <v>23.479164833812241</v>
      </c>
      <c r="J118" s="19">
        <f t="shared" si="22"/>
        <v>673.84126984126988</v>
      </c>
      <c r="L118" s="4">
        <f>VLOOKUP(A118,'[1]Carcass '!$C$10:$J$397,8,FALSE)</f>
        <v>0</v>
      </c>
      <c r="M118" s="4">
        <f t="shared" si="23"/>
        <v>0</v>
      </c>
      <c r="N118" s="4">
        <f t="shared" si="24"/>
        <v>0</v>
      </c>
      <c r="O118" s="4">
        <f t="shared" si="25"/>
        <v>0</v>
      </c>
      <c r="P118" s="4">
        <f t="shared" si="26"/>
        <v>0</v>
      </c>
      <c r="Q118" s="4">
        <f t="shared" si="27"/>
        <v>0</v>
      </c>
      <c r="R118" s="19">
        <f>VLOOKUP(A118,'[1]Carcass '!$C$107:$E$399,3,FALSE)</f>
        <v>13.1</v>
      </c>
      <c r="S118" s="4">
        <f>VLOOKUP(A118,'[1]Carcass '!$C$107:$F$399,4,FALSE)</f>
        <v>3.1</v>
      </c>
      <c r="T118" s="4">
        <f>VLOOKUP(A118,'[1]Carcass '!$C$10:$G$397,5, FALSE)</f>
        <v>0.71</v>
      </c>
      <c r="U118" s="4">
        <f>VLOOKUP(A118,'[1]Carcass '!$C$107:$I$399,7,FALSE)</f>
        <v>670</v>
      </c>
    </row>
    <row r="119" spans="1:21" x14ac:dyDescent="0.2">
      <c r="A119" s="94">
        <v>4727</v>
      </c>
      <c r="B119" s="87">
        <f>VLOOKUP(A119,[1]Assign!$A:$D,4,FALSE)</f>
        <v>608</v>
      </c>
      <c r="C119" s="4">
        <v>2</v>
      </c>
      <c r="D119" s="4">
        <v>215</v>
      </c>
      <c r="E119" s="4" t="str">
        <f>VLOOKUP(A119,[1]Assign!$A:$I,9,FALSE)</f>
        <v>10% MDGS Variable</v>
      </c>
      <c r="F119" s="4">
        <f>VLOOKUP(A119,'[1]Carcass '!$C$105:$D$397,2,FALSE)</f>
        <v>892</v>
      </c>
      <c r="G119" s="4">
        <f t="shared" si="20"/>
        <v>1415.8730158730159</v>
      </c>
      <c r="H119" s="31">
        <f t="shared" si="21"/>
        <v>4.1218011013929381</v>
      </c>
      <c r="I119" s="4">
        <f>VLOOKUP(D119,'[1]DMO head'!$A$2:$D$49,4,FALSE)</f>
        <v>21.5797851350505</v>
      </c>
      <c r="J119" s="19">
        <f t="shared" si="22"/>
        <v>807.8730158730159</v>
      </c>
      <c r="L119" s="4">
        <f>VLOOKUP(A119,'[1]Carcass '!$C$10:$J$397,8,FALSE)</f>
        <v>0</v>
      </c>
      <c r="M119" s="4">
        <f t="shared" si="23"/>
        <v>0</v>
      </c>
      <c r="N119" s="4">
        <f t="shared" si="24"/>
        <v>0</v>
      </c>
      <c r="O119" s="4">
        <f t="shared" si="25"/>
        <v>0</v>
      </c>
      <c r="P119" s="4">
        <f t="shared" si="26"/>
        <v>0</v>
      </c>
      <c r="Q119" s="4">
        <f t="shared" si="27"/>
        <v>0</v>
      </c>
      <c r="R119" s="19">
        <f>VLOOKUP(A119,'[1]Carcass '!$C$107:$E$399,3,FALSE)</f>
        <v>13.3</v>
      </c>
      <c r="S119" s="4">
        <f>VLOOKUP(A119,'[1]Carcass '!$C$107:$F$399,4,FALSE)</f>
        <v>3.8</v>
      </c>
      <c r="T119" s="4">
        <f>VLOOKUP(A119,'[1]Carcass '!$C$10:$G$397,5, FALSE)</f>
        <v>0.84</v>
      </c>
      <c r="U119" s="4">
        <f>VLOOKUP(A119,'[1]Carcass '!$C$107:$I$399,7,FALSE)</f>
        <v>530</v>
      </c>
    </row>
    <row r="120" spans="1:21" x14ac:dyDescent="0.2">
      <c r="A120" s="94">
        <v>4524</v>
      </c>
      <c r="B120" s="87">
        <f>VLOOKUP(A120,[1]Assign!$A:$D,4,FALSE)</f>
        <v>601</v>
      </c>
      <c r="C120" s="4">
        <v>2</v>
      </c>
      <c r="D120" s="4">
        <v>216</v>
      </c>
      <c r="E120" s="4" t="str">
        <f>VLOOKUP(A120,[1]Assign!$A:$I,9,FALSE)</f>
        <v xml:space="preserve">10% MDGS Constant </v>
      </c>
      <c r="F120" s="4">
        <f>VLOOKUP(A120,'[1]Carcass '!$C$105:$D$397,2,FALSE)</f>
        <v>828</v>
      </c>
      <c r="G120" s="4">
        <f t="shared" si="20"/>
        <v>1314.2857142857142</v>
      </c>
      <c r="H120" s="31">
        <f t="shared" si="21"/>
        <v>3.639212827988338</v>
      </c>
      <c r="I120" s="4">
        <f>VLOOKUP(D120,'[1]DMO head'!$A$2:$D$49,4,FALSE)</f>
        <v>21.830062429040414</v>
      </c>
      <c r="J120" s="19">
        <f t="shared" si="22"/>
        <v>713.28571428571422</v>
      </c>
      <c r="L120" s="4">
        <f>VLOOKUP(A120,'[1]Carcass '!$C$10:$J$397,8,FALSE)</f>
        <v>0</v>
      </c>
      <c r="M120" s="4">
        <f t="shared" si="23"/>
        <v>0</v>
      </c>
      <c r="N120" s="4">
        <f t="shared" si="24"/>
        <v>0</v>
      </c>
      <c r="O120" s="4">
        <f t="shared" si="25"/>
        <v>0</v>
      </c>
      <c r="P120" s="4">
        <f t="shared" si="26"/>
        <v>0</v>
      </c>
      <c r="Q120" s="4">
        <f t="shared" si="27"/>
        <v>0</v>
      </c>
      <c r="R120" s="19">
        <f>VLOOKUP(A120,'[1]Carcass '!$C$107:$E$399,3,FALSE)</f>
        <v>13.5</v>
      </c>
      <c r="S120" s="4">
        <f>VLOOKUP(A120,'[1]Carcass '!$C$107:$F$399,4,FALSE)</f>
        <v>3.2</v>
      </c>
      <c r="T120" s="4">
        <f>VLOOKUP(A120,'[1]Carcass '!$C$10:$G$397,5, FALSE)</f>
        <v>0.59</v>
      </c>
      <c r="U120" s="4">
        <f>VLOOKUP(A120,'[1]Carcass '!$C$107:$I$399,7,FALSE)</f>
        <v>816</v>
      </c>
    </row>
    <row r="121" spans="1:21" x14ac:dyDescent="0.2">
      <c r="A121" s="94">
        <v>4614</v>
      </c>
      <c r="B121" s="87">
        <f>VLOOKUP(A121,[1]Assign!$A:$D,4,FALSE)</f>
        <v>602</v>
      </c>
      <c r="C121" s="4">
        <v>2</v>
      </c>
      <c r="D121" s="4">
        <v>301</v>
      </c>
      <c r="E121" s="4" t="str">
        <f>VLOOKUP(A121,[1]Assign!$A:$I,9,FALSE)</f>
        <v xml:space="preserve">25% MDGS Constant </v>
      </c>
      <c r="F121" s="4">
        <f>VLOOKUP(A121,'[1]Carcass '!$C$105:$D$397,2,FALSE)</f>
        <v>751</v>
      </c>
      <c r="G121" s="4">
        <f t="shared" si="20"/>
        <v>1192.063492063492</v>
      </c>
      <c r="H121" s="31">
        <f t="shared" si="21"/>
        <v>3.0105280207321021</v>
      </c>
      <c r="I121" s="4">
        <f>VLOOKUP(D121,'[1]DMO head'!$A$2:$D$49,4,FALSE)</f>
        <v>22.630176042777777</v>
      </c>
      <c r="J121" s="19">
        <f t="shared" si="22"/>
        <v>590.06349206349205</v>
      </c>
      <c r="L121" s="4" t="str">
        <f>VLOOKUP(A121,'[1]Carcass '!$C$10:$J$397,8,FALSE)</f>
        <v>A+</v>
      </c>
      <c r="M121" s="4">
        <f t="shared" si="23"/>
        <v>0</v>
      </c>
      <c r="N121" s="4">
        <f t="shared" si="24"/>
        <v>0</v>
      </c>
      <c r="O121" s="4">
        <f t="shared" si="25"/>
        <v>1</v>
      </c>
      <c r="P121" s="4">
        <f t="shared" si="26"/>
        <v>1</v>
      </c>
      <c r="Q121" s="4">
        <f t="shared" si="27"/>
        <v>0</v>
      </c>
      <c r="R121" s="19">
        <f>VLOOKUP(A121,'[1]Carcass '!$C$107:$E$399,3,FALSE)</f>
        <v>13</v>
      </c>
      <c r="S121" s="4">
        <f>VLOOKUP(A121,'[1]Carcass '!$C$107:$F$399,4,FALSE)</f>
        <v>2.7</v>
      </c>
      <c r="T121" s="4">
        <f>VLOOKUP(A121,'[1]Carcass '!$C$10:$G$397,5, FALSE)</f>
        <v>0.42399999999999999</v>
      </c>
      <c r="U121" s="4">
        <f>VLOOKUP(A121,'[1]Carcass '!$C$107:$I$399,7,FALSE)</f>
        <v>361</v>
      </c>
    </row>
    <row r="122" spans="1:21" x14ac:dyDescent="0.2">
      <c r="A122" s="94">
        <v>4446</v>
      </c>
      <c r="B122" s="87">
        <f>VLOOKUP(A122,[1]Assign!$A:$D,4,FALSE)</f>
        <v>614</v>
      </c>
      <c r="C122" s="4">
        <v>2</v>
      </c>
      <c r="D122" s="4">
        <v>302</v>
      </c>
      <c r="E122" s="4" t="str">
        <f>VLOOKUP(A122,[1]Assign!$A:$I,9,FALSE)</f>
        <v>25% MDGS Variable</v>
      </c>
      <c r="F122" s="4">
        <f>VLOOKUP(A122,'[1]Carcass '!$C$105:$D$397,2,FALSE)</f>
        <v>697</v>
      </c>
      <c r="G122" s="4">
        <f t="shared" si="20"/>
        <v>1106.3492063492063</v>
      </c>
      <c r="H122" s="31">
        <f t="shared" si="21"/>
        <v>2.511985746679624</v>
      </c>
      <c r="I122" s="4">
        <f>VLOOKUP(D122,'[1]DMO head'!$A$2:$D$49,4,FALSE)</f>
        <v>21.718133105510006</v>
      </c>
      <c r="J122" s="19">
        <f t="shared" si="22"/>
        <v>492.34920634920627</v>
      </c>
      <c r="L122" s="4" t="str">
        <f>VLOOKUP(A122,'[1]Carcass '!$C$10:$J$397,8,FALSE)</f>
        <v>A-</v>
      </c>
      <c r="M122" s="4">
        <f t="shared" si="23"/>
        <v>0</v>
      </c>
      <c r="N122" s="4">
        <f t="shared" si="24"/>
        <v>1</v>
      </c>
      <c r="O122" s="4">
        <f t="shared" si="25"/>
        <v>0</v>
      </c>
      <c r="P122" s="4">
        <f t="shared" si="26"/>
        <v>1</v>
      </c>
      <c r="Q122" s="4">
        <f t="shared" si="27"/>
        <v>0</v>
      </c>
      <c r="R122" s="19">
        <f>VLOOKUP(A122,'[1]Carcass '!$C$107:$E$399,3,FALSE)</f>
        <v>14.2</v>
      </c>
      <c r="S122" s="4">
        <f>VLOOKUP(A122,'[1]Carcass '!$C$107:$F$399,4,FALSE)</f>
        <v>3.21</v>
      </c>
      <c r="T122" s="4">
        <f>VLOOKUP(A122,'[1]Carcass '!$C$10:$G$397,5, FALSE)</f>
        <v>0.56999999999999995</v>
      </c>
      <c r="U122" s="4">
        <f>VLOOKUP(A122,'[1]Carcass '!$C$107:$I$399,7,FALSE)</f>
        <v>557</v>
      </c>
    </row>
    <row r="123" spans="1:21" x14ac:dyDescent="0.2">
      <c r="A123" s="94">
        <v>4718</v>
      </c>
      <c r="B123" s="87">
        <f>VLOOKUP(A123,[1]Assign!$A:$D,4,FALSE)</f>
        <v>598</v>
      </c>
      <c r="C123" s="4">
        <v>2</v>
      </c>
      <c r="D123" s="4">
        <v>303</v>
      </c>
      <c r="E123" s="4" t="str">
        <f>VLOOKUP(A123,[1]Assign!$A:$I,9,FALSE)</f>
        <v>Control</v>
      </c>
      <c r="F123" s="4">
        <f>VLOOKUP(A123,'[1]Carcass '!$C$105:$D$397,2,FALSE)</f>
        <v>818</v>
      </c>
      <c r="G123" s="4">
        <f t="shared" si="20"/>
        <v>1298.4126984126983</v>
      </c>
      <c r="H123" s="31">
        <f t="shared" si="21"/>
        <v>3.5735341755749914</v>
      </c>
      <c r="I123" s="4">
        <f>VLOOKUP(D123,'[1]DMO head'!$A$2:$D$49,4,FALSE)</f>
        <v>21.256780292032506</v>
      </c>
      <c r="J123" s="19">
        <f t="shared" si="22"/>
        <v>700.41269841269832</v>
      </c>
      <c r="L123" s="4">
        <f>VLOOKUP(A123,'[1]Carcass '!$C$10:$J$397,8,FALSE)</f>
        <v>0</v>
      </c>
      <c r="M123" s="4">
        <f t="shared" si="23"/>
        <v>0</v>
      </c>
      <c r="N123" s="4">
        <f t="shared" si="24"/>
        <v>0</v>
      </c>
      <c r="O123" s="4">
        <f t="shared" si="25"/>
        <v>0</v>
      </c>
      <c r="P123" s="4">
        <f t="shared" si="26"/>
        <v>0</v>
      </c>
      <c r="Q123" s="4">
        <f t="shared" si="27"/>
        <v>0</v>
      </c>
      <c r="R123" s="19">
        <f>VLOOKUP(A123,'[1]Carcass '!$C$107:$E$399,3,FALSE)</f>
        <v>13.44</v>
      </c>
      <c r="S123" s="4">
        <f>VLOOKUP(A123,'[1]Carcass '!$C$107:$F$399,4,FALSE)</f>
        <v>3.05</v>
      </c>
      <c r="T123" s="4">
        <f>VLOOKUP(A123,'[1]Carcass '!$C$10:$G$397,5, FALSE)</f>
        <v>1.2</v>
      </c>
      <c r="U123" s="4">
        <f>VLOOKUP(A123,'[1]Carcass '!$C$107:$I$399,7,FALSE)</f>
        <v>530</v>
      </c>
    </row>
    <row r="124" spans="1:21" x14ac:dyDescent="0.2">
      <c r="A124" s="94">
        <v>4404</v>
      </c>
      <c r="B124" s="87">
        <f>VLOOKUP(A124,[1]Assign!$A:$D,4,FALSE)</f>
        <v>604</v>
      </c>
      <c r="C124" s="4">
        <v>2</v>
      </c>
      <c r="D124" s="4">
        <v>304</v>
      </c>
      <c r="E124" s="4" t="str">
        <f>VLOOKUP(A124,[1]Assign!$A:$I,9,FALSE)</f>
        <v>10% MDGS Variable</v>
      </c>
      <c r="F124" s="4">
        <f>VLOOKUP(A124,'[1]Carcass '!$C$105:$D$397,2,FALSE)</f>
        <v>874</v>
      </c>
      <c r="G124" s="4">
        <f t="shared" si="20"/>
        <v>1387.3015873015872</v>
      </c>
      <c r="H124" s="31">
        <f t="shared" si="21"/>
        <v>3.9964366699060574</v>
      </c>
      <c r="I124" s="4">
        <f>VLOOKUP(D124,'[1]DMO head'!$A$2:$D$49,4,FALSE)</f>
        <v>21.282594490991229</v>
      </c>
      <c r="J124" s="19">
        <f t="shared" si="22"/>
        <v>783.30158730158723</v>
      </c>
      <c r="L124" s="4" t="str">
        <f>VLOOKUP(A124,'[1]Carcass '!$C$10:$J$397,8,FALSE)</f>
        <v>C</v>
      </c>
      <c r="M124" s="4">
        <f t="shared" si="23"/>
        <v>0</v>
      </c>
      <c r="N124" s="4">
        <f t="shared" si="24"/>
        <v>0</v>
      </c>
      <c r="O124" s="4">
        <f t="shared" si="25"/>
        <v>0</v>
      </c>
      <c r="P124" s="4">
        <f t="shared" si="26"/>
        <v>0</v>
      </c>
      <c r="Q124" s="4">
        <f t="shared" si="27"/>
        <v>1</v>
      </c>
      <c r="R124" s="19">
        <f>VLOOKUP(A124,'[1]Carcass '!$C$107:$E$399,3,FALSE)</f>
        <v>14.4</v>
      </c>
      <c r="S124" s="4">
        <f>VLOOKUP(A124,'[1]Carcass '!$C$107:$F$399,4,FALSE)</f>
        <v>3.2</v>
      </c>
      <c r="T124" s="4">
        <f>VLOOKUP(A124,'[1]Carcass '!$C$10:$G$397,5, FALSE)</f>
        <v>0.49</v>
      </c>
      <c r="U124" s="4">
        <f>VLOOKUP(A124,'[1]Carcass '!$C$107:$I$399,7,FALSE)</f>
        <v>584</v>
      </c>
    </row>
    <row r="125" spans="1:21" x14ac:dyDescent="0.2">
      <c r="A125" s="94">
        <v>4428</v>
      </c>
      <c r="B125" s="87">
        <f>VLOOKUP(A125,[1]Assign!$A:$D,4,FALSE)</f>
        <v>605</v>
      </c>
      <c r="C125" s="4">
        <v>2</v>
      </c>
      <c r="D125" s="4">
        <v>305</v>
      </c>
      <c r="E125" s="4" t="str">
        <f>VLOOKUP(A125,[1]Assign!$A:$I,9,FALSE)</f>
        <v xml:space="preserve">10% MDGS Constant </v>
      </c>
      <c r="F125" s="4">
        <f>VLOOKUP(A125,'[1]Carcass '!$C$105:$D$397,2,FALSE)</f>
        <v>794</v>
      </c>
      <c r="G125" s="4">
        <f t="shared" si="20"/>
        <v>1260.3174603174602</v>
      </c>
      <c r="H125" s="31">
        <f t="shared" si="21"/>
        <v>3.3434564301911238</v>
      </c>
      <c r="I125" s="4">
        <f>VLOOKUP(D125,'[1]DMO head'!$A$2:$D$49,4,FALSE)</f>
        <v>20.599573820131273</v>
      </c>
      <c r="J125" s="19">
        <f t="shared" si="22"/>
        <v>655.31746031746025</v>
      </c>
      <c r="L125" s="4" t="str">
        <f>VLOOKUP(A125,'[1]Carcass '!$C$10:$J$397,8,FALSE)</f>
        <v>C</v>
      </c>
      <c r="M125" s="4">
        <f t="shared" si="23"/>
        <v>0</v>
      </c>
      <c r="N125" s="4">
        <f t="shared" si="24"/>
        <v>0</v>
      </c>
      <c r="O125" s="4">
        <f t="shared" si="25"/>
        <v>0</v>
      </c>
      <c r="P125" s="4">
        <f t="shared" si="26"/>
        <v>0</v>
      </c>
      <c r="Q125" s="4">
        <f t="shared" si="27"/>
        <v>1</v>
      </c>
      <c r="R125" s="19">
        <f>VLOOKUP(A125,'[1]Carcass '!$C$107:$E$399,3,FALSE)</f>
        <v>13.6</v>
      </c>
      <c r="S125" s="4">
        <f>VLOOKUP(A125,'[1]Carcass '!$C$107:$F$399,4,FALSE)</f>
        <v>3.1</v>
      </c>
      <c r="T125" s="4">
        <f>VLOOKUP(A125,'[1]Carcass '!$C$10:$G$397,5, FALSE)</f>
        <v>0.54</v>
      </c>
      <c r="U125" s="4">
        <f>VLOOKUP(A125,'[1]Carcass '!$C$107:$I$399,7,FALSE)</f>
        <v>753</v>
      </c>
    </row>
    <row r="126" spans="1:21" x14ac:dyDescent="0.2">
      <c r="A126" s="94">
        <v>4473</v>
      </c>
      <c r="B126" s="87">
        <f>VLOOKUP(A126,[1]Assign!$A:$D,4,FALSE)</f>
        <v>602</v>
      </c>
      <c r="C126" s="4">
        <v>2</v>
      </c>
      <c r="D126" s="4">
        <v>306</v>
      </c>
      <c r="E126" s="4" t="str">
        <f>VLOOKUP(A126,[1]Assign!$A:$I,9,FALSE)</f>
        <v>Control</v>
      </c>
      <c r="F126" s="4">
        <f>VLOOKUP(A126,'[1]Carcass '!$C$105:$D$397,2,FALSE)</f>
        <v>845</v>
      </c>
      <c r="G126" s="4">
        <f t="shared" si="20"/>
        <v>1341.2698412698412</v>
      </c>
      <c r="H126" s="31">
        <f t="shared" si="21"/>
        <v>3.7717849044379652</v>
      </c>
      <c r="I126" s="4">
        <f>VLOOKUP(D126,'[1]DMO head'!$A$2:$D$49,4,FALSE)</f>
        <v>23.243543323568986</v>
      </c>
      <c r="J126" s="19">
        <f t="shared" si="22"/>
        <v>739.26984126984121</v>
      </c>
      <c r="L126" s="4">
        <f>VLOOKUP(A126,'[1]Carcass '!$C$10:$J$397,8,FALSE)</f>
        <v>0</v>
      </c>
      <c r="M126" s="4">
        <f t="shared" si="23"/>
        <v>0</v>
      </c>
      <c r="N126" s="4">
        <f t="shared" si="24"/>
        <v>0</v>
      </c>
      <c r="O126" s="4">
        <f t="shared" si="25"/>
        <v>0</v>
      </c>
      <c r="P126" s="4">
        <f t="shared" si="26"/>
        <v>0</v>
      </c>
      <c r="Q126" s="4">
        <f t="shared" si="27"/>
        <v>0</v>
      </c>
      <c r="R126" s="19">
        <f>VLOOKUP(A126,'[1]Carcass '!$C$107:$E$399,3,FALSE)</f>
        <v>12.33</v>
      </c>
      <c r="S126" s="4">
        <f>VLOOKUP(A126,'[1]Carcass '!$C$107:$F$399,4,FALSE)</f>
        <v>3.8</v>
      </c>
      <c r="T126" s="4">
        <f>VLOOKUP(A126,'[1]Carcass '!$C$10:$G$397,5, FALSE)</f>
        <v>0.83</v>
      </c>
      <c r="U126" s="4">
        <f>VLOOKUP(A126,'[1]Carcass '!$C$107:$I$399,7,FALSE)</f>
        <v>551</v>
      </c>
    </row>
    <row r="127" spans="1:21" x14ac:dyDescent="0.2">
      <c r="A127" s="94">
        <v>4636</v>
      </c>
      <c r="B127" s="87">
        <f>VLOOKUP(A127,[1]Assign!$A:$D,4,FALSE)</f>
        <v>601</v>
      </c>
      <c r="C127" s="4">
        <v>2</v>
      </c>
      <c r="D127" s="4">
        <v>307</v>
      </c>
      <c r="E127" s="4" t="str">
        <f>VLOOKUP(A127,[1]Assign!$A:$I,9,FALSE)</f>
        <v>25% MDGS Variable</v>
      </c>
      <c r="F127" s="4">
        <f>VLOOKUP(A127,'[1]Carcass '!$C$105:$D$397,2,FALSE)</f>
        <v>772</v>
      </c>
      <c r="G127" s="4">
        <f t="shared" si="20"/>
        <v>1225.3968253968253</v>
      </c>
      <c r="H127" s="31">
        <f t="shared" si="21"/>
        <v>3.1856980887593127</v>
      </c>
      <c r="I127" s="4">
        <f>VLOOKUP(D127,'[1]DMO head'!$A$2:$D$49,4,FALSE)</f>
        <v>21.697158876111111</v>
      </c>
      <c r="J127" s="19">
        <f t="shared" si="22"/>
        <v>624.39682539682531</v>
      </c>
      <c r="L127" s="4">
        <f>VLOOKUP(A127,'[1]Carcass '!$C$10:$J$397,8,FALSE)</f>
        <v>0</v>
      </c>
      <c r="M127" s="4">
        <f t="shared" si="23"/>
        <v>0</v>
      </c>
      <c r="N127" s="4">
        <f t="shared" si="24"/>
        <v>0</v>
      </c>
      <c r="O127" s="4">
        <f t="shared" si="25"/>
        <v>0</v>
      </c>
      <c r="P127" s="4">
        <f t="shared" si="26"/>
        <v>0</v>
      </c>
      <c r="Q127" s="4">
        <f t="shared" si="27"/>
        <v>0</v>
      </c>
      <c r="R127" s="19">
        <f>VLOOKUP(A127,'[1]Carcass '!$C$107:$E$399,3,FALSE)</f>
        <v>13.9</v>
      </c>
      <c r="S127" s="4">
        <f>VLOOKUP(A127,'[1]Carcass '!$C$107:$F$399,4,FALSE)</f>
        <v>2.4</v>
      </c>
      <c r="T127" s="4">
        <f>VLOOKUP(A127,'[1]Carcass '!$C$10:$G$397,5, FALSE)</f>
        <v>0.37</v>
      </c>
      <c r="U127" s="4">
        <f>VLOOKUP(A127,'[1]Carcass '!$C$107:$I$399,7,FALSE)</f>
        <v>356</v>
      </c>
    </row>
    <row r="128" spans="1:21" x14ac:dyDescent="0.2">
      <c r="A128" s="94">
        <v>4356</v>
      </c>
      <c r="B128" s="87">
        <f>VLOOKUP(A128,[1]Assign!$A:$D,4,FALSE)</f>
        <v>599</v>
      </c>
      <c r="C128" s="4">
        <v>2</v>
      </c>
      <c r="D128" s="4">
        <v>308</v>
      </c>
      <c r="E128" s="4" t="str">
        <f>VLOOKUP(A128,[1]Assign!$A:$I,9,FALSE)</f>
        <v xml:space="preserve">25% MDGS Constant </v>
      </c>
      <c r="F128" s="4">
        <f>VLOOKUP(A128,'[1]Carcass '!$C$105:$D$397,2,FALSE)</f>
        <v>880</v>
      </c>
      <c r="G128" s="4">
        <f t="shared" si="20"/>
        <v>1396.8253968253969</v>
      </c>
      <c r="H128" s="31">
        <f t="shared" si="21"/>
        <v>4.0705377389050863</v>
      </c>
      <c r="I128" s="4">
        <f>VLOOKUP(D128,'[1]DMO head'!$A$2:$D$49,4,FALSE)</f>
        <v>23.183092460704504</v>
      </c>
      <c r="J128" s="19">
        <f t="shared" si="22"/>
        <v>797.82539682539687</v>
      </c>
      <c r="L128" s="4" t="str">
        <f>VLOOKUP(A128,'[1]Carcass '!$C$10:$J$397,8,FALSE)</f>
        <v>A-</v>
      </c>
      <c r="M128" s="4">
        <f t="shared" si="23"/>
        <v>0</v>
      </c>
      <c r="N128" s="4">
        <f t="shared" si="24"/>
        <v>1</v>
      </c>
      <c r="O128" s="4">
        <f t="shared" si="25"/>
        <v>0</v>
      </c>
      <c r="P128" s="4">
        <f t="shared" si="26"/>
        <v>1</v>
      </c>
      <c r="Q128" s="4">
        <f t="shared" si="27"/>
        <v>0</v>
      </c>
      <c r="R128" s="19">
        <f>VLOOKUP(A128,'[1]Carcass '!$C$107:$E$399,3,FALSE)</f>
        <v>13.6</v>
      </c>
      <c r="S128" s="4">
        <f>VLOOKUP(A128,'[1]Carcass '!$C$107:$F$399,4,FALSE)</f>
        <v>3.2</v>
      </c>
      <c r="T128" s="4">
        <f>VLOOKUP(A128,'[1]Carcass '!$C$10:$G$397,5, FALSE)</f>
        <v>0.68</v>
      </c>
      <c r="U128" s="4">
        <f>VLOOKUP(A128,'[1]Carcass '!$C$107:$I$399,7,FALSE)</f>
        <v>611</v>
      </c>
    </row>
    <row r="129" spans="1:21" x14ac:dyDescent="0.2">
      <c r="A129" s="94">
        <v>4668</v>
      </c>
      <c r="B129" s="87">
        <f>VLOOKUP(A129,[1]Assign!$A:$D,4,FALSE)</f>
        <v>598</v>
      </c>
      <c r="C129" s="4">
        <v>2</v>
      </c>
      <c r="D129" s="4">
        <v>309</v>
      </c>
      <c r="E129" s="4" t="str">
        <f>VLOOKUP(A129,[1]Assign!$A:$I,9,FALSE)</f>
        <v>Control</v>
      </c>
      <c r="F129" s="4">
        <f>VLOOKUP(A129,'[1]Carcass '!$C$105:$D$397,2,FALSE)</f>
        <v>774</v>
      </c>
      <c r="G129" s="4">
        <f t="shared" si="20"/>
        <v>1228.5714285714287</v>
      </c>
      <c r="H129" s="31">
        <f t="shared" si="21"/>
        <v>3.2172011661807587</v>
      </c>
      <c r="I129" s="4">
        <f>VLOOKUP(D129,'[1]DMO head'!$A$2:$D$49,4,FALSE)</f>
        <v>22.382749735000004</v>
      </c>
      <c r="J129" s="19">
        <f t="shared" si="22"/>
        <v>630.57142857142867</v>
      </c>
      <c r="L129" s="4" t="str">
        <f>VLOOKUP(A129,'[1]Carcass '!$C$10:$J$397,8,FALSE)</f>
        <v>A-</v>
      </c>
      <c r="M129" s="4">
        <f t="shared" si="23"/>
        <v>0</v>
      </c>
      <c r="N129" s="4">
        <f t="shared" si="24"/>
        <v>1</v>
      </c>
      <c r="O129" s="4">
        <f t="shared" si="25"/>
        <v>0</v>
      </c>
      <c r="P129" s="4">
        <f t="shared" si="26"/>
        <v>1</v>
      </c>
      <c r="Q129" s="4">
        <f t="shared" si="27"/>
        <v>0</v>
      </c>
      <c r="R129" s="19">
        <f>VLOOKUP(A129,'[1]Carcass '!$C$107:$E$399,3,FALSE)</f>
        <v>14.45</v>
      </c>
      <c r="S129" s="4">
        <f>VLOOKUP(A129,'[1]Carcass '!$C$107:$F$399,4,FALSE)</f>
        <v>3.2</v>
      </c>
      <c r="T129" s="4">
        <f>VLOOKUP(A129,'[1]Carcass '!$C$10:$G$397,5, FALSE)</f>
        <v>0.51</v>
      </c>
      <c r="U129" s="4">
        <f>VLOOKUP(A129,'[1]Carcass '!$C$107:$I$399,7,FALSE)</f>
        <v>552</v>
      </c>
    </row>
    <row r="130" spans="1:21" x14ac:dyDescent="0.2">
      <c r="A130" s="94">
        <v>4701</v>
      </c>
      <c r="B130" s="87">
        <f>VLOOKUP(A130,[1]Assign!$A:$D,4,FALSE)</f>
        <v>624</v>
      </c>
      <c r="C130" s="4">
        <v>2</v>
      </c>
      <c r="D130" s="4">
        <v>311</v>
      </c>
      <c r="E130" s="4" t="str">
        <f>VLOOKUP(A130,[1]Assign!$A:$I,9,FALSE)</f>
        <v xml:space="preserve">10% MDGS Constant </v>
      </c>
      <c r="F130" s="4">
        <f>VLOOKUP(A130,'[1]Carcass '!$C$105:$D$397,2,FALSE)</f>
        <v>973</v>
      </c>
      <c r="G130" s="4">
        <f t="shared" ref="G130:G193" si="28">F130/0.63</f>
        <v>1544.4444444444443</v>
      </c>
      <c r="H130" s="31">
        <f t="shared" si="21"/>
        <v>4.6961451247165531</v>
      </c>
      <c r="I130" s="4">
        <f>VLOOKUP(D130,'[1]DMO head'!$A$2:$D$49,4,FALSE)</f>
        <v>23.779243605703989</v>
      </c>
      <c r="J130" s="19">
        <f t="shared" si="22"/>
        <v>920.44444444444434</v>
      </c>
      <c r="L130" s="4" t="str">
        <f>VLOOKUP(A130,'[1]Carcass '!$C$10:$J$397,8,FALSE)</f>
        <v>C</v>
      </c>
      <c r="M130" s="4">
        <f t="shared" si="23"/>
        <v>0</v>
      </c>
      <c r="N130" s="4">
        <f t="shared" si="24"/>
        <v>0</v>
      </c>
      <c r="O130" s="4">
        <f t="shared" si="25"/>
        <v>0</v>
      </c>
      <c r="P130" s="4">
        <f t="shared" si="26"/>
        <v>0</v>
      </c>
      <c r="Q130" s="4">
        <f t="shared" si="27"/>
        <v>1</v>
      </c>
      <c r="R130" s="19">
        <f>VLOOKUP(A130,'[1]Carcass '!$C$107:$E$399,3,FALSE)</f>
        <v>17.79</v>
      </c>
      <c r="S130" s="4">
        <f>VLOOKUP(A130,'[1]Carcass '!$C$107:$F$399,4,FALSE)</f>
        <v>3.6</v>
      </c>
      <c r="T130" s="4">
        <f>VLOOKUP(A130,'[1]Carcass '!$C$10:$G$397,5, FALSE)</f>
        <v>0.85</v>
      </c>
      <c r="U130" s="4">
        <f>VLOOKUP(A130,'[1]Carcass '!$C$107:$I$399,7,FALSE)</f>
        <v>797</v>
      </c>
    </row>
    <row r="131" spans="1:21" x14ac:dyDescent="0.2">
      <c r="A131" s="94">
        <v>4714</v>
      </c>
      <c r="B131" s="87">
        <f>VLOOKUP(A131,[1]Assign!$A:$D,4,FALSE)</f>
        <v>617</v>
      </c>
      <c r="C131" s="4">
        <v>2</v>
      </c>
      <c r="D131" s="4">
        <v>312</v>
      </c>
      <c r="E131" s="4" t="str">
        <f>VLOOKUP(A131,[1]Assign!$A:$I,9,FALSE)</f>
        <v xml:space="preserve">25% MDGS Constant </v>
      </c>
      <c r="F131" s="4">
        <f>VLOOKUP(A131,'[1]Carcass '!$C$105:$D$397,2,FALSE)</f>
        <v>786</v>
      </c>
      <c r="G131" s="4">
        <f t="shared" si="28"/>
        <v>1247.6190476190477</v>
      </c>
      <c r="H131" s="31">
        <f t="shared" ref="H131:H194" si="29">(G131-B131)/196</f>
        <v>3.2174441205053452</v>
      </c>
      <c r="I131" s="4">
        <f>VLOOKUP(D131,'[1]DMO head'!$A$2:$D$49,4,FALSE)</f>
        <v>23.507213350404029</v>
      </c>
      <c r="J131" s="19">
        <f t="shared" ref="J131:J194" si="30">G131-B131</f>
        <v>630.61904761904771</v>
      </c>
      <c r="L131" s="4" t="str">
        <f>VLOOKUP(A131,'[1]Carcass '!$C$10:$J$397,8,FALSE)</f>
        <v>A-</v>
      </c>
      <c r="M131" s="4">
        <f t="shared" ref="M131:M194" si="31">COUNTIF(L131,"A")</f>
        <v>0</v>
      </c>
      <c r="N131" s="4">
        <f t="shared" ref="N131:N194" si="32">COUNTIF(L131,"A-")</f>
        <v>1</v>
      </c>
      <c r="O131" s="4">
        <f t="shared" ref="O131:O194" si="33">COUNTIF(L131,"A+")</f>
        <v>0</v>
      </c>
      <c r="P131" s="4">
        <f t="shared" ref="P131:P194" si="34">SUM(M131:O131)</f>
        <v>1</v>
      </c>
      <c r="Q131" s="4">
        <f t="shared" ref="Q131:Q194" si="35">COUNTIF(L131,"C")</f>
        <v>0</v>
      </c>
      <c r="R131" s="19">
        <f>VLOOKUP(A131,'[1]Carcass '!$C$107:$E$399,3,FALSE)</f>
        <v>12.9</v>
      </c>
      <c r="S131" s="4">
        <f>VLOOKUP(A131,'[1]Carcass '!$C$107:$F$399,4,FALSE)</f>
        <v>2.8</v>
      </c>
      <c r="T131" s="4">
        <f>VLOOKUP(A131,'[1]Carcass '!$C$10:$G$397,5, FALSE)</f>
        <v>0.39</v>
      </c>
      <c r="U131" s="4">
        <f>VLOOKUP(A131,'[1]Carcass '!$C$107:$I$399,7,FALSE)</f>
        <v>381</v>
      </c>
    </row>
    <row r="132" spans="1:21" x14ac:dyDescent="0.2">
      <c r="A132" s="94">
        <v>4477</v>
      </c>
      <c r="B132" s="87">
        <f>VLOOKUP(A132,[1]Assign!$A:$D,4,FALSE)</f>
        <v>610</v>
      </c>
      <c r="C132" s="4">
        <v>2</v>
      </c>
      <c r="D132" s="4">
        <v>313</v>
      </c>
      <c r="E132" s="4" t="str">
        <f>VLOOKUP(A132,[1]Assign!$A:$I,9,FALSE)</f>
        <v>25% MDGS Variable</v>
      </c>
      <c r="F132" s="4">
        <f>VLOOKUP(A132,'[1]Carcass '!$C$105:$D$397,2,FALSE)</f>
        <v>786</v>
      </c>
      <c r="G132" s="4">
        <f t="shared" si="28"/>
        <v>1247.6190476190477</v>
      </c>
      <c r="H132" s="31">
        <f t="shared" si="29"/>
        <v>3.2531584062196313</v>
      </c>
      <c r="I132" s="4">
        <f>VLOOKUP(D132,'[1]DMO head'!$A$2:$D$49,4,FALSE)</f>
        <v>23.480892071111096</v>
      </c>
      <c r="J132" s="19">
        <f t="shared" si="30"/>
        <v>637.61904761904771</v>
      </c>
      <c r="L132" s="4" t="str">
        <f>VLOOKUP(A132,'[1]Carcass '!$C$10:$J$397,8,FALSE)</f>
        <v>C</v>
      </c>
      <c r="M132" s="4">
        <f t="shared" si="31"/>
        <v>0</v>
      </c>
      <c r="N132" s="4">
        <f t="shared" si="32"/>
        <v>0</v>
      </c>
      <c r="O132" s="4">
        <f t="shared" si="33"/>
        <v>0</v>
      </c>
      <c r="P132" s="4">
        <f t="shared" si="34"/>
        <v>0</v>
      </c>
      <c r="Q132" s="4">
        <f t="shared" si="35"/>
        <v>1</v>
      </c>
      <c r="R132" s="19">
        <f>VLOOKUP(A132,'[1]Carcass '!$C$107:$E$399,3,FALSE)</f>
        <v>11.5</v>
      </c>
      <c r="S132" s="4">
        <f>VLOOKUP(A132,'[1]Carcass '!$C$107:$F$399,4,FALSE)</f>
        <v>4.55</v>
      </c>
      <c r="T132" s="4">
        <f>VLOOKUP(A132,'[1]Carcass '!$C$10:$G$397,5, FALSE)</f>
        <v>1.1000000000000001</v>
      </c>
      <c r="U132" s="4">
        <f>VLOOKUP(A132,'[1]Carcass '!$C$107:$I$399,7,FALSE)</f>
        <v>516</v>
      </c>
    </row>
    <row r="133" spans="1:21" x14ac:dyDescent="0.2">
      <c r="A133" s="94">
        <v>4459</v>
      </c>
      <c r="B133" s="87">
        <f>VLOOKUP(A133,[1]Assign!$A:$D,4,FALSE)</f>
        <v>610</v>
      </c>
      <c r="C133" s="4">
        <v>2</v>
      </c>
      <c r="D133" s="4">
        <v>314</v>
      </c>
      <c r="E133" s="4" t="str">
        <f>VLOOKUP(A133,[1]Assign!$A:$I,9,FALSE)</f>
        <v>25% MDGS Variable</v>
      </c>
      <c r="F133" s="4">
        <f>VLOOKUP(A133,'[1]Carcass '!$C$105:$D$397,2,FALSE)</f>
        <v>813</v>
      </c>
      <c r="G133" s="4">
        <f t="shared" si="28"/>
        <v>1290.4761904761904</v>
      </c>
      <c r="H133" s="31">
        <f t="shared" si="29"/>
        <v>3.4718172983479101</v>
      </c>
      <c r="I133" s="4">
        <f>VLOOKUP(D133,'[1]DMO head'!$A$2:$D$49,4,FALSE)</f>
        <v>23.926712488585853</v>
      </c>
      <c r="J133" s="19">
        <f t="shared" si="30"/>
        <v>680.47619047619037</v>
      </c>
      <c r="L133" s="4" t="str">
        <f>VLOOKUP(A133,'[1]Carcass '!$C$10:$J$397,8,FALSE)</f>
        <v>A+</v>
      </c>
      <c r="M133" s="4">
        <f t="shared" si="31"/>
        <v>0</v>
      </c>
      <c r="N133" s="4">
        <f t="shared" si="32"/>
        <v>0</v>
      </c>
      <c r="O133" s="4">
        <f t="shared" si="33"/>
        <v>1</v>
      </c>
      <c r="P133" s="4">
        <f t="shared" si="34"/>
        <v>1</v>
      </c>
      <c r="Q133" s="4">
        <f t="shared" si="35"/>
        <v>0</v>
      </c>
      <c r="R133" s="19">
        <f>VLOOKUP(A133,'[1]Carcass '!$C$107:$E$399,3,FALSE)</f>
        <v>12.5</v>
      </c>
      <c r="S133" s="4">
        <f>VLOOKUP(A133,'[1]Carcass '!$C$107:$F$399,4,FALSE)</f>
        <v>3.2</v>
      </c>
      <c r="T133" s="4">
        <f>VLOOKUP(A133,'[1]Carcass '!$C$10:$G$397,5, FALSE)</f>
        <v>0.55000000000000004</v>
      </c>
      <c r="U133" s="4">
        <f>VLOOKUP(A133,'[1]Carcass '!$C$107:$I$399,7,FALSE)</f>
        <v>568</v>
      </c>
    </row>
    <row r="134" spans="1:21" x14ac:dyDescent="0.2">
      <c r="A134" s="94">
        <v>4432</v>
      </c>
      <c r="B134" s="87">
        <f>VLOOKUP(A134,[1]Assign!$A:$D,4,FALSE)</f>
        <v>607</v>
      </c>
      <c r="C134" s="4">
        <v>2</v>
      </c>
      <c r="D134" s="4">
        <v>315</v>
      </c>
      <c r="E134" s="4" t="str">
        <f>VLOOKUP(A134,[1]Assign!$A:$I,9,FALSE)</f>
        <v xml:space="preserve">25% MDGS Constant </v>
      </c>
      <c r="F134" s="4">
        <f>VLOOKUP(A134,'[1]Carcass '!$C$105:$D$397,2,FALSE)</f>
        <v>778</v>
      </c>
      <c r="G134" s="4">
        <f t="shared" si="28"/>
        <v>1234.9206349206349</v>
      </c>
      <c r="H134" s="31">
        <f t="shared" si="29"/>
        <v>3.2036767087787497</v>
      </c>
      <c r="I134" s="4">
        <f>VLOOKUP(D134,'[1]DMO head'!$A$2:$D$49,4,FALSE)</f>
        <v>23.392790065062279</v>
      </c>
      <c r="J134" s="19">
        <f t="shared" si="30"/>
        <v>627.92063492063494</v>
      </c>
      <c r="L134" s="4">
        <f>VLOOKUP(A134,'[1]Carcass '!$C$10:$J$397,8,FALSE)</f>
        <v>0</v>
      </c>
      <c r="M134" s="4">
        <f t="shared" si="31"/>
        <v>0</v>
      </c>
      <c r="N134" s="4">
        <f t="shared" si="32"/>
        <v>0</v>
      </c>
      <c r="O134" s="4">
        <f t="shared" si="33"/>
        <v>0</v>
      </c>
      <c r="P134" s="4">
        <f t="shared" si="34"/>
        <v>0</v>
      </c>
      <c r="Q134" s="4">
        <f t="shared" si="35"/>
        <v>0</v>
      </c>
      <c r="R134" s="19">
        <f>VLOOKUP(A134,'[1]Carcass '!$C$107:$E$399,3,FALSE)</f>
        <v>12.6</v>
      </c>
      <c r="S134" s="4">
        <f>VLOOKUP(A134,'[1]Carcass '!$C$107:$F$399,4,FALSE)</f>
        <v>3.6</v>
      </c>
      <c r="T134" s="4">
        <f>VLOOKUP(A134,'[1]Carcass '!$C$10:$G$397,5, FALSE)</f>
        <v>0.77</v>
      </c>
      <c r="U134" s="4">
        <f>VLOOKUP(A134,'[1]Carcass '!$C$107:$I$399,7,FALSE)</f>
        <v>545</v>
      </c>
    </row>
    <row r="135" spans="1:21" x14ac:dyDescent="0.2">
      <c r="A135" s="94">
        <v>4598</v>
      </c>
      <c r="B135" s="87">
        <f>VLOOKUP(A135,[1]Assign!$A:$D,4,FALSE)</f>
        <v>616</v>
      </c>
      <c r="C135" s="4">
        <v>2</v>
      </c>
      <c r="D135" s="4">
        <v>316</v>
      </c>
      <c r="E135" s="4" t="str">
        <f>VLOOKUP(A135,[1]Assign!$A:$I,9,FALSE)</f>
        <v xml:space="preserve">10% MDGS Constant </v>
      </c>
      <c r="F135" s="4">
        <f>VLOOKUP(A135,'[1]Carcass '!$C$105:$D$397,2,FALSE)</f>
        <v>770</v>
      </c>
      <c r="G135" s="4">
        <f t="shared" si="28"/>
        <v>1222.2222222222222</v>
      </c>
      <c r="H135" s="31">
        <f t="shared" si="29"/>
        <v>3.0929705215419498</v>
      </c>
      <c r="I135" s="4">
        <f>VLOOKUP(D135,'[1]DMO head'!$A$2:$D$49,4,FALSE)</f>
        <v>23.276936370757571</v>
      </c>
      <c r="J135" s="19">
        <f t="shared" si="30"/>
        <v>606.22222222222217</v>
      </c>
      <c r="L135" s="4" t="str">
        <f>VLOOKUP(A135,'[1]Carcass '!$C$10:$J$397,8,FALSE)</f>
        <v>A-</v>
      </c>
      <c r="M135" s="4">
        <f t="shared" si="31"/>
        <v>0</v>
      </c>
      <c r="N135" s="4">
        <f t="shared" si="32"/>
        <v>1</v>
      </c>
      <c r="O135" s="4">
        <f t="shared" si="33"/>
        <v>0</v>
      </c>
      <c r="P135" s="4">
        <f t="shared" si="34"/>
        <v>1</v>
      </c>
      <c r="Q135" s="4">
        <f t="shared" si="35"/>
        <v>0</v>
      </c>
      <c r="R135" s="19">
        <f>VLOOKUP(A135,'[1]Carcass '!$C$107:$E$399,3,FALSE)</f>
        <v>12.7</v>
      </c>
      <c r="S135" s="4">
        <f>VLOOKUP(A135,'[1]Carcass '!$C$107:$F$399,4,FALSE)</f>
        <v>3.4</v>
      </c>
      <c r="T135" s="4">
        <f>VLOOKUP(A135,'[1]Carcass '!$C$10:$G$397,5, FALSE)</f>
        <v>0.57599999999999996</v>
      </c>
      <c r="U135" s="4">
        <f>VLOOKUP(A135,'[1]Carcass '!$C$107:$I$399,7,FALSE)</f>
        <v>612</v>
      </c>
    </row>
    <row r="136" spans="1:21" x14ac:dyDescent="0.2">
      <c r="A136" s="94">
        <v>4709</v>
      </c>
      <c r="B136" s="87">
        <f>VLOOKUP(A136,[1]Assign!$A:$D,4,FALSE)</f>
        <v>593</v>
      </c>
      <c r="C136" s="4">
        <v>2</v>
      </c>
      <c r="D136" s="4">
        <v>317</v>
      </c>
      <c r="E136" s="4" t="str">
        <f>VLOOKUP(A136,[1]Assign!$A:$I,9,FALSE)</f>
        <v>Control</v>
      </c>
      <c r="F136" s="4">
        <f>VLOOKUP(A136,'[1]Carcass '!$C$105:$D$397,2,FALSE)</f>
        <v>860</v>
      </c>
      <c r="G136" s="4">
        <f t="shared" si="28"/>
        <v>1365.0793650793651</v>
      </c>
      <c r="H136" s="31">
        <f t="shared" si="29"/>
        <v>3.9391804340783931</v>
      </c>
      <c r="I136" s="4">
        <f>VLOOKUP(D136,'[1]DMO head'!$A$2:$D$49,4,FALSE)</f>
        <v>23.188136258216968</v>
      </c>
      <c r="J136" s="19">
        <f t="shared" si="30"/>
        <v>772.07936507936506</v>
      </c>
      <c r="L136" s="4" t="str">
        <f>VLOOKUP(A136,'[1]Carcass '!$C$10:$J$397,8,FALSE)</f>
        <v>A+</v>
      </c>
      <c r="M136" s="4">
        <f t="shared" si="31"/>
        <v>0</v>
      </c>
      <c r="N136" s="4">
        <f t="shared" si="32"/>
        <v>0</v>
      </c>
      <c r="O136" s="4">
        <f t="shared" si="33"/>
        <v>1</v>
      </c>
      <c r="P136" s="4">
        <f t="shared" si="34"/>
        <v>1</v>
      </c>
      <c r="Q136" s="4">
        <f t="shared" si="35"/>
        <v>0</v>
      </c>
      <c r="R136" s="19">
        <f>VLOOKUP(A136,'[1]Carcass '!$C$107:$E$399,3,FALSE)</f>
        <v>14.52</v>
      </c>
      <c r="S136" s="4">
        <f>VLOOKUP(A136,'[1]Carcass '!$C$107:$F$399,4,FALSE)</f>
        <v>2.7</v>
      </c>
      <c r="T136" s="4">
        <f>VLOOKUP(A136,'[1]Carcass '!$C$10:$G$397,5, FALSE)</f>
        <v>0.49</v>
      </c>
      <c r="U136" s="4">
        <f>VLOOKUP(A136,'[1]Carcass '!$C$107:$I$399,7,FALSE)</f>
        <v>576</v>
      </c>
    </row>
    <row r="137" spans="1:21" x14ac:dyDescent="0.2">
      <c r="A137" s="94">
        <v>4334</v>
      </c>
      <c r="B137" s="87">
        <f>VLOOKUP(A137,[1]Assign!$A:$D,4,FALSE)</f>
        <v>608</v>
      </c>
      <c r="C137" s="4">
        <v>2</v>
      </c>
      <c r="D137" s="4">
        <v>318</v>
      </c>
      <c r="E137" s="4" t="str">
        <f>VLOOKUP(A137,[1]Assign!$A:$I,9,FALSE)</f>
        <v>10% MDGS Variable</v>
      </c>
      <c r="F137" s="4">
        <f>VLOOKUP(A137,'[1]Carcass '!$C$105:$D$397,2,FALSE)</f>
        <v>788</v>
      </c>
      <c r="G137" s="4">
        <f t="shared" si="28"/>
        <v>1250.7936507936508</v>
      </c>
      <c r="H137" s="31">
        <f t="shared" si="29"/>
        <v>3.2795594428247492</v>
      </c>
      <c r="I137" s="4">
        <f>VLOOKUP(D137,'[1]DMO head'!$A$2:$D$49,4,FALSE)</f>
        <v>23.479164833812241</v>
      </c>
      <c r="J137" s="19">
        <f t="shared" si="30"/>
        <v>642.79365079365084</v>
      </c>
      <c r="L137" s="4" t="str">
        <f>VLOOKUP(A137,'[1]Carcass '!$C$10:$J$397,8,FALSE)</f>
        <v>C</v>
      </c>
      <c r="M137" s="4">
        <f t="shared" si="31"/>
        <v>0</v>
      </c>
      <c r="N137" s="4">
        <f t="shared" si="32"/>
        <v>0</v>
      </c>
      <c r="O137" s="4">
        <f t="shared" si="33"/>
        <v>0</v>
      </c>
      <c r="P137" s="4">
        <f t="shared" si="34"/>
        <v>0</v>
      </c>
      <c r="Q137" s="4">
        <f t="shared" si="35"/>
        <v>1</v>
      </c>
      <c r="R137" s="19">
        <f>VLOOKUP(A137,'[1]Carcass '!$C$107:$E$399,3,FALSE)</f>
        <v>14.5</v>
      </c>
      <c r="S137" s="4">
        <f>VLOOKUP(A137,'[1]Carcass '!$C$107:$F$399,4,FALSE)</f>
        <v>3</v>
      </c>
      <c r="T137" s="4">
        <f>VLOOKUP(A137,'[1]Carcass '!$C$10:$G$397,5, FALSE)</f>
        <v>0.52</v>
      </c>
      <c r="U137" s="4">
        <f>VLOOKUP(A137,'[1]Carcass '!$C$107:$I$399,7,FALSE)</f>
        <v>521</v>
      </c>
    </row>
    <row r="138" spans="1:21" x14ac:dyDescent="0.2">
      <c r="A138" s="94">
        <v>4761</v>
      </c>
      <c r="B138" s="87">
        <f>VLOOKUP(A138,[1]Assign!$A:$D,4,FALSE)</f>
        <v>617</v>
      </c>
      <c r="C138" s="4">
        <v>2</v>
      </c>
      <c r="D138" s="4">
        <v>215</v>
      </c>
      <c r="E138" s="4" t="str">
        <f>VLOOKUP(A138,[1]Assign!$A:$I,9,FALSE)</f>
        <v>10% MDGS Variable</v>
      </c>
      <c r="F138" s="4">
        <f>VLOOKUP(A138,'[1]Carcass '!$C$105:$D$397,2,FALSE)</f>
        <v>740</v>
      </c>
      <c r="G138" s="4">
        <f t="shared" si="28"/>
        <v>1174.6031746031747</v>
      </c>
      <c r="H138" s="31">
        <f t="shared" si="29"/>
        <v>2.8449141561386462</v>
      </c>
      <c r="I138" s="4">
        <f>VLOOKUP(D138,'[1]DMO head'!$A$2:$D$49,4,FALSE)</f>
        <v>21.5797851350505</v>
      </c>
      <c r="J138" s="19">
        <f t="shared" si="30"/>
        <v>557.60317460317469</v>
      </c>
      <c r="L138" s="4">
        <f>VLOOKUP(A138,'[1]Carcass '!$C$10:$J$397,8,FALSE)</f>
        <v>0</v>
      </c>
      <c r="M138" s="4">
        <f t="shared" si="31"/>
        <v>0</v>
      </c>
      <c r="N138" s="4">
        <f t="shared" si="32"/>
        <v>0</v>
      </c>
      <c r="O138" s="4">
        <f t="shared" si="33"/>
        <v>0</v>
      </c>
      <c r="P138" s="4">
        <f t="shared" si="34"/>
        <v>0</v>
      </c>
      <c r="Q138" s="4">
        <f t="shared" si="35"/>
        <v>0</v>
      </c>
      <c r="R138" s="19">
        <f>VLOOKUP(A138,'[1]Carcass '!$C$107:$E$399,3,FALSE)</f>
        <v>14.5</v>
      </c>
      <c r="S138" s="4">
        <f>VLOOKUP(A138,'[1]Carcass '!$C$107:$F$399,4,FALSE)</f>
        <v>3.52</v>
      </c>
      <c r="T138" s="4">
        <f>VLOOKUP(A138,'[1]Carcass '!$C$10:$G$397,5, FALSE)</f>
        <v>0.88400000000000001</v>
      </c>
      <c r="U138" s="4">
        <f>VLOOKUP(A138,'[1]Carcass '!$C$107:$I$399,7,FALSE)</f>
        <v>569</v>
      </c>
    </row>
    <row r="139" spans="1:21" x14ac:dyDescent="0.2">
      <c r="A139" s="94">
        <v>4586</v>
      </c>
      <c r="B139" s="87">
        <f>VLOOKUP(A139,[1]Assign!$A:$D,4,FALSE)</f>
        <v>614</v>
      </c>
      <c r="C139" s="4">
        <v>2</v>
      </c>
      <c r="D139" s="4">
        <v>216</v>
      </c>
      <c r="E139" s="4" t="str">
        <f>VLOOKUP(A139,[1]Assign!$A:$I,9,FALSE)</f>
        <v xml:space="preserve">10% MDGS Constant </v>
      </c>
      <c r="F139" s="4">
        <f>VLOOKUP(A139,'[1]Carcass '!$C$105:$D$397,2,FALSE)</f>
        <v>838</v>
      </c>
      <c r="G139" s="4">
        <f t="shared" si="28"/>
        <v>1330.1587301587301</v>
      </c>
      <c r="H139" s="31">
        <f t="shared" si="29"/>
        <v>3.6538710722384189</v>
      </c>
      <c r="I139" s="4">
        <f>VLOOKUP(D139,'[1]DMO head'!$A$2:$D$49,4,FALSE)</f>
        <v>21.830062429040414</v>
      </c>
      <c r="J139" s="19">
        <f t="shared" si="30"/>
        <v>716.15873015873012</v>
      </c>
      <c r="L139" s="4">
        <f>VLOOKUP(A139,'[1]Carcass '!$C$10:$J$397,8,FALSE)</f>
        <v>0</v>
      </c>
      <c r="M139" s="4">
        <f t="shared" si="31"/>
        <v>0</v>
      </c>
      <c r="N139" s="4">
        <f t="shared" si="32"/>
        <v>0</v>
      </c>
      <c r="O139" s="4">
        <f t="shared" si="33"/>
        <v>0</v>
      </c>
      <c r="P139" s="4">
        <f t="shared" si="34"/>
        <v>0</v>
      </c>
      <c r="Q139" s="4">
        <f t="shared" si="35"/>
        <v>0</v>
      </c>
      <c r="R139" s="19">
        <f>VLOOKUP(A139,'[1]Carcass '!$C$107:$E$399,3,FALSE)</f>
        <v>13.4</v>
      </c>
      <c r="S139" s="4">
        <f>VLOOKUP(A139,'[1]Carcass '!$C$107:$F$399,4,FALSE)</f>
        <v>3.5</v>
      </c>
      <c r="T139" s="4">
        <f>VLOOKUP(A139,'[1]Carcass '!$C$10:$G$397,5, FALSE)</f>
        <v>0.68</v>
      </c>
      <c r="U139" s="4">
        <f>VLOOKUP(A139,'[1]Carcass '!$C$107:$I$399,7,FALSE)</f>
        <v>499</v>
      </c>
    </row>
    <row r="140" spans="1:21" x14ac:dyDescent="0.2">
      <c r="A140" s="94">
        <v>4464</v>
      </c>
      <c r="B140" s="87">
        <f>VLOOKUP(A140,[1]Assign!$A:$D,4,FALSE)</f>
        <v>607</v>
      </c>
      <c r="C140" s="4">
        <v>2</v>
      </c>
      <c r="D140" s="4">
        <v>301</v>
      </c>
      <c r="E140" s="4" t="str">
        <f>VLOOKUP(A140,[1]Assign!$A:$I,9,FALSE)</f>
        <v xml:space="preserve">25% MDGS Constant </v>
      </c>
      <c r="F140" s="4">
        <f>VLOOKUP(A140,'[1]Carcass '!$C$105:$D$397,2,FALSE)</f>
        <v>814</v>
      </c>
      <c r="G140" s="4">
        <f t="shared" si="28"/>
        <v>1292.063492063492</v>
      </c>
      <c r="H140" s="31">
        <f t="shared" si="29"/>
        <v>3.4952218982831229</v>
      </c>
      <c r="I140" s="4">
        <f>VLOOKUP(D140,'[1]DMO head'!$A$2:$D$49,4,FALSE)</f>
        <v>22.630176042777777</v>
      </c>
      <c r="J140" s="19">
        <f t="shared" si="30"/>
        <v>685.06349206349205</v>
      </c>
      <c r="L140" s="4" t="str">
        <f>VLOOKUP(A140,'[1]Carcass '!$C$10:$J$397,8,FALSE)</f>
        <v>A-</v>
      </c>
      <c r="M140" s="4">
        <f t="shared" si="31"/>
        <v>0</v>
      </c>
      <c r="N140" s="4">
        <f t="shared" si="32"/>
        <v>1</v>
      </c>
      <c r="O140" s="4">
        <f t="shared" si="33"/>
        <v>0</v>
      </c>
      <c r="P140" s="4">
        <f t="shared" si="34"/>
        <v>1</v>
      </c>
      <c r="Q140" s="4">
        <f t="shared" si="35"/>
        <v>0</v>
      </c>
      <c r="R140" s="19">
        <f>VLOOKUP(A140,'[1]Carcass '!$C$107:$E$399,3,FALSE)</f>
        <v>14</v>
      </c>
      <c r="S140" s="4">
        <f>VLOOKUP(A140,'[1]Carcass '!$C$107:$F$399,4,FALSE)</f>
        <v>3.14</v>
      </c>
      <c r="T140" s="4">
        <f>VLOOKUP(A140,'[1]Carcass '!$C$10:$G$397,5, FALSE)</f>
        <v>0.5</v>
      </c>
      <c r="U140" s="4">
        <f>VLOOKUP(A140,'[1]Carcass '!$C$107:$I$399,7,FALSE)</f>
        <v>433</v>
      </c>
    </row>
    <row r="141" spans="1:21" x14ac:dyDescent="0.2">
      <c r="A141" s="94">
        <v>4610</v>
      </c>
      <c r="B141" s="87">
        <f>VLOOKUP(A141,[1]Assign!$A:$D,4,FALSE)</f>
        <v>611</v>
      </c>
      <c r="C141" s="4">
        <v>2</v>
      </c>
      <c r="D141" s="4">
        <v>302</v>
      </c>
      <c r="E141" s="4" t="str">
        <f>VLOOKUP(A141,[1]Assign!$A:$I,9,FALSE)</f>
        <v>25% MDGS Variable</v>
      </c>
      <c r="F141" s="4">
        <f>VLOOKUP(A141,'[1]Carcass '!$C$105:$D$397,2,FALSE)</f>
        <v>840</v>
      </c>
      <c r="G141" s="4">
        <f t="shared" si="28"/>
        <v>1333.3333333333333</v>
      </c>
      <c r="H141" s="31">
        <f t="shared" si="29"/>
        <v>3.6853741496598635</v>
      </c>
      <c r="I141" s="4">
        <f>VLOOKUP(D141,'[1]DMO head'!$A$2:$D$49,4,FALSE)</f>
        <v>21.718133105510006</v>
      </c>
      <c r="J141" s="19">
        <f t="shared" si="30"/>
        <v>722.33333333333326</v>
      </c>
      <c r="L141" s="4" t="str">
        <f>VLOOKUP(A141,'[1]Carcass '!$C$10:$J$397,8,FALSE)</f>
        <v>A-</v>
      </c>
      <c r="M141" s="4">
        <f t="shared" si="31"/>
        <v>0</v>
      </c>
      <c r="N141" s="4">
        <f t="shared" si="32"/>
        <v>1</v>
      </c>
      <c r="O141" s="4">
        <f t="shared" si="33"/>
        <v>0</v>
      </c>
      <c r="P141" s="4">
        <f t="shared" si="34"/>
        <v>1</v>
      </c>
      <c r="Q141" s="4">
        <f t="shared" si="35"/>
        <v>0</v>
      </c>
      <c r="R141" s="19">
        <f>VLOOKUP(A141,'[1]Carcass '!$C$107:$E$399,3,FALSE)</f>
        <v>12.35</v>
      </c>
      <c r="S141" s="4">
        <f>VLOOKUP(A141,'[1]Carcass '!$C$107:$F$399,4,FALSE)</f>
        <v>3.3</v>
      </c>
    </row>
    <row r="142" spans="1:21" x14ac:dyDescent="0.2">
      <c r="A142" s="94">
        <v>4621</v>
      </c>
      <c r="B142" s="87">
        <f>VLOOKUP(A142,[1]Assign!$A:$D,4,FALSE)</f>
        <v>607</v>
      </c>
      <c r="C142" s="4">
        <v>2</v>
      </c>
      <c r="D142" s="4">
        <v>303</v>
      </c>
      <c r="E142" s="4" t="str">
        <f>VLOOKUP(A142,[1]Assign!$A:$I,9,FALSE)</f>
        <v>Control</v>
      </c>
      <c r="F142" s="4">
        <f>VLOOKUP(A142,'[1]Carcass '!$C$105:$D$397,2,FALSE)</f>
        <v>845</v>
      </c>
      <c r="G142" s="4">
        <f t="shared" si="28"/>
        <v>1341.2698412698412</v>
      </c>
      <c r="H142" s="31">
        <f t="shared" si="29"/>
        <v>3.7462747003563326</v>
      </c>
      <c r="I142" s="4">
        <f>VLOOKUP(D142,'[1]DMO head'!$A$2:$D$49,4,FALSE)</f>
        <v>21.256780292032506</v>
      </c>
      <c r="J142" s="19">
        <f t="shared" si="30"/>
        <v>734.26984126984121</v>
      </c>
      <c r="L142" s="4">
        <f>VLOOKUP(A142,'[1]Carcass '!$C$10:$J$397,8,FALSE)</f>
        <v>0</v>
      </c>
      <c r="M142" s="4">
        <f t="shared" si="31"/>
        <v>0</v>
      </c>
      <c r="N142" s="4">
        <f t="shared" si="32"/>
        <v>0</v>
      </c>
      <c r="O142" s="4">
        <f t="shared" si="33"/>
        <v>0</v>
      </c>
      <c r="P142" s="4">
        <f t="shared" si="34"/>
        <v>0</v>
      </c>
      <c r="Q142" s="4">
        <f t="shared" si="35"/>
        <v>0</v>
      </c>
      <c r="R142" s="19">
        <f>VLOOKUP(A142,'[1]Carcass '!$C$107:$E$399,3,FALSE)</f>
        <v>14.1</v>
      </c>
      <c r="S142" s="4">
        <f>VLOOKUP(A142,'[1]Carcass '!$C$107:$F$399,4,FALSE)</f>
        <v>3</v>
      </c>
      <c r="T142" s="4">
        <f>VLOOKUP(A142,'[1]Carcass '!$C$10:$G$397,5, FALSE)</f>
        <v>0.38</v>
      </c>
      <c r="U142" s="4">
        <f>VLOOKUP(A142,'[1]Carcass '!$C$107:$I$399,7,FALSE)</f>
        <v>400</v>
      </c>
    </row>
    <row r="143" spans="1:21" x14ac:dyDescent="0.2">
      <c r="A143" s="94">
        <v>4550</v>
      </c>
      <c r="B143" s="87">
        <f>VLOOKUP(A143,[1]Assign!$A:$D,4,FALSE)</f>
        <v>612</v>
      </c>
      <c r="C143" s="4">
        <v>2</v>
      </c>
      <c r="D143" s="4">
        <v>304</v>
      </c>
      <c r="E143" s="4" t="str">
        <f>VLOOKUP(A143,[1]Assign!$A:$I,9,FALSE)</f>
        <v>10% MDGS Variable</v>
      </c>
      <c r="F143" s="4">
        <f>VLOOKUP(A143,'[1]Carcass '!$C$105:$D$397,2,FALSE)</f>
        <v>739</v>
      </c>
      <c r="G143" s="4">
        <f t="shared" si="28"/>
        <v>1173.015873015873</v>
      </c>
      <c r="H143" s="31">
        <f t="shared" si="29"/>
        <v>2.8623258827340461</v>
      </c>
      <c r="I143" s="4">
        <f>VLOOKUP(D143,'[1]DMO head'!$A$2:$D$49,4,FALSE)</f>
        <v>21.282594490991229</v>
      </c>
      <c r="J143" s="19">
        <f t="shared" si="30"/>
        <v>561.01587301587301</v>
      </c>
      <c r="L143" s="4" t="str">
        <f>VLOOKUP(A143,'[1]Carcass '!$C$10:$J$397,8,FALSE)</f>
        <v>A-</v>
      </c>
      <c r="M143" s="4">
        <f t="shared" si="31"/>
        <v>0</v>
      </c>
      <c r="N143" s="4">
        <f t="shared" si="32"/>
        <v>1</v>
      </c>
      <c r="O143" s="4">
        <f t="shared" si="33"/>
        <v>0</v>
      </c>
      <c r="P143" s="4">
        <f t="shared" si="34"/>
        <v>1</v>
      </c>
      <c r="Q143" s="4">
        <f t="shared" si="35"/>
        <v>0</v>
      </c>
      <c r="R143" s="19">
        <f>VLOOKUP(A143,'[1]Carcass '!$C$107:$E$399,3,FALSE)</f>
        <v>12.4</v>
      </c>
      <c r="S143" s="4">
        <f>VLOOKUP(A143,'[1]Carcass '!$C$107:$F$399,4,FALSE)</f>
        <v>3.3</v>
      </c>
      <c r="T143" s="4">
        <f>VLOOKUP(A143,'[1]Carcass '!$C$10:$G$397,5, FALSE)</f>
        <v>0.56000000000000005</v>
      </c>
      <c r="U143" s="4">
        <f>VLOOKUP(A143,'[1]Carcass '!$C$107:$I$399,7,FALSE)</f>
        <v>386</v>
      </c>
    </row>
    <row r="144" spans="1:21" x14ac:dyDescent="0.2">
      <c r="A144" s="94">
        <v>4750</v>
      </c>
      <c r="B144" s="87">
        <f>VLOOKUP(A144,[1]Assign!$A:$D,4,FALSE)</f>
        <v>611</v>
      </c>
      <c r="C144" s="4">
        <v>2</v>
      </c>
      <c r="D144" s="4">
        <v>305</v>
      </c>
      <c r="E144" s="4" t="str">
        <f>VLOOKUP(A144,[1]Assign!$A:$I,9,FALSE)</f>
        <v xml:space="preserve">10% MDGS Constant </v>
      </c>
      <c r="F144" s="4">
        <f>VLOOKUP(A144,'[1]Carcass '!$C$105:$D$397,2,FALSE)</f>
        <v>777</v>
      </c>
      <c r="G144" s="4" t="s">
        <v>43</v>
      </c>
      <c r="H144" s="31" t="s">
        <v>43</v>
      </c>
      <c r="I144" s="4">
        <f>VLOOKUP(D144,'[1]DMO head'!$A$2:$D$49,4,FALSE)</f>
        <v>20.599573820131273</v>
      </c>
      <c r="J144" s="19" t="s">
        <v>43</v>
      </c>
      <c r="L144" s="4" t="str">
        <f>VLOOKUP(A144,'[1]Carcass '!$C$10:$J$397,8,FALSE)</f>
        <v>C</v>
      </c>
      <c r="M144" s="4">
        <f t="shared" si="31"/>
        <v>0</v>
      </c>
      <c r="N144" s="4">
        <f t="shared" si="32"/>
        <v>0</v>
      </c>
      <c r="O144" s="4">
        <f t="shared" si="33"/>
        <v>0</v>
      </c>
      <c r="P144" s="4">
        <f t="shared" si="34"/>
        <v>0</v>
      </c>
      <c r="Q144" s="4">
        <f t="shared" si="35"/>
        <v>1</v>
      </c>
      <c r="R144" s="19">
        <f>VLOOKUP(A144,'[1]Carcass '!$C$107:$E$399,3,FALSE)</f>
        <v>12.8</v>
      </c>
      <c r="S144" s="4">
        <f>VLOOKUP(A144,'[1]Carcass '!$C$107:$F$399,4,FALSE)</f>
        <v>3.2</v>
      </c>
    </row>
    <row r="145" spans="1:21" x14ac:dyDescent="0.2">
      <c r="A145" s="94">
        <v>4466</v>
      </c>
      <c r="B145" s="87">
        <f>VLOOKUP(A145,[1]Assign!$A:$D,4,FALSE)</f>
        <v>604</v>
      </c>
      <c r="C145" s="4">
        <v>2</v>
      </c>
      <c r="D145" s="4">
        <v>306</v>
      </c>
      <c r="E145" s="4" t="str">
        <f>VLOOKUP(A145,[1]Assign!$A:$I,9,FALSE)</f>
        <v>Control</v>
      </c>
      <c r="F145" s="4">
        <f>VLOOKUP(A145,'[1]Carcass '!$C$105:$D$397,2,FALSE)</f>
        <v>736</v>
      </c>
      <c r="G145" s="4">
        <f t="shared" si="28"/>
        <v>1168.2539682539682</v>
      </c>
      <c r="H145" s="31">
        <f t="shared" si="29"/>
        <v>2.8788467768059602</v>
      </c>
      <c r="I145" s="4">
        <f>VLOOKUP(D145,'[1]DMO head'!$A$2:$D$49,4,FALSE)</f>
        <v>23.243543323568986</v>
      </c>
      <c r="J145" s="19">
        <f t="shared" si="30"/>
        <v>564.2539682539682</v>
      </c>
      <c r="L145" s="4">
        <f>VLOOKUP(A145,'[1]Carcass '!$C$10:$J$397,8,FALSE)</f>
        <v>0</v>
      </c>
      <c r="M145" s="4">
        <f t="shared" si="31"/>
        <v>0</v>
      </c>
      <c r="N145" s="4">
        <f t="shared" si="32"/>
        <v>0</v>
      </c>
      <c r="O145" s="4">
        <f t="shared" si="33"/>
        <v>0</v>
      </c>
      <c r="P145" s="4">
        <f t="shared" si="34"/>
        <v>0</v>
      </c>
      <c r="Q145" s="4">
        <f t="shared" si="35"/>
        <v>0</v>
      </c>
      <c r="R145" s="19">
        <f>VLOOKUP(A145,'[1]Carcass '!$C$107:$E$399,3,FALSE)</f>
        <v>13</v>
      </c>
      <c r="S145" s="4">
        <f>VLOOKUP(A145,'[1]Carcass '!$C$107:$F$399,4,FALSE)</f>
        <v>3.2</v>
      </c>
      <c r="T145" s="4">
        <f>VLOOKUP(A145,'[1]Carcass '!$C$10:$G$397,5, FALSE)</f>
        <v>0.5</v>
      </c>
      <c r="U145" s="4">
        <f>VLOOKUP(A145,'[1]Carcass '!$C$107:$I$399,7,FALSE)</f>
        <v>469</v>
      </c>
    </row>
    <row r="146" spans="1:21" x14ac:dyDescent="0.2">
      <c r="A146" s="94">
        <v>4512</v>
      </c>
      <c r="B146" s="87">
        <f>VLOOKUP(A146,[1]Assign!$A:$D,4,FALSE)</f>
        <v>616</v>
      </c>
      <c r="C146" s="4">
        <v>2</v>
      </c>
      <c r="D146" s="4">
        <v>307</v>
      </c>
      <c r="E146" s="4" t="str">
        <f>VLOOKUP(A146,[1]Assign!$A:$I,9,FALSE)</f>
        <v>25% MDGS Variable</v>
      </c>
      <c r="F146" s="4">
        <f>VLOOKUP(A146,'[1]Carcass '!$C$105:$D$397,2,FALSE)</f>
        <v>848</v>
      </c>
      <c r="G146" s="4">
        <f t="shared" si="28"/>
        <v>1346.031746031746</v>
      </c>
      <c r="H146" s="31">
        <f t="shared" si="29"/>
        <v>3.7246517654680922</v>
      </c>
      <c r="I146" s="4">
        <f>VLOOKUP(D146,'[1]DMO head'!$A$2:$D$49,4,FALSE)</f>
        <v>21.697158876111111</v>
      </c>
      <c r="J146" s="19">
        <f t="shared" si="30"/>
        <v>730.03174603174602</v>
      </c>
      <c r="L146" s="4">
        <f>VLOOKUP(A146,'[1]Carcass '!$C$10:$J$397,8,FALSE)</f>
        <v>0</v>
      </c>
      <c r="M146" s="4">
        <f t="shared" si="31"/>
        <v>0</v>
      </c>
      <c r="N146" s="4">
        <f t="shared" si="32"/>
        <v>0</v>
      </c>
      <c r="O146" s="4">
        <f t="shared" si="33"/>
        <v>0</v>
      </c>
      <c r="P146" s="4">
        <f t="shared" si="34"/>
        <v>0</v>
      </c>
      <c r="Q146" s="4">
        <f t="shared" si="35"/>
        <v>0</v>
      </c>
      <c r="R146" s="19">
        <f>VLOOKUP(A146,'[1]Carcass '!$C$107:$E$399,3,FALSE)</f>
        <v>15.2</v>
      </c>
      <c r="S146" s="4">
        <f>VLOOKUP(A146,'[1]Carcass '!$C$107:$F$399,4,FALSE)</f>
        <v>3.1</v>
      </c>
      <c r="T146" s="4">
        <f>VLOOKUP(A146,'[1]Carcass '!$C$10:$G$397,5, FALSE)</f>
        <v>0.46</v>
      </c>
      <c r="U146" s="4">
        <f>VLOOKUP(A146,'[1]Carcass '!$C$107:$I$399,7,FALSE)</f>
        <v>697</v>
      </c>
    </row>
    <row r="147" spans="1:21" x14ac:dyDescent="0.2">
      <c r="A147" s="94">
        <v>4726</v>
      </c>
      <c r="B147" s="87">
        <f>VLOOKUP(A147,[1]Assign!$A:$D,4,FALSE)</f>
        <v>623</v>
      </c>
      <c r="C147" s="4">
        <v>2</v>
      </c>
      <c r="D147" s="4">
        <v>308</v>
      </c>
      <c r="E147" s="4" t="str">
        <f>VLOOKUP(A147,[1]Assign!$A:$I,9,FALSE)</f>
        <v xml:space="preserve">25% MDGS Constant </v>
      </c>
      <c r="F147" s="4">
        <f>VLOOKUP(A147,'[1]Carcass '!$C$105:$D$397,2,FALSE)</f>
        <v>859</v>
      </c>
      <c r="G147" s="4">
        <f t="shared" si="28"/>
        <v>1363.4920634920634</v>
      </c>
      <c r="H147" s="31">
        <f t="shared" si="29"/>
        <v>3.7780207321023642</v>
      </c>
      <c r="I147" s="4">
        <f>VLOOKUP(D147,'[1]DMO head'!$A$2:$D$49,4,FALSE)</f>
        <v>23.183092460704504</v>
      </c>
      <c r="J147" s="19">
        <f t="shared" si="30"/>
        <v>740.49206349206338</v>
      </c>
      <c r="L147" s="4" t="str">
        <f>VLOOKUP(A147,'[1]Carcass '!$C$10:$J$397,8,FALSE)</f>
        <v>A-</v>
      </c>
      <c r="M147" s="4">
        <f t="shared" si="31"/>
        <v>0</v>
      </c>
      <c r="N147" s="4">
        <f t="shared" si="32"/>
        <v>1</v>
      </c>
      <c r="O147" s="4">
        <f t="shared" si="33"/>
        <v>0</v>
      </c>
      <c r="P147" s="4">
        <f t="shared" si="34"/>
        <v>1</v>
      </c>
      <c r="Q147" s="4">
        <f t="shared" si="35"/>
        <v>0</v>
      </c>
      <c r="R147" s="19">
        <f>VLOOKUP(A147,'[1]Carcass '!$C$107:$E$399,3,FALSE)</f>
        <v>16</v>
      </c>
      <c r="S147" s="4">
        <f>VLOOKUP(A147,'[1]Carcass '!$C$107:$F$399,4,FALSE)</f>
        <v>3.6</v>
      </c>
      <c r="T147" s="4">
        <f>VLOOKUP(A147,'[1]Carcass '!$C$10:$G$397,5, FALSE)</f>
        <v>0.78</v>
      </c>
      <c r="U147" s="4">
        <f>VLOOKUP(A147,'[1]Carcass '!$C$107:$I$399,7,FALSE)</f>
        <v>648</v>
      </c>
    </row>
    <row r="148" spans="1:21" x14ac:dyDescent="0.2">
      <c r="A148" s="94">
        <v>4589</v>
      </c>
      <c r="B148" s="87">
        <f>VLOOKUP(A148,[1]Assign!$A:$D,4,FALSE)</f>
        <v>611</v>
      </c>
      <c r="C148" s="4">
        <v>2</v>
      </c>
      <c r="D148" s="4">
        <v>309</v>
      </c>
      <c r="E148" s="4" t="str">
        <f>VLOOKUP(A148,[1]Assign!$A:$I,9,FALSE)</f>
        <v>Control</v>
      </c>
      <c r="F148" s="4">
        <f>VLOOKUP(A148,'[1]Carcass '!$C$105:$D$397,2,FALSE)</f>
        <v>782</v>
      </c>
      <c r="G148" s="4">
        <f t="shared" si="28"/>
        <v>1241.2698412698412</v>
      </c>
      <c r="H148" s="31">
        <f t="shared" si="29"/>
        <v>3.2156624554583737</v>
      </c>
      <c r="I148" s="4">
        <f>VLOOKUP(D148,'[1]DMO head'!$A$2:$D$49,4,FALSE)</f>
        <v>22.382749735000004</v>
      </c>
      <c r="J148" s="19">
        <f t="shared" si="30"/>
        <v>630.26984126984121</v>
      </c>
      <c r="L148" s="4" t="str">
        <f>VLOOKUP(A148,'[1]Carcass '!$C$10:$J$397,8,FALSE)</f>
        <v>C</v>
      </c>
      <c r="M148" s="4">
        <f t="shared" si="31"/>
        <v>0</v>
      </c>
      <c r="N148" s="4">
        <f t="shared" si="32"/>
        <v>0</v>
      </c>
      <c r="O148" s="4">
        <f t="shared" si="33"/>
        <v>0</v>
      </c>
      <c r="P148" s="4">
        <f t="shared" si="34"/>
        <v>0</v>
      </c>
      <c r="Q148" s="4">
        <f t="shared" si="35"/>
        <v>1</v>
      </c>
      <c r="R148" s="19">
        <f>VLOOKUP(A148,'[1]Carcass '!$C$107:$E$399,3,FALSE)</f>
        <v>13.4</v>
      </c>
      <c r="S148" s="4">
        <f>VLOOKUP(A148,'[1]Carcass '!$C$107:$F$399,4,FALSE)</f>
        <v>3.5</v>
      </c>
      <c r="T148" s="4">
        <f>VLOOKUP(A148,'[1]Carcass '!$C$10:$G$397,5, FALSE)</f>
        <v>0.67</v>
      </c>
      <c r="U148" s="4">
        <f>VLOOKUP(A148,'[1]Carcass '!$C$107:$I$399,7,FALSE)</f>
        <v>629</v>
      </c>
    </row>
    <row r="149" spans="1:21" x14ac:dyDescent="0.2">
      <c r="A149" s="94">
        <v>4343</v>
      </c>
      <c r="B149" s="87">
        <f>VLOOKUP(A149,[1]Assign!$A:$D,4,FALSE)</f>
        <v>619</v>
      </c>
      <c r="C149" s="4">
        <v>2</v>
      </c>
      <c r="D149" s="4">
        <v>310</v>
      </c>
      <c r="E149" s="4" t="str">
        <f>VLOOKUP(A149,[1]Assign!$A:$I,9,FALSE)</f>
        <v>10% MDGS Variable</v>
      </c>
      <c r="F149" s="4">
        <f>VLOOKUP(A149,'[1]Carcass '!$C$105:$D$397,2,FALSE)</f>
        <v>866</v>
      </c>
      <c r="G149" s="4">
        <f t="shared" si="28"/>
        <v>1374.6031746031747</v>
      </c>
      <c r="H149" s="31">
        <f t="shared" si="29"/>
        <v>3.8551182377712996</v>
      </c>
      <c r="I149" s="4">
        <f>VLOOKUP(D149,'[1]DMO head'!$A$2:$D$49,4,FALSE)</f>
        <v>23.18107161691918</v>
      </c>
      <c r="J149" s="19">
        <f t="shared" si="30"/>
        <v>755.60317460317469</v>
      </c>
      <c r="L149" s="4">
        <f>VLOOKUP(A149,'[1]Carcass '!$C$10:$J$397,8,FALSE)</f>
        <v>0</v>
      </c>
      <c r="M149" s="4">
        <f t="shared" si="31"/>
        <v>0</v>
      </c>
      <c r="N149" s="4">
        <f t="shared" si="32"/>
        <v>0</v>
      </c>
      <c r="O149" s="4">
        <f t="shared" si="33"/>
        <v>0</v>
      </c>
      <c r="P149" s="4">
        <f t="shared" si="34"/>
        <v>0</v>
      </c>
      <c r="Q149" s="4">
        <f t="shared" si="35"/>
        <v>0</v>
      </c>
      <c r="R149" s="19">
        <f>VLOOKUP(A149,'[1]Carcass '!$C$107:$E$399,3,FALSE)</f>
        <v>13.2</v>
      </c>
      <c r="S149" s="4">
        <f>VLOOKUP(A149,'[1]Carcass '!$C$107:$F$399,4,FALSE)</f>
        <v>3.6</v>
      </c>
      <c r="T149" s="4">
        <f>VLOOKUP(A149,'[1]Carcass '!$C$10:$G$397,5, FALSE)</f>
        <v>0.75</v>
      </c>
      <c r="U149" s="4">
        <f>VLOOKUP(A149,'[1]Carcass '!$C$107:$I$399,7,FALSE)</f>
        <v>527</v>
      </c>
    </row>
    <row r="150" spans="1:21" x14ac:dyDescent="0.2">
      <c r="A150" s="94">
        <v>4332</v>
      </c>
      <c r="B150" s="87">
        <f>VLOOKUP(A150,[1]Assign!$A:$D,4,FALSE)</f>
        <v>606</v>
      </c>
      <c r="C150" s="4">
        <v>2</v>
      </c>
      <c r="D150" s="4">
        <v>311</v>
      </c>
      <c r="E150" s="4" t="str">
        <f>VLOOKUP(A150,[1]Assign!$A:$I,9,FALSE)</f>
        <v xml:space="preserve">10% MDGS Constant </v>
      </c>
      <c r="F150" s="4">
        <f>VLOOKUP(A150,'[1]Carcass '!$C$105:$D$397,2,FALSE)</f>
        <v>856</v>
      </c>
      <c r="G150" s="4">
        <f t="shared" si="28"/>
        <v>1358.7301587301588</v>
      </c>
      <c r="H150" s="31">
        <f t="shared" si="29"/>
        <v>3.8404599935212183</v>
      </c>
      <c r="I150" s="4">
        <f>VLOOKUP(D150,'[1]DMO head'!$A$2:$D$49,4,FALSE)</f>
        <v>23.779243605703989</v>
      </c>
      <c r="J150" s="19">
        <f t="shared" si="30"/>
        <v>752.73015873015879</v>
      </c>
      <c r="L150" s="4">
        <f>VLOOKUP(A150,'[1]Carcass '!$C$10:$J$397,8,FALSE)</f>
        <v>0</v>
      </c>
      <c r="M150" s="4">
        <f t="shared" si="31"/>
        <v>0</v>
      </c>
      <c r="N150" s="4">
        <f t="shared" si="32"/>
        <v>0</v>
      </c>
      <c r="O150" s="4">
        <f t="shared" si="33"/>
        <v>0</v>
      </c>
      <c r="P150" s="4">
        <f t="shared" si="34"/>
        <v>0</v>
      </c>
      <c r="Q150" s="4">
        <f t="shared" si="35"/>
        <v>0</v>
      </c>
      <c r="R150" s="19">
        <f>VLOOKUP(A150,'[1]Carcass '!$C$107:$E$399,3,FALSE)</f>
        <v>14.5</v>
      </c>
      <c r="S150" s="4">
        <f>VLOOKUP(A150,'[1]Carcass '!$C$107:$F$399,4,FALSE)</f>
        <v>3.3</v>
      </c>
      <c r="T150" s="4">
        <f>VLOOKUP(A150,'[1]Carcass '!$C$10:$G$397,5, FALSE)</f>
        <v>0.55000000000000004</v>
      </c>
      <c r="U150" s="4">
        <f>VLOOKUP(A150,'[1]Carcass '!$C$107:$I$399,7,FALSE)</f>
        <v>638</v>
      </c>
    </row>
    <row r="151" spans="1:21" x14ac:dyDescent="0.2">
      <c r="A151" s="94">
        <v>4318</v>
      </c>
      <c r="B151" s="87">
        <f>VLOOKUP(A151,[1]Assign!$A:$D,4,FALSE)</f>
        <v>612</v>
      </c>
      <c r="C151" s="4">
        <v>2</v>
      </c>
      <c r="D151" s="4">
        <v>312</v>
      </c>
      <c r="E151" s="4" t="str">
        <f>VLOOKUP(A151,[1]Assign!$A:$I,9,FALSE)</f>
        <v xml:space="preserve">25% MDGS Constant </v>
      </c>
      <c r="F151" s="4">
        <f>VLOOKUP(A151,'[1]Carcass '!$C$105:$D$397,2,FALSE)</f>
        <v>832</v>
      </c>
      <c r="G151" s="4">
        <f t="shared" si="28"/>
        <v>1320.6349206349207</v>
      </c>
      <c r="H151" s="31">
        <f t="shared" si="29"/>
        <v>3.6154842889536773</v>
      </c>
      <c r="I151" s="4">
        <f>VLOOKUP(D151,'[1]DMO head'!$A$2:$D$49,4,FALSE)</f>
        <v>23.507213350404029</v>
      </c>
      <c r="J151" s="19">
        <f t="shared" si="30"/>
        <v>708.63492063492072</v>
      </c>
      <c r="L151" s="4">
        <f>VLOOKUP(A151,'[1]Carcass '!$C$10:$J$397,8,FALSE)</f>
        <v>0</v>
      </c>
      <c r="M151" s="4">
        <f t="shared" si="31"/>
        <v>0</v>
      </c>
      <c r="N151" s="4">
        <f t="shared" si="32"/>
        <v>0</v>
      </c>
      <c r="O151" s="4">
        <f t="shared" si="33"/>
        <v>0</v>
      </c>
      <c r="P151" s="4">
        <f t="shared" si="34"/>
        <v>0</v>
      </c>
      <c r="Q151" s="4">
        <f t="shared" si="35"/>
        <v>0</v>
      </c>
      <c r="R151" s="19">
        <f>VLOOKUP(A151,'[1]Carcass '!$C$107:$E$399,3,FALSE)</f>
        <v>12.94</v>
      </c>
      <c r="S151" s="4">
        <f>VLOOKUP(A151,'[1]Carcass '!$C$107:$F$399,4,FALSE)</f>
        <v>3.3</v>
      </c>
      <c r="T151" s="4">
        <f>VLOOKUP(A151,'[1]Carcass '!$C$10:$G$397,5, FALSE)</f>
        <v>0.71199999999999997</v>
      </c>
      <c r="U151" s="4">
        <f>VLOOKUP(A151,'[1]Carcass '!$C$107:$I$399,7,FALSE)</f>
        <v>541</v>
      </c>
    </row>
    <row r="152" spans="1:21" x14ac:dyDescent="0.2">
      <c r="A152" s="94">
        <v>4320</v>
      </c>
      <c r="B152" s="87">
        <f>VLOOKUP(A152,[1]Assign!$A:$D,4,FALSE)</f>
        <v>620</v>
      </c>
      <c r="C152" s="4">
        <v>2</v>
      </c>
      <c r="D152" s="4">
        <v>313</v>
      </c>
      <c r="E152" s="4" t="str">
        <f>VLOOKUP(A152,[1]Assign!$A:$I,9,FALSE)</f>
        <v>25% MDGS Variable</v>
      </c>
      <c r="F152" s="4">
        <f>VLOOKUP(A152,'[1]Carcass '!$C$105:$D$397,2,FALSE)</f>
        <v>893</v>
      </c>
      <c r="G152" s="4">
        <f t="shared" si="28"/>
        <v>1417.4603174603174</v>
      </c>
      <c r="H152" s="31">
        <f t="shared" si="29"/>
        <v>4.0686750890832517</v>
      </c>
      <c r="I152" s="4">
        <f>VLOOKUP(D152,'[1]DMO head'!$A$2:$D$49,4,FALSE)</f>
        <v>23.480892071111096</v>
      </c>
      <c r="J152" s="19">
        <f t="shared" si="30"/>
        <v>797.46031746031736</v>
      </c>
      <c r="L152" s="4" t="str">
        <f>VLOOKUP(A152,'[1]Carcass '!$C$10:$J$397,8,FALSE)</f>
        <v>A+</v>
      </c>
      <c r="M152" s="4">
        <f t="shared" si="31"/>
        <v>0</v>
      </c>
      <c r="N152" s="4">
        <f t="shared" si="32"/>
        <v>0</v>
      </c>
      <c r="O152" s="4">
        <f t="shared" si="33"/>
        <v>1</v>
      </c>
      <c r="P152" s="4">
        <f t="shared" si="34"/>
        <v>1</v>
      </c>
      <c r="Q152" s="4">
        <f t="shared" si="35"/>
        <v>0</v>
      </c>
      <c r="R152" s="19">
        <f>VLOOKUP(A152,'[1]Carcass '!$C$107:$E$399,3,FALSE)</f>
        <v>13</v>
      </c>
      <c r="S152" s="4">
        <f>VLOOKUP(A152,'[1]Carcass '!$C$107:$F$399,4,FALSE)</f>
        <v>4.5999999999999996</v>
      </c>
      <c r="T152" s="4">
        <f>VLOOKUP(A152,'[1]Carcass '!$C$10:$G$397,5, FALSE)</f>
        <v>1.06</v>
      </c>
      <c r="U152" s="4">
        <f>VLOOKUP(A152,'[1]Carcass '!$C$107:$I$399,7,FALSE)</f>
        <v>543</v>
      </c>
    </row>
    <row r="153" spans="1:21" x14ac:dyDescent="0.2">
      <c r="A153" s="94">
        <v>4456</v>
      </c>
      <c r="B153" s="87">
        <f>VLOOKUP(A153,[1]Assign!$A:$D,4,FALSE)</f>
        <v>622</v>
      </c>
      <c r="C153" s="4">
        <v>2</v>
      </c>
      <c r="D153" s="4">
        <v>314</v>
      </c>
      <c r="E153" s="4" t="str">
        <f>VLOOKUP(A153,[1]Assign!$A:$I,9,FALSE)</f>
        <v>25% MDGS Variable</v>
      </c>
      <c r="F153" s="4">
        <f>VLOOKUP(A153,'[1]Carcass '!$C$105:$D$397,2,FALSE)</f>
        <v>842</v>
      </c>
      <c r="G153" s="4">
        <f t="shared" si="28"/>
        <v>1336.5079365079364</v>
      </c>
      <c r="H153" s="31">
        <f t="shared" si="29"/>
        <v>3.6454486556527366</v>
      </c>
      <c r="I153" s="4">
        <f>VLOOKUP(D153,'[1]DMO head'!$A$2:$D$49,4,FALSE)</f>
        <v>23.926712488585853</v>
      </c>
      <c r="J153" s="19">
        <f t="shared" si="30"/>
        <v>714.50793650793639</v>
      </c>
      <c r="L153" s="4" t="str">
        <f>VLOOKUP(A153,'[1]Carcass '!$C$10:$J$397,8,FALSE)</f>
        <v>A-</v>
      </c>
      <c r="M153" s="4">
        <f t="shared" si="31"/>
        <v>0</v>
      </c>
      <c r="N153" s="4">
        <f t="shared" si="32"/>
        <v>1</v>
      </c>
      <c r="O153" s="4">
        <f t="shared" si="33"/>
        <v>0</v>
      </c>
      <c r="P153" s="4">
        <f t="shared" si="34"/>
        <v>1</v>
      </c>
      <c r="Q153" s="4">
        <f t="shared" si="35"/>
        <v>0</v>
      </c>
      <c r="R153" s="19">
        <f>VLOOKUP(A153,'[1]Carcass '!$C$107:$E$399,3,FALSE)</f>
        <v>13.5</v>
      </c>
      <c r="S153" s="4">
        <f>VLOOKUP(A153,'[1]Carcass '!$C$107:$F$399,4,FALSE)</f>
        <v>3.5</v>
      </c>
      <c r="T153" s="4">
        <f>VLOOKUP(A153,'[1]Carcass '!$C$10:$G$397,5, FALSE)</f>
        <v>0.76</v>
      </c>
      <c r="U153" s="4">
        <f>VLOOKUP(A153,'[1]Carcass '!$C$107:$I$399,7,FALSE)</f>
        <v>623</v>
      </c>
    </row>
    <row r="154" spans="1:21" x14ac:dyDescent="0.2">
      <c r="A154" s="94">
        <v>4517</v>
      </c>
      <c r="B154" s="87">
        <f>VLOOKUP(A154,[1]Assign!$A:$D,4,FALSE)</f>
        <v>605</v>
      </c>
      <c r="C154" s="4">
        <v>2</v>
      </c>
      <c r="D154" s="4">
        <v>315</v>
      </c>
      <c r="E154" s="4" t="str">
        <f>VLOOKUP(A154,[1]Assign!$A:$I,9,FALSE)</f>
        <v xml:space="preserve">25% MDGS Constant </v>
      </c>
      <c r="F154" s="4">
        <f>VLOOKUP(A154,'[1]Carcass '!$C$105:$D$397,2,FALSE)</f>
        <v>849</v>
      </c>
      <c r="G154" s="4">
        <f t="shared" si="28"/>
        <v>1347.6190476190477</v>
      </c>
      <c r="H154" s="31">
        <f t="shared" si="29"/>
        <v>3.7888726919339168</v>
      </c>
      <c r="I154" s="4">
        <f>VLOOKUP(D154,'[1]DMO head'!$A$2:$D$49,4,FALSE)</f>
        <v>23.392790065062279</v>
      </c>
      <c r="J154" s="19">
        <f t="shared" si="30"/>
        <v>742.61904761904771</v>
      </c>
      <c r="L154" s="4" t="str">
        <f>VLOOKUP(A154,'[1]Carcass '!$C$10:$J$397,8,FALSE)</f>
        <v>A-</v>
      </c>
      <c r="M154" s="4">
        <f t="shared" si="31"/>
        <v>0</v>
      </c>
      <c r="N154" s="4">
        <f t="shared" si="32"/>
        <v>1</v>
      </c>
      <c r="O154" s="4">
        <f t="shared" si="33"/>
        <v>0</v>
      </c>
      <c r="P154" s="4">
        <f t="shared" si="34"/>
        <v>1</v>
      </c>
      <c r="Q154" s="4">
        <f t="shared" si="35"/>
        <v>0</v>
      </c>
      <c r="R154" s="19">
        <f>VLOOKUP(A154,'[1]Carcass '!$C$107:$E$399,3,FALSE)</f>
        <v>16.5</v>
      </c>
      <c r="S154" s="4">
        <f>VLOOKUP(A154,'[1]Carcass '!$C$107:$F$399,4,FALSE)</f>
        <v>2.8</v>
      </c>
      <c r="T154" s="4">
        <f>VLOOKUP(A154,'[1]Carcass '!$C$10:$G$397,5, FALSE)</f>
        <v>0.45</v>
      </c>
      <c r="U154" s="4">
        <f>VLOOKUP(A154,'[1]Carcass '!$C$107:$I$399,7,FALSE)</f>
        <v>507</v>
      </c>
    </row>
    <row r="155" spans="1:21" x14ac:dyDescent="0.2">
      <c r="A155" s="94">
        <v>4411</v>
      </c>
      <c r="B155" s="87">
        <f>VLOOKUP(A155,[1]Assign!$A:$D,4,FALSE)</f>
        <v>606</v>
      </c>
      <c r="C155" s="4">
        <v>2</v>
      </c>
      <c r="D155" s="4">
        <v>316</v>
      </c>
      <c r="E155" s="4" t="str">
        <f>VLOOKUP(A155,[1]Assign!$A:$I,9,FALSE)</f>
        <v xml:space="preserve">10% MDGS Constant </v>
      </c>
      <c r="F155" s="4">
        <f>VLOOKUP(A155,'[1]Carcass '!$C$105:$D$397,2,FALSE)</f>
        <v>757</v>
      </c>
      <c r="G155" s="4">
        <f t="shared" si="28"/>
        <v>1201.5873015873017</v>
      </c>
      <c r="H155" s="31">
        <f t="shared" si="29"/>
        <v>3.038710722384192</v>
      </c>
      <c r="I155" s="4">
        <f>VLOOKUP(D155,'[1]DMO head'!$A$2:$D$49,4,FALSE)</f>
        <v>23.276936370757571</v>
      </c>
      <c r="J155" s="19">
        <f t="shared" si="30"/>
        <v>595.58730158730168</v>
      </c>
      <c r="L155" s="4" t="str">
        <f>VLOOKUP(A155,'[1]Carcass '!$C$10:$J$397,8,FALSE)</f>
        <v>A-</v>
      </c>
      <c r="M155" s="4">
        <f t="shared" si="31"/>
        <v>0</v>
      </c>
      <c r="N155" s="4">
        <f t="shared" si="32"/>
        <v>1</v>
      </c>
      <c r="O155" s="4">
        <f t="shared" si="33"/>
        <v>0</v>
      </c>
      <c r="P155" s="4">
        <f t="shared" si="34"/>
        <v>1</v>
      </c>
      <c r="Q155" s="4">
        <f t="shared" si="35"/>
        <v>0</v>
      </c>
      <c r="R155" s="19">
        <f>VLOOKUP(A155,'[1]Carcass '!$C$107:$E$399,3,FALSE)</f>
        <v>12.1</v>
      </c>
      <c r="S155" s="4">
        <f>VLOOKUP(A155,'[1]Carcass '!$C$107:$F$399,4,FALSE)</f>
        <v>3.05</v>
      </c>
    </row>
    <row r="156" spans="1:21" x14ac:dyDescent="0.2">
      <c r="A156" s="94">
        <v>4344</v>
      </c>
      <c r="B156" s="87">
        <f>VLOOKUP(A156,[1]Assign!$A:$D,4,FALSE)</f>
        <v>610</v>
      </c>
      <c r="C156" s="4">
        <v>2</v>
      </c>
      <c r="D156" s="4">
        <v>317</v>
      </c>
      <c r="E156" s="4" t="str">
        <f>VLOOKUP(A156,[1]Assign!$A:$I,9,FALSE)</f>
        <v>Control</v>
      </c>
      <c r="F156" s="4">
        <f>VLOOKUP(A156,'[1]Carcass '!$C$105:$D$397,2,FALSE)</f>
        <v>625</v>
      </c>
      <c r="G156" s="4">
        <f t="shared" si="28"/>
        <v>992.06349206349205</v>
      </c>
      <c r="H156" s="31">
        <f t="shared" si="29"/>
        <v>1.9493035309361839</v>
      </c>
      <c r="I156" s="4">
        <f>VLOOKUP(D156,'[1]DMO head'!$A$2:$D$49,4,FALSE)</f>
        <v>23.188136258216968</v>
      </c>
      <c r="J156" s="19">
        <f t="shared" si="30"/>
        <v>382.06349206349205</v>
      </c>
      <c r="L156" s="4">
        <f>VLOOKUP(A156,'[1]Carcass '!$C$10:$J$397,8,FALSE)</f>
        <v>0</v>
      </c>
      <c r="M156" s="4">
        <f t="shared" si="31"/>
        <v>0</v>
      </c>
      <c r="N156" s="4">
        <f t="shared" si="32"/>
        <v>0</v>
      </c>
      <c r="O156" s="4">
        <f t="shared" si="33"/>
        <v>0</v>
      </c>
      <c r="P156" s="4">
        <f t="shared" si="34"/>
        <v>0</v>
      </c>
      <c r="Q156" s="4">
        <f t="shared" si="35"/>
        <v>0</v>
      </c>
      <c r="R156" s="19">
        <f>VLOOKUP(A156,'[1]Carcass '!$C$107:$E$399,3,FALSE)</f>
        <v>12.5</v>
      </c>
      <c r="S156" s="4">
        <f>VLOOKUP(A156,'[1]Carcass '!$C$107:$F$399,4,FALSE)</f>
        <v>3</v>
      </c>
      <c r="T156" s="4">
        <f>VLOOKUP(A156,'[1]Carcass '!$C$10:$G$397,5, FALSE)</f>
        <v>0.39600000000000002</v>
      </c>
      <c r="U156" s="4">
        <f>VLOOKUP(A156,'[1]Carcass '!$C$107:$I$399,7,FALSE)</f>
        <v>392</v>
      </c>
    </row>
    <row r="157" spans="1:21" x14ac:dyDescent="0.2">
      <c r="A157" s="94">
        <v>4353</v>
      </c>
      <c r="B157" s="87">
        <f>VLOOKUP(A157,[1]Assign!$A:$D,4,FALSE)</f>
        <v>613</v>
      </c>
      <c r="C157" s="4">
        <v>2</v>
      </c>
      <c r="D157" s="4">
        <v>318</v>
      </c>
      <c r="E157" s="4" t="str">
        <f>VLOOKUP(A157,[1]Assign!$A:$I,9,FALSE)</f>
        <v>10% MDGS Variable</v>
      </c>
      <c r="F157" s="4">
        <f>VLOOKUP(A157,'[1]Carcass '!$C$105:$D$397,2,FALSE)</f>
        <v>761</v>
      </c>
      <c r="G157" s="4">
        <f t="shared" si="28"/>
        <v>1207.936507936508</v>
      </c>
      <c r="H157" s="31">
        <f t="shared" si="29"/>
        <v>3.0353903466148364</v>
      </c>
      <c r="I157" s="4">
        <f>VLOOKUP(D157,'[1]DMO head'!$A$2:$D$49,4,FALSE)</f>
        <v>23.479164833812241</v>
      </c>
      <c r="J157" s="19">
        <f t="shared" si="30"/>
        <v>594.93650793650795</v>
      </c>
      <c r="L157" s="4">
        <f>VLOOKUP(A157,'[1]Carcass '!$C$10:$J$397,8,FALSE)</f>
        <v>0</v>
      </c>
      <c r="M157" s="4">
        <f t="shared" si="31"/>
        <v>0</v>
      </c>
      <c r="N157" s="4">
        <f t="shared" si="32"/>
        <v>0</v>
      </c>
      <c r="O157" s="4">
        <f t="shared" si="33"/>
        <v>0</v>
      </c>
      <c r="P157" s="4">
        <f t="shared" si="34"/>
        <v>0</v>
      </c>
      <c r="Q157" s="4">
        <f t="shared" si="35"/>
        <v>0</v>
      </c>
      <c r="R157" s="19">
        <f>VLOOKUP(A157,'[1]Carcass '!$C$107:$E$399,3,FALSE)</f>
        <v>12.32</v>
      </c>
      <c r="S157" s="4">
        <f>VLOOKUP(A157,'[1]Carcass '!$C$107:$F$399,4,FALSE)</f>
        <v>3.2</v>
      </c>
      <c r="T157" s="4">
        <f>VLOOKUP(A157,'[1]Carcass '!$C$10:$G$397,5, FALSE)</f>
        <v>0.55600000000000005</v>
      </c>
      <c r="U157" s="4">
        <f>VLOOKUP(A157,'[1]Carcass '!$C$107:$I$399,7,FALSE)</f>
        <v>553</v>
      </c>
    </row>
    <row r="158" spans="1:21" x14ac:dyDescent="0.2">
      <c r="A158" s="94">
        <v>4622</v>
      </c>
      <c r="B158" s="87">
        <f>VLOOKUP(A158,[1]Assign!$A:$D,4,FALSE)</f>
        <v>617</v>
      </c>
      <c r="C158" s="4">
        <v>2</v>
      </c>
      <c r="D158" s="4">
        <v>215</v>
      </c>
      <c r="E158" s="4" t="str">
        <f>VLOOKUP(A158,[1]Assign!$A:$I,9,FALSE)</f>
        <v>10% MDGS Variable</v>
      </c>
      <c r="F158" s="4">
        <f>VLOOKUP(A158,'[1]Carcass '!$C$105:$D$397,2,FALSE)</f>
        <v>873</v>
      </c>
      <c r="G158" s="4">
        <f t="shared" si="28"/>
        <v>1385.7142857142858</v>
      </c>
      <c r="H158" s="31">
        <f t="shared" si="29"/>
        <v>3.9220116618075807</v>
      </c>
      <c r="I158" s="4">
        <f>VLOOKUP(D158,'[1]DMO head'!$A$2:$D$49,4,FALSE)</f>
        <v>21.5797851350505</v>
      </c>
      <c r="J158" s="19">
        <f t="shared" si="30"/>
        <v>768.71428571428578</v>
      </c>
      <c r="L158" s="4">
        <f>VLOOKUP(A158,'[1]Carcass '!$C$10:$J$397,8,FALSE)</f>
        <v>0</v>
      </c>
      <c r="M158" s="4">
        <f t="shared" si="31"/>
        <v>0</v>
      </c>
      <c r="N158" s="4">
        <f t="shared" si="32"/>
        <v>0</v>
      </c>
      <c r="O158" s="4">
        <f t="shared" si="33"/>
        <v>0</v>
      </c>
      <c r="P158" s="4">
        <f t="shared" si="34"/>
        <v>0</v>
      </c>
      <c r="Q158" s="4">
        <f t="shared" si="35"/>
        <v>0</v>
      </c>
      <c r="R158" s="19">
        <f>VLOOKUP(A158,'[1]Carcass '!$C$107:$E$399,3,FALSE)</f>
        <v>14.9</v>
      </c>
      <c r="S158" s="4">
        <f>VLOOKUP(A158,'[1]Carcass '!$C$107:$F$399,4,FALSE)</f>
        <v>3.4</v>
      </c>
      <c r="T158" s="4">
        <f>VLOOKUP(A158,'[1]Carcass '!$C$10:$G$397,5, FALSE)</f>
        <v>0.62</v>
      </c>
      <c r="U158" s="4">
        <f>VLOOKUP(A158,'[1]Carcass '!$C$107:$I$399,7,FALSE)</f>
        <v>702</v>
      </c>
    </row>
    <row r="159" spans="1:21" x14ac:dyDescent="0.2">
      <c r="A159" s="94">
        <v>4703</v>
      </c>
      <c r="B159" s="87">
        <f>VLOOKUP(A159,[1]Assign!$A:$D,4,FALSE)</f>
        <v>629</v>
      </c>
      <c r="C159" s="4">
        <v>2</v>
      </c>
      <c r="D159" s="4">
        <v>216</v>
      </c>
      <c r="E159" s="4" t="str">
        <f>VLOOKUP(A159,[1]Assign!$A:$I,9,FALSE)</f>
        <v xml:space="preserve">10% MDGS Constant </v>
      </c>
      <c r="F159" s="4">
        <f>VLOOKUP(A159,'[1]Carcass '!$C$105:$D$397,2,FALSE)</f>
        <v>863</v>
      </c>
      <c r="G159" s="4">
        <f t="shared" si="28"/>
        <v>1369.8412698412699</v>
      </c>
      <c r="H159" s="31">
        <f t="shared" si="29"/>
        <v>3.7798023971493362</v>
      </c>
      <c r="I159" s="4">
        <f>VLOOKUP(D159,'[1]DMO head'!$A$2:$D$49,4,FALSE)</f>
        <v>21.830062429040414</v>
      </c>
      <c r="J159" s="19">
        <f t="shared" si="30"/>
        <v>740.84126984126988</v>
      </c>
      <c r="L159" s="4">
        <f>VLOOKUP(A159,'[1]Carcass '!$C$10:$J$397,8,FALSE)</f>
        <v>0</v>
      </c>
      <c r="M159" s="4">
        <f t="shared" si="31"/>
        <v>0</v>
      </c>
      <c r="N159" s="4">
        <f t="shared" si="32"/>
        <v>0</v>
      </c>
      <c r="O159" s="4">
        <f t="shared" si="33"/>
        <v>0</v>
      </c>
      <c r="P159" s="4">
        <f t="shared" si="34"/>
        <v>0</v>
      </c>
      <c r="Q159" s="4">
        <f t="shared" si="35"/>
        <v>0</v>
      </c>
      <c r="R159" s="19">
        <f>VLOOKUP(A159,'[1]Carcass '!$C$107:$E$399,3,FALSE)</f>
        <v>12.2</v>
      </c>
      <c r="S159" s="4">
        <f>VLOOKUP(A159,'[1]Carcass '!$C$107:$F$399,4,FALSE)</f>
        <v>3.3</v>
      </c>
      <c r="T159" s="4">
        <f>VLOOKUP(A159,'[1]Carcass '!$C$10:$G$397,5, FALSE)</f>
        <v>0.55000000000000004</v>
      </c>
      <c r="U159" s="4">
        <f>VLOOKUP(A159,'[1]Carcass '!$C$107:$I$399,7,FALSE)</f>
        <v>595</v>
      </c>
    </row>
    <row r="160" spans="1:21" x14ac:dyDescent="0.2">
      <c r="A160" s="94">
        <v>4617</v>
      </c>
      <c r="B160" s="87">
        <f>VLOOKUP(A160,[1]Assign!$A:$D,4,FALSE)</f>
        <v>618</v>
      </c>
      <c r="C160" s="4">
        <v>2</v>
      </c>
      <c r="D160" s="4">
        <v>301</v>
      </c>
      <c r="E160" s="4" t="str">
        <f>VLOOKUP(A160,[1]Assign!$A:$I,9,FALSE)</f>
        <v xml:space="preserve">25% MDGS Constant </v>
      </c>
      <c r="F160" s="4">
        <f>VLOOKUP(A160,'[1]Carcass '!$C$105:$D$397,2,FALSE)</f>
        <v>778</v>
      </c>
      <c r="G160" s="4">
        <f t="shared" si="28"/>
        <v>1234.9206349206349</v>
      </c>
      <c r="H160" s="31">
        <f t="shared" si="29"/>
        <v>3.1475542597991577</v>
      </c>
      <c r="I160" s="4">
        <f>VLOOKUP(D160,'[1]DMO head'!$A$2:$D$49,4,FALSE)</f>
        <v>22.630176042777777</v>
      </c>
      <c r="J160" s="19">
        <f t="shared" si="30"/>
        <v>616.92063492063494</v>
      </c>
      <c r="L160" s="4" t="str">
        <f>VLOOKUP(A160,'[1]Carcass '!$C$10:$J$397,8,FALSE)</f>
        <v>C</v>
      </c>
      <c r="M160" s="4">
        <f t="shared" si="31"/>
        <v>0</v>
      </c>
      <c r="N160" s="4">
        <f t="shared" si="32"/>
        <v>0</v>
      </c>
      <c r="O160" s="4">
        <f t="shared" si="33"/>
        <v>0</v>
      </c>
      <c r="P160" s="4">
        <f t="shared" si="34"/>
        <v>0</v>
      </c>
      <c r="Q160" s="4">
        <f t="shared" si="35"/>
        <v>1</v>
      </c>
      <c r="R160" s="19">
        <f>VLOOKUP(A160,'[1]Carcass '!$C$107:$E$399,3,FALSE)</f>
        <v>14</v>
      </c>
      <c r="S160" s="4">
        <f>VLOOKUP(A160,'[1]Carcass '!$C$107:$F$399,4,FALSE)</f>
        <v>3.7</v>
      </c>
      <c r="T160" s="4">
        <f>VLOOKUP(A160,'[1]Carcass '!$C$10:$G$397,5, FALSE)</f>
        <v>0.81</v>
      </c>
      <c r="U160" s="4">
        <f>VLOOKUP(A160,'[1]Carcass '!$C$107:$I$399,7,FALSE)</f>
        <v>473</v>
      </c>
    </row>
    <row r="161" spans="1:21" x14ac:dyDescent="0.2">
      <c r="A161" s="94">
        <v>4522</v>
      </c>
      <c r="B161" s="87">
        <f>VLOOKUP(A161,[1]Assign!$A:$D,4,FALSE)</f>
        <v>626</v>
      </c>
      <c r="C161" s="4">
        <v>2</v>
      </c>
      <c r="D161" s="4">
        <v>302</v>
      </c>
      <c r="E161" s="4" t="str">
        <f>VLOOKUP(A161,[1]Assign!$A:$I,9,FALSE)</f>
        <v>25% MDGS Variable</v>
      </c>
      <c r="F161" s="4">
        <f>VLOOKUP(A161,'[1]Carcass '!$C$105:$D$397,2,FALSE)</f>
        <v>763</v>
      </c>
      <c r="G161" s="4">
        <f t="shared" si="28"/>
        <v>1211.1111111111111</v>
      </c>
      <c r="H161" s="31">
        <f t="shared" si="29"/>
        <v>2.9852607709750565</v>
      </c>
      <c r="I161" s="4">
        <f>VLOOKUP(D161,'[1]DMO head'!$A$2:$D$49,4,FALSE)</f>
        <v>21.718133105510006</v>
      </c>
      <c r="J161" s="19">
        <f t="shared" si="30"/>
        <v>585.11111111111109</v>
      </c>
      <c r="L161" s="4">
        <f>VLOOKUP(A161,'[1]Carcass '!$C$10:$J$397,8,FALSE)</f>
        <v>0</v>
      </c>
      <c r="M161" s="4">
        <f t="shared" si="31"/>
        <v>0</v>
      </c>
      <c r="N161" s="4">
        <f t="shared" si="32"/>
        <v>0</v>
      </c>
      <c r="O161" s="4">
        <f t="shared" si="33"/>
        <v>0</v>
      </c>
      <c r="P161" s="4">
        <f t="shared" si="34"/>
        <v>0</v>
      </c>
      <c r="Q161" s="4">
        <f t="shared" si="35"/>
        <v>0</v>
      </c>
      <c r="R161" s="19">
        <f>VLOOKUP(A161,'[1]Carcass '!$C$107:$E$399,3,FALSE)</f>
        <v>14.4</v>
      </c>
      <c r="S161" s="4">
        <f>VLOOKUP(A161,'[1]Carcass '!$C$107:$F$399,4,FALSE)</f>
        <v>3.3</v>
      </c>
      <c r="T161" s="4">
        <f>VLOOKUP(A161,'[1]Carcass '!$C$10:$G$397,5, FALSE)</f>
        <v>0.51</v>
      </c>
      <c r="U161" s="4">
        <f>VLOOKUP(A161,'[1]Carcass '!$C$107:$I$399,7,FALSE)</f>
        <v>469</v>
      </c>
    </row>
    <row r="162" spans="1:21" x14ac:dyDescent="0.2">
      <c r="A162" s="94">
        <v>4547</v>
      </c>
      <c r="B162" s="87">
        <f>VLOOKUP(A162,[1]Assign!$A:$D,4,FALSE)</f>
        <v>621</v>
      </c>
      <c r="C162" s="4">
        <v>2</v>
      </c>
      <c r="D162" s="4">
        <v>303</v>
      </c>
      <c r="E162" s="4" t="str">
        <f>VLOOKUP(A162,[1]Assign!$A:$I,9,FALSE)</f>
        <v>Control</v>
      </c>
      <c r="F162" s="4">
        <f>VLOOKUP(A162,'[1]Carcass '!$C$105:$D$397,2,FALSE)</f>
        <v>753</v>
      </c>
      <c r="G162" s="4">
        <f t="shared" si="28"/>
        <v>1195.2380952380952</v>
      </c>
      <c r="H162" s="31">
        <f t="shared" si="29"/>
        <v>2.9297862001943633</v>
      </c>
      <c r="I162" s="4">
        <f>VLOOKUP(D162,'[1]DMO head'!$A$2:$D$49,4,FALSE)</f>
        <v>21.256780292032506</v>
      </c>
      <c r="J162" s="19">
        <f t="shared" si="30"/>
        <v>574.23809523809518</v>
      </c>
      <c r="L162" s="4">
        <f>VLOOKUP(A162,'[1]Carcass '!$C$10:$J$397,8,FALSE)</f>
        <v>0</v>
      </c>
      <c r="M162" s="4">
        <f t="shared" si="31"/>
        <v>0</v>
      </c>
      <c r="N162" s="4">
        <f t="shared" si="32"/>
        <v>0</v>
      </c>
      <c r="O162" s="4">
        <f t="shared" si="33"/>
        <v>0</v>
      </c>
      <c r="P162" s="4">
        <f t="shared" si="34"/>
        <v>0</v>
      </c>
      <c r="Q162" s="4">
        <f t="shared" si="35"/>
        <v>0</v>
      </c>
      <c r="R162" s="19">
        <f>VLOOKUP(A162,'[1]Carcass '!$C$107:$E$399,3,FALSE)</f>
        <v>13.03</v>
      </c>
      <c r="S162" s="4">
        <f>VLOOKUP(A162,'[1]Carcass '!$C$107:$F$399,4,FALSE)</f>
        <v>2.9</v>
      </c>
      <c r="T162" s="4">
        <f>VLOOKUP(A162,'[1]Carcass '!$C$10:$G$397,5, FALSE)</f>
        <v>0.54</v>
      </c>
      <c r="U162" s="4">
        <f>VLOOKUP(A162,'[1]Carcass '!$C$107:$I$399,7,FALSE)</f>
        <v>652</v>
      </c>
    </row>
    <row r="163" spans="1:21" x14ac:dyDescent="0.2">
      <c r="A163" s="94">
        <v>4665</v>
      </c>
      <c r="B163" s="87">
        <f>VLOOKUP(A163,[1]Assign!$A:$D,4,FALSE)</f>
        <v>615</v>
      </c>
      <c r="C163" s="4">
        <v>2</v>
      </c>
      <c r="D163" s="4">
        <v>304</v>
      </c>
      <c r="E163" s="4" t="str">
        <f>VLOOKUP(A163,[1]Assign!$A:$I,9,FALSE)</f>
        <v>10% MDGS Variable</v>
      </c>
      <c r="F163" s="4">
        <f>VLOOKUP(A163,'[1]Carcass '!$C$105:$D$397,2,FALSE)</f>
        <v>839</v>
      </c>
      <c r="G163" s="4">
        <f t="shared" si="28"/>
        <v>1331.7460317460318</v>
      </c>
      <c r="H163" s="31">
        <f t="shared" si="29"/>
        <v>3.6568675089083253</v>
      </c>
      <c r="I163" s="4">
        <f>VLOOKUP(D163,'[1]DMO head'!$A$2:$D$49,4,FALSE)</f>
        <v>21.282594490991229</v>
      </c>
      <c r="J163" s="19">
        <f t="shared" si="30"/>
        <v>716.7460317460318</v>
      </c>
      <c r="L163" s="4" t="str">
        <f>VLOOKUP(A163,'[1]Carcass '!$C$10:$J$397,8,FALSE)</f>
        <v>A-</v>
      </c>
      <c r="M163" s="4">
        <f t="shared" si="31"/>
        <v>0</v>
      </c>
      <c r="N163" s="4">
        <f t="shared" si="32"/>
        <v>1</v>
      </c>
      <c r="O163" s="4">
        <f t="shared" si="33"/>
        <v>0</v>
      </c>
      <c r="P163" s="4">
        <f t="shared" si="34"/>
        <v>1</v>
      </c>
      <c r="Q163" s="4">
        <f t="shared" si="35"/>
        <v>0</v>
      </c>
      <c r="R163" s="19">
        <f>VLOOKUP(A163,'[1]Carcass '!$C$107:$E$399,3,FALSE)</f>
        <v>14.2</v>
      </c>
      <c r="S163" s="4">
        <f>VLOOKUP(A163,'[1]Carcass '!$C$107:$F$399,4,FALSE)</f>
        <v>3.4</v>
      </c>
      <c r="T163" s="4">
        <f>VLOOKUP(A163,'[1]Carcass '!$C$10:$G$397,5, FALSE)</f>
        <v>0.69</v>
      </c>
      <c r="U163" s="4">
        <f>VLOOKUP(A163,'[1]Carcass '!$C$107:$I$399,7,FALSE)</f>
        <v>487</v>
      </c>
    </row>
    <row r="164" spans="1:21" x14ac:dyDescent="0.2">
      <c r="A164" s="94">
        <v>4350</v>
      </c>
      <c r="B164" s="87">
        <f>VLOOKUP(A164,[1]Assign!$A:$D,4,FALSE)</f>
        <v>618</v>
      </c>
      <c r="C164" s="4">
        <v>2</v>
      </c>
      <c r="D164" s="4">
        <v>305</v>
      </c>
      <c r="E164" s="4" t="str">
        <f>VLOOKUP(A164,[1]Assign!$A:$I,9,FALSE)</f>
        <v xml:space="preserve">10% MDGS Constant </v>
      </c>
      <c r="F164" s="4">
        <f>VLOOKUP(A164,'[1]Carcass '!$C$105:$D$397,2,FALSE)</f>
        <v>759</v>
      </c>
      <c r="G164" s="4">
        <f t="shared" si="28"/>
        <v>1204.7619047619048</v>
      </c>
      <c r="H164" s="31">
        <f t="shared" si="29"/>
        <v>2.9936831875607388</v>
      </c>
      <c r="I164" s="4">
        <f>VLOOKUP(D164,'[1]DMO head'!$A$2:$D$49,4,FALSE)</f>
        <v>20.599573820131273</v>
      </c>
      <c r="J164" s="19">
        <f t="shared" si="30"/>
        <v>586.76190476190482</v>
      </c>
      <c r="L164" s="4" t="str">
        <f>VLOOKUP(A164,'[1]Carcass '!$C$10:$J$397,8,FALSE)</f>
        <v>A-</v>
      </c>
      <c r="M164" s="4">
        <f t="shared" si="31"/>
        <v>0</v>
      </c>
      <c r="N164" s="4">
        <f t="shared" si="32"/>
        <v>1</v>
      </c>
      <c r="O164" s="4">
        <f t="shared" si="33"/>
        <v>0</v>
      </c>
      <c r="P164" s="4">
        <f t="shared" si="34"/>
        <v>1</v>
      </c>
      <c r="Q164" s="4">
        <f t="shared" si="35"/>
        <v>0</v>
      </c>
      <c r="R164" s="19">
        <f>VLOOKUP(A164,'[1]Carcass '!$C$107:$E$399,3,FALSE)</f>
        <v>13.8</v>
      </c>
      <c r="S164" s="4">
        <f>VLOOKUP(A164,'[1]Carcass '!$C$107:$F$399,4,FALSE)</f>
        <v>3.1</v>
      </c>
      <c r="T164" s="4">
        <f>VLOOKUP(A164,'[1]Carcass '!$C$10:$G$397,5, FALSE)</f>
        <v>0.45600000000000002</v>
      </c>
      <c r="U164" s="4">
        <f>VLOOKUP(A164,'[1]Carcass '!$C$107:$I$399,7,FALSE)</f>
        <v>641</v>
      </c>
    </row>
    <row r="165" spans="1:21" x14ac:dyDescent="0.2">
      <c r="A165" s="94">
        <v>4704</v>
      </c>
      <c r="B165" s="87">
        <f>VLOOKUP(A165,[1]Assign!$A:$D,4,FALSE)</f>
        <v>609</v>
      </c>
      <c r="C165" s="4">
        <v>2</v>
      </c>
      <c r="D165" s="4">
        <v>307</v>
      </c>
      <c r="E165" s="4" t="str">
        <f>VLOOKUP(A165,[1]Assign!$A:$I,9,FALSE)</f>
        <v>25% MDGS Variable</v>
      </c>
      <c r="F165" s="4">
        <f>VLOOKUP(A165,'[1]Carcass '!$C$105:$D$397,2,FALSE)</f>
        <v>889</v>
      </c>
      <c r="G165" s="4">
        <f t="shared" si="28"/>
        <v>1411.1111111111111</v>
      </c>
      <c r="H165" s="31">
        <f t="shared" si="29"/>
        <v>4.0924036281179141</v>
      </c>
      <c r="I165" s="4">
        <f>VLOOKUP(D165,'[1]DMO head'!$A$2:$D$49,4,FALSE)</f>
        <v>21.697158876111111</v>
      </c>
      <c r="J165" s="19">
        <f t="shared" si="30"/>
        <v>802.11111111111109</v>
      </c>
      <c r="L165" s="4">
        <f>VLOOKUP(A165,'[1]Carcass '!$C$10:$J$397,8,FALSE)</f>
        <v>0</v>
      </c>
      <c r="M165" s="4">
        <f t="shared" si="31"/>
        <v>0</v>
      </c>
      <c r="N165" s="4">
        <f t="shared" si="32"/>
        <v>0</v>
      </c>
      <c r="O165" s="4">
        <f t="shared" si="33"/>
        <v>0</v>
      </c>
      <c r="P165" s="4">
        <f t="shared" si="34"/>
        <v>0</v>
      </c>
      <c r="Q165" s="4">
        <f t="shared" si="35"/>
        <v>0</v>
      </c>
      <c r="R165" s="19">
        <f>VLOOKUP(A165,'[1]Carcass '!$C$107:$E$399,3,FALSE)</f>
        <v>13.9</v>
      </c>
      <c r="S165" s="4">
        <f>VLOOKUP(A165,'[1]Carcass '!$C$107:$F$399,4,FALSE)</f>
        <v>3.5</v>
      </c>
      <c r="T165" s="4">
        <f>VLOOKUP(A165,'[1]Carcass '!$C$10:$G$397,5, FALSE)</f>
        <v>0.62</v>
      </c>
      <c r="U165" s="4">
        <f>VLOOKUP(A165,'[1]Carcass '!$C$107:$I$399,7,FALSE)</f>
        <v>508</v>
      </c>
    </row>
    <row r="166" spans="1:21" x14ac:dyDescent="0.2">
      <c r="A166" s="94">
        <v>4378</v>
      </c>
      <c r="B166" s="87">
        <f>VLOOKUP(A166,[1]Assign!$A:$D,4,FALSE)</f>
        <v>616</v>
      </c>
      <c r="C166" s="4">
        <v>2</v>
      </c>
      <c r="D166" s="4">
        <v>308</v>
      </c>
      <c r="E166" s="4" t="str">
        <f>VLOOKUP(A166,[1]Assign!$A:$I,9,FALSE)</f>
        <v xml:space="preserve">25% MDGS Constant </v>
      </c>
      <c r="F166" s="4">
        <f>VLOOKUP(A166,'[1]Carcass '!$C$105:$D$397,2,FALSE)</f>
        <v>793</v>
      </c>
      <c r="G166" s="4">
        <f t="shared" si="28"/>
        <v>1258.7301587301588</v>
      </c>
      <c r="H166" s="31">
        <f t="shared" si="29"/>
        <v>3.2792355037253</v>
      </c>
      <c r="I166" s="4">
        <f>VLOOKUP(D166,'[1]DMO head'!$A$2:$D$49,4,FALSE)</f>
        <v>23.183092460704504</v>
      </c>
      <c r="J166" s="19">
        <f t="shared" si="30"/>
        <v>642.73015873015879</v>
      </c>
      <c r="L166" s="4" t="str">
        <f>VLOOKUP(A166,'[1]Carcass '!$C$10:$J$397,8,FALSE)</f>
        <v>A-</v>
      </c>
      <c r="M166" s="4">
        <f t="shared" si="31"/>
        <v>0</v>
      </c>
      <c r="N166" s="4">
        <f t="shared" si="32"/>
        <v>1</v>
      </c>
      <c r="O166" s="4">
        <f t="shared" si="33"/>
        <v>0</v>
      </c>
      <c r="P166" s="4">
        <f t="shared" si="34"/>
        <v>1</v>
      </c>
      <c r="Q166" s="4">
        <f t="shared" si="35"/>
        <v>0</v>
      </c>
      <c r="R166" s="19">
        <f>VLOOKUP(A166,'[1]Carcass '!$C$107:$E$399,3,FALSE)</f>
        <v>13</v>
      </c>
      <c r="S166" s="4">
        <f>VLOOKUP(A166,'[1]Carcass '!$C$107:$F$399,4,FALSE)</f>
        <v>3.1</v>
      </c>
      <c r="T166" s="4">
        <f>VLOOKUP(A166,'[1]Carcass '!$C$10:$G$397,5, FALSE)</f>
        <v>0.57999999999999996</v>
      </c>
      <c r="U166" s="4">
        <f>VLOOKUP(A166,'[1]Carcass '!$C$107:$I$399,7,FALSE)</f>
        <v>349</v>
      </c>
    </row>
    <row r="167" spans="1:21" x14ac:dyDescent="0.2">
      <c r="A167" s="94">
        <v>4406</v>
      </c>
      <c r="B167" s="87">
        <f>VLOOKUP(A167,[1]Assign!$A:$D,4,FALSE)</f>
        <v>622</v>
      </c>
      <c r="C167" s="4">
        <v>2</v>
      </c>
      <c r="D167" s="4">
        <v>309</v>
      </c>
      <c r="E167" s="4" t="str">
        <f>VLOOKUP(A167,[1]Assign!$A:$I,9,FALSE)</f>
        <v>Control</v>
      </c>
      <c r="F167" s="4">
        <f>VLOOKUP(A167,'[1]Carcass '!$C$105:$D$397,2,FALSE)</f>
        <v>940</v>
      </c>
      <c r="G167" s="4">
        <f t="shared" si="28"/>
        <v>1492.063492063492</v>
      </c>
      <c r="H167" s="31">
        <f t="shared" si="29"/>
        <v>4.439099449303531</v>
      </c>
      <c r="I167" s="4">
        <f>VLOOKUP(D167,'[1]DMO head'!$A$2:$D$49,4,FALSE)</f>
        <v>22.382749735000004</v>
      </c>
      <c r="J167" s="19">
        <f t="shared" si="30"/>
        <v>870.06349206349205</v>
      </c>
      <c r="L167" s="4">
        <f>VLOOKUP(A167,'[1]Carcass '!$C$10:$J$397,8,FALSE)</f>
        <v>0</v>
      </c>
      <c r="M167" s="4">
        <f t="shared" si="31"/>
        <v>0</v>
      </c>
      <c r="N167" s="4">
        <f t="shared" si="32"/>
        <v>0</v>
      </c>
      <c r="O167" s="4">
        <f t="shared" si="33"/>
        <v>0</v>
      </c>
      <c r="P167" s="4">
        <f t="shared" si="34"/>
        <v>0</v>
      </c>
      <c r="Q167" s="4">
        <f t="shared" si="35"/>
        <v>0</v>
      </c>
      <c r="R167" s="19">
        <f>VLOOKUP(A167,'[1]Carcass '!$C$107:$E$399,3,FALSE)</f>
        <v>13.46</v>
      </c>
      <c r="S167" s="4">
        <f>VLOOKUP(A167,'[1]Carcass '!$C$107:$F$399,4,FALSE)</f>
        <v>4.5999999999999996</v>
      </c>
      <c r="T167" s="4">
        <f>VLOOKUP(A167,'[1]Carcass '!$C$10:$G$397,5, FALSE)</f>
        <v>1.2</v>
      </c>
      <c r="U167" s="4">
        <f>VLOOKUP(A167,'[1]Carcass '!$C$107:$I$399,7,FALSE)</f>
        <v>466</v>
      </c>
    </row>
    <row r="168" spans="1:21" x14ac:dyDescent="0.2">
      <c r="A168" s="94">
        <v>4368</v>
      </c>
      <c r="B168" s="87">
        <f>VLOOKUP(A168,[1]Assign!$A:$D,4,FALSE)</f>
        <v>617</v>
      </c>
      <c r="C168" s="4">
        <v>2</v>
      </c>
      <c r="D168" s="4">
        <v>310</v>
      </c>
      <c r="E168" s="4" t="str">
        <f>VLOOKUP(A168,[1]Assign!$A:$I,9,FALSE)</f>
        <v>10% MDGS Variable</v>
      </c>
      <c r="F168" s="4">
        <f>VLOOKUP(A168,'[1]Carcass '!$C$105:$D$397,2,FALSE)</f>
        <v>826</v>
      </c>
      <c r="G168" s="4">
        <f t="shared" si="28"/>
        <v>1311.1111111111111</v>
      </c>
      <c r="H168" s="31">
        <f t="shared" si="29"/>
        <v>3.5413832199546484</v>
      </c>
      <c r="I168" s="4">
        <f>VLOOKUP(D168,'[1]DMO head'!$A$2:$D$49,4,FALSE)</f>
        <v>23.18107161691918</v>
      </c>
      <c r="J168" s="19">
        <f t="shared" si="30"/>
        <v>694.11111111111109</v>
      </c>
      <c r="L168" s="4" t="str">
        <f>VLOOKUP(A168,'[1]Carcass '!$C$10:$J$397,8,FALSE)</f>
        <v>A</v>
      </c>
      <c r="M168" s="4">
        <f t="shared" si="31"/>
        <v>1</v>
      </c>
      <c r="N168" s="4">
        <f t="shared" si="32"/>
        <v>0</v>
      </c>
      <c r="O168" s="4">
        <f t="shared" si="33"/>
        <v>0</v>
      </c>
      <c r="P168" s="4">
        <f t="shared" si="34"/>
        <v>1</v>
      </c>
      <c r="Q168" s="4">
        <f t="shared" si="35"/>
        <v>0</v>
      </c>
      <c r="R168" s="19">
        <f>VLOOKUP(A168,'[1]Carcass '!$C$107:$E$399,3,FALSE)</f>
        <v>11.3</v>
      </c>
      <c r="S168" s="4">
        <f>VLOOKUP(A168,'[1]Carcass '!$C$107:$F$399,4,FALSE)</f>
        <v>4.5999999999999996</v>
      </c>
      <c r="T168" s="4">
        <f>VLOOKUP(A168,'[1]Carcass '!$C$10:$G$397,5, FALSE)</f>
        <v>1.1100000000000001</v>
      </c>
      <c r="U168" s="4">
        <f>VLOOKUP(A168,'[1]Carcass '!$C$107:$I$399,7,FALSE)</f>
        <v>800</v>
      </c>
    </row>
    <row r="169" spans="1:21" x14ac:dyDescent="0.2">
      <c r="A169" s="94">
        <v>4472</v>
      </c>
      <c r="B169" s="87">
        <f>VLOOKUP(A169,[1]Assign!$A:$D,4,FALSE)</f>
        <v>611</v>
      </c>
      <c r="C169" s="4">
        <v>2</v>
      </c>
      <c r="D169" s="4">
        <v>311</v>
      </c>
      <c r="E169" s="4" t="str">
        <f>VLOOKUP(A169,[1]Assign!$A:$I,9,FALSE)</f>
        <v xml:space="preserve">10% MDGS Constant </v>
      </c>
      <c r="F169" s="4">
        <f>VLOOKUP(A169,'[1]Carcass '!$C$105:$D$397,2,FALSE)</f>
        <v>791</v>
      </c>
      <c r="G169" s="4">
        <f t="shared" si="28"/>
        <v>1255.5555555555557</v>
      </c>
      <c r="H169" s="31">
        <f t="shared" si="29"/>
        <v>3.2885487528344677</v>
      </c>
      <c r="I169" s="4">
        <f>VLOOKUP(D169,'[1]DMO head'!$A$2:$D$49,4,FALSE)</f>
        <v>23.779243605703989</v>
      </c>
      <c r="J169" s="19">
        <f t="shared" si="30"/>
        <v>644.55555555555566</v>
      </c>
      <c r="L169" s="4">
        <f>VLOOKUP(A169,'[1]Carcass '!$C$10:$J$397,8,FALSE)</f>
        <v>0</v>
      </c>
      <c r="M169" s="4">
        <f t="shared" si="31"/>
        <v>0</v>
      </c>
      <c r="N169" s="4">
        <f t="shared" si="32"/>
        <v>0</v>
      </c>
      <c r="O169" s="4">
        <f t="shared" si="33"/>
        <v>0</v>
      </c>
      <c r="P169" s="4">
        <f t="shared" si="34"/>
        <v>0</v>
      </c>
      <c r="Q169" s="4">
        <f t="shared" si="35"/>
        <v>0</v>
      </c>
      <c r="R169" s="19">
        <f>VLOOKUP(A169,'[1]Carcass '!$C$107:$E$399,3,FALSE)</f>
        <v>12.1</v>
      </c>
      <c r="S169" s="4">
        <f>VLOOKUP(A169,'[1]Carcass '!$C$107:$F$399,4,FALSE)</f>
        <v>3.7</v>
      </c>
      <c r="T169" s="4">
        <f>VLOOKUP(A169,'[1]Carcass '!$C$10:$G$397,5, FALSE)</f>
        <v>0.69</v>
      </c>
      <c r="U169" s="4">
        <f>VLOOKUP(A169,'[1]Carcass '!$C$107:$I$399,7,FALSE)</f>
        <v>582</v>
      </c>
    </row>
    <row r="170" spans="1:21" x14ac:dyDescent="0.2">
      <c r="A170" s="94">
        <v>4481</v>
      </c>
      <c r="B170" s="87">
        <f>VLOOKUP(A170,[1]Assign!$A:$D,4,FALSE)</f>
        <v>624</v>
      </c>
      <c r="C170" s="4">
        <v>2</v>
      </c>
      <c r="D170" s="4">
        <v>312</v>
      </c>
      <c r="E170" s="4" t="str">
        <f>VLOOKUP(A170,[1]Assign!$A:$I,9,FALSE)</f>
        <v xml:space="preserve">25% MDGS Constant </v>
      </c>
      <c r="F170" s="4">
        <f>VLOOKUP(A170,'[1]Carcass '!$C$105:$D$397,2,FALSE)</f>
        <v>889</v>
      </c>
      <c r="G170" s="4">
        <f t="shared" si="28"/>
        <v>1411.1111111111111</v>
      </c>
      <c r="H170" s="31">
        <f t="shared" si="29"/>
        <v>4.0158730158730158</v>
      </c>
      <c r="I170" s="4">
        <f>VLOOKUP(D170,'[1]DMO head'!$A$2:$D$49,4,FALSE)</f>
        <v>23.507213350404029</v>
      </c>
      <c r="J170" s="19">
        <f t="shared" si="30"/>
        <v>787.11111111111109</v>
      </c>
      <c r="L170" s="4">
        <f>VLOOKUP(A170,'[1]Carcass '!$C$10:$J$397,8,FALSE)</f>
        <v>0</v>
      </c>
      <c r="M170" s="4">
        <f t="shared" si="31"/>
        <v>0</v>
      </c>
      <c r="N170" s="4">
        <f t="shared" si="32"/>
        <v>0</v>
      </c>
      <c r="O170" s="4">
        <f t="shared" si="33"/>
        <v>0</v>
      </c>
      <c r="P170" s="4">
        <f t="shared" si="34"/>
        <v>0</v>
      </c>
      <c r="Q170" s="4">
        <f t="shared" si="35"/>
        <v>0</v>
      </c>
      <c r="R170" s="19">
        <f>VLOOKUP(A170,'[1]Carcass '!$C$107:$E$399,3,FALSE)</f>
        <v>14.8</v>
      </c>
      <c r="S170" s="4">
        <f>VLOOKUP(A170,'[1]Carcass '!$C$107:$F$399,4,FALSE)</f>
        <v>3.3</v>
      </c>
      <c r="T170" s="4">
        <f>VLOOKUP(A170,'[1]Carcass '!$C$10:$G$397,5, FALSE)</f>
        <v>0.51999999999999991</v>
      </c>
      <c r="U170" s="4">
        <f>VLOOKUP(A170,'[1]Carcass '!$C$107:$I$399,7,FALSE)</f>
        <v>486</v>
      </c>
    </row>
    <row r="171" spans="1:21" x14ac:dyDescent="0.2">
      <c r="A171" s="94">
        <v>4488</v>
      </c>
      <c r="B171" s="87">
        <f>VLOOKUP(A171,[1]Assign!$A:$D,4,FALSE)</f>
        <v>613</v>
      </c>
      <c r="C171" s="4">
        <v>2</v>
      </c>
      <c r="D171" s="4">
        <v>313</v>
      </c>
      <c r="E171" s="4" t="str">
        <f>VLOOKUP(A171,[1]Assign!$A:$I,9,FALSE)</f>
        <v>25% MDGS Variable</v>
      </c>
      <c r="F171" s="4">
        <f>VLOOKUP(A171,'[1]Carcass '!$C$105:$D$397,2,FALSE)</f>
        <v>868</v>
      </c>
      <c r="G171" s="4">
        <f t="shared" si="28"/>
        <v>1377.7777777777778</v>
      </c>
      <c r="H171" s="31">
        <f t="shared" si="29"/>
        <v>3.9019274376417235</v>
      </c>
      <c r="I171" s="4">
        <f>VLOOKUP(D171,'[1]DMO head'!$A$2:$D$49,4,FALSE)</f>
        <v>23.480892071111096</v>
      </c>
      <c r="J171" s="19">
        <f t="shared" si="30"/>
        <v>764.77777777777783</v>
      </c>
      <c r="L171" s="4" t="str">
        <f>VLOOKUP(A171,'[1]Carcass '!$C$10:$J$397,8,FALSE)</f>
        <v>A+</v>
      </c>
      <c r="M171" s="4">
        <f t="shared" si="31"/>
        <v>0</v>
      </c>
      <c r="N171" s="4">
        <f t="shared" si="32"/>
        <v>0</v>
      </c>
      <c r="O171" s="4">
        <f t="shared" si="33"/>
        <v>1</v>
      </c>
      <c r="P171" s="4">
        <f t="shared" si="34"/>
        <v>1</v>
      </c>
      <c r="Q171" s="4">
        <f t="shared" si="35"/>
        <v>0</v>
      </c>
      <c r="R171" s="19">
        <f>VLOOKUP(A171,'[1]Carcass '!$C$107:$E$399,3,FALSE)</f>
        <v>13</v>
      </c>
      <c r="S171" s="4">
        <f>VLOOKUP(A171,'[1]Carcass '!$C$107:$F$399,4,FALSE)</f>
        <v>3.5</v>
      </c>
      <c r="T171" s="4">
        <f>VLOOKUP(A171,'[1]Carcass '!$C$10:$G$397,5, FALSE)</f>
        <v>0.6</v>
      </c>
      <c r="U171" s="4">
        <f>VLOOKUP(A171,'[1]Carcass '!$C$107:$I$399,7,FALSE)</f>
        <v>512</v>
      </c>
    </row>
    <row r="172" spans="1:21" x14ac:dyDescent="0.2">
      <c r="A172" s="94">
        <v>4351</v>
      </c>
      <c r="B172" s="87">
        <f>VLOOKUP(A172,[1]Assign!$A:$D,4,FALSE)</f>
        <v>614</v>
      </c>
      <c r="C172" s="4">
        <v>2</v>
      </c>
      <c r="D172" s="4">
        <v>314</v>
      </c>
      <c r="E172" s="4" t="str">
        <f>VLOOKUP(A172,[1]Assign!$A:$I,9,FALSE)</f>
        <v>25% MDGS Variable</v>
      </c>
      <c r="F172" s="4">
        <f>VLOOKUP(A172,'[1]Carcass '!$C$105:$D$397,2,FALSE)</f>
        <v>866</v>
      </c>
      <c r="G172" s="4">
        <f t="shared" si="28"/>
        <v>1374.6031746031747</v>
      </c>
      <c r="H172" s="31">
        <f t="shared" si="29"/>
        <v>3.8806284418529322</v>
      </c>
      <c r="I172" s="4">
        <f>VLOOKUP(D172,'[1]DMO head'!$A$2:$D$49,4,FALSE)</f>
        <v>23.926712488585853</v>
      </c>
      <c r="J172" s="19">
        <f t="shared" si="30"/>
        <v>760.60317460317469</v>
      </c>
      <c r="L172" s="4">
        <f>VLOOKUP(A172,'[1]Carcass '!$C$10:$J$397,8,FALSE)</f>
        <v>0</v>
      </c>
      <c r="M172" s="4">
        <f t="shared" si="31"/>
        <v>0</v>
      </c>
      <c r="N172" s="4">
        <f t="shared" si="32"/>
        <v>0</v>
      </c>
      <c r="O172" s="4">
        <f t="shared" si="33"/>
        <v>0</v>
      </c>
      <c r="P172" s="4">
        <f t="shared" si="34"/>
        <v>0</v>
      </c>
      <c r="Q172" s="4">
        <f t="shared" si="35"/>
        <v>0</v>
      </c>
      <c r="R172" s="19">
        <f>VLOOKUP(A172,'[1]Carcass '!$C$107:$E$399,3,FALSE)</f>
        <v>13.06</v>
      </c>
      <c r="S172" s="4">
        <f>VLOOKUP(A172,'[1]Carcass '!$C$107:$F$399,4,FALSE)</f>
        <v>3.45</v>
      </c>
      <c r="T172" s="4">
        <f>VLOOKUP(A172,'[1]Carcass '!$C$10:$G$397,5, FALSE)</f>
        <v>0.72799999999999998</v>
      </c>
      <c r="U172" s="4">
        <f>VLOOKUP(A172,'[1]Carcass '!$C$107:$I$399,7,FALSE)</f>
        <v>558</v>
      </c>
    </row>
    <row r="173" spans="1:21" x14ac:dyDescent="0.2">
      <c r="A173" s="94">
        <v>4323</v>
      </c>
      <c r="B173" s="87">
        <f>VLOOKUP(A173,[1]Assign!$A:$D,4,FALSE)</f>
        <v>622</v>
      </c>
      <c r="C173" s="4">
        <v>2</v>
      </c>
      <c r="D173" s="4">
        <v>315</v>
      </c>
      <c r="E173" s="4" t="str">
        <f>VLOOKUP(A173,[1]Assign!$A:$I,9,FALSE)</f>
        <v xml:space="preserve">25% MDGS Constant </v>
      </c>
      <c r="F173" s="4">
        <f>VLOOKUP(A173,'[1]Carcass '!$C$105:$D$397,2,FALSE)</f>
        <v>873</v>
      </c>
      <c r="G173" s="4">
        <f t="shared" si="28"/>
        <v>1385.7142857142858</v>
      </c>
      <c r="H173" s="31">
        <f t="shared" si="29"/>
        <v>3.896501457725948</v>
      </c>
      <c r="I173" s="4">
        <f>VLOOKUP(D173,'[1]DMO head'!$A$2:$D$49,4,FALSE)</f>
        <v>23.392790065062279</v>
      </c>
      <c r="J173" s="19">
        <f t="shared" si="30"/>
        <v>763.71428571428578</v>
      </c>
      <c r="L173" s="4">
        <f>VLOOKUP(A173,'[1]Carcass '!$C$10:$J$397,8,FALSE)</f>
        <v>0</v>
      </c>
      <c r="M173" s="4">
        <f t="shared" si="31"/>
        <v>0</v>
      </c>
      <c r="N173" s="4">
        <f t="shared" si="32"/>
        <v>0</v>
      </c>
      <c r="O173" s="4">
        <f t="shared" si="33"/>
        <v>0</v>
      </c>
      <c r="P173" s="4">
        <f t="shared" si="34"/>
        <v>0</v>
      </c>
      <c r="Q173" s="4">
        <f t="shared" si="35"/>
        <v>0</v>
      </c>
      <c r="R173" s="19">
        <f>VLOOKUP(A173,'[1]Carcass '!$C$107:$E$399,3,FALSE)</f>
        <v>15.3</v>
      </c>
      <c r="S173" s="4">
        <f>VLOOKUP(A173,'[1]Carcass '!$C$107:$F$399,4,FALSE)</f>
        <v>4</v>
      </c>
      <c r="T173" s="4">
        <f>VLOOKUP(A173,'[1]Carcass '!$C$10:$G$397,5, FALSE)</f>
        <v>0.88800000000000001</v>
      </c>
      <c r="U173" s="4">
        <f>VLOOKUP(A173,'[1]Carcass '!$C$107:$I$399,7,FALSE)</f>
        <v>616</v>
      </c>
    </row>
    <row r="174" spans="1:21" x14ac:dyDescent="0.2">
      <c r="A174" s="94">
        <v>4642</v>
      </c>
      <c r="B174" s="87">
        <f>VLOOKUP(A174,[1]Assign!$A:$D,4,FALSE)</f>
        <v>618</v>
      </c>
      <c r="C174" s="4">
        <v>2</v>
      </c>
      <c r="D174" s="4">
        <v>316</v>
      </c>
      <c r="E174" s="4" t="str">
        <f>VLOOKUP(A174,[1]Assign!$A:$I,9,FALSE)</f>
        <v xml:space="preserve">10% MDGS Constant </v>
      </c>
      <c r="F174" s="4">
        <f>VLOOKUP(A174,'[1]Carcass '!$C$105:$D$397,2,FALSE)</f>
        <v>923</v>
      </c>
      <c r="G174" s="4">
        <f t="shared" si="28"/>
        <v>1465.0793650793651</v>
      </c>
      <c r="H174" s="31">
        <f t="shared" si="29"/>
        <v>4.321833495302883</v>
      </c>
      <c r="I174" s="4">
        <f>VLOOKUP(D174,'[1]DMO head'!$A$2:$D$49,4,FALSE)</f>
        <v>23.276936370757571</v>
      </c>
      <c r="J174" s="19">
        <f t="shared" si="30"/>
        <v>847.07936507936506</v>
      </c>
      <c r="L174" s="4" t="str">
        <f>VLOOKUP(A174,'[1]Carcass '!$C$10:$J$397,8,FALSE)</f>
        <v>C</v>
      </c>
      <c r="M174" s="4">
        <f t="shared" si="31"/>
        <v>0</v>
      </c>
      <c r="N174" s="4">
        <f t="shared" si="32"/>
        <v>0</v>
      </c>
      <c r="O174" s="4">
        <f t="shared" si="33"/>
        <v>0</v>
      </c>
      <c r="P174" s="4">
        <f t="shared" si="34"/>
        <v>0</v>
      </c>
      <c r="Q174" s="4">
        <f t="shared" si="35"/>
        <v>1</v>
      </c>
      <c r="R174" s="19">
        <f>VLOOKUP(A174,'[1]Carcass '!$C$107:$E$399,3,FALSE)</f>
        <v>13.4</v>
      </c>
      <c r="S174" s="4">
        <f>VLOOKUP(A174,'[1]Carcass '!$C$107:$F$399,4,FALSE)</f>
        <v>3.72</v>
      </c>
      <c r="T174" s="4">
        <f>VLOOKUP(A174,'[1]Carcass '!$C$10:$G$397,5, FALSE)</f>
        <v>0.72799999999999998</v>
      </c>
      <c r="U174" s="4">
        <f>VLOOKUP(A174,'[1]Carcass '!$C$107:$I$399,7,FALSE)</f>
        <v>801</v>
      </c>
    </row>
    <row r="175" spans="1:21" x14ac:dyDescent="0.2">
      <c r="A175" s="94">
        <v>4413</v>
      </c>
      <c r="B175" s="87">
        <f>VLOOKUP(A175,[1]Assign!$A:$D,4,FALSE)</f>
        <v>622</v>
      </c>
      <c r="C175" s="4">
        <v>2</v>
      </c>
      <c r="D175" s="4">
        <v>317</v>
      </c>
      <c r="E175" s="4" t="str">
        <f>VLOOKUP(A175,[1]Assign!$A:$I,9,FALSE)</f>
        <v>Control</v>
      </c>
      <c r="F175" s="4">
        <f>VLOOKUP(A175,'[1]Carcass '!$C$105:$D$397,2,FALSE)</f>
        <v>729</v>
      </c>
      <c r="G175" s="4">
        <f t="shared" si="28"/>
        <v>1157.1428571428571</v>
      </c>
      <c r="H175" s="31">
        <f t="shared" si="29"/>
        <v>2.7303206997084546</v>
      </c>
      <c r="I175" s="4">
        <f>VLOOKUP(D175,'[1]DMO head'!$A$2:$D$49,4,FALSE)</f>
        <v>23.188136258216968</v>
      </c>
      <c r="J175" s="19">
        <f t="shared" si="30"/>
        <v>535.14285714285711</v>
      </c>
      <c r="L175" s="4" t="str">
        <f>VLOOKUP(A175,'[1]Carcass '!$C$10:$J$397,8,FALSE)</f>
        <v>A+</v>
      </c>
      <c r="M175" s="4">
        <f t="shared" si="31"/>
        <v>0</v>
      </c>
      <c r="N175" s="4">
        <f t="shared" si="32"/>
        <v>0</v>
      </c>
      <c r="O175" s="4">
        <f t="shared" si="33"/>
        <v>1</v>
      </c>
      <c r="P175" s="4">
        <f t="shared" si="34"/>
        <v>1</v>
      </c>
      <c r="Q175" s="4">
        <f t="shared" si="35"/>
        <v>0</v>
      </c>
      <c r="R175" s="19">
        <f>VLOOKUP(A175,'[1]Carcass '!$C$107:$E$399,3,FALSE)</f>
        <v>12.3</v>
      </c>
      <c r="U175" s="4">
        <f>VLOOKUP(A175,'[1]Carcass '!$C$107:$I$399,7,FALSE)</f>
        <v>724</v>
      </c>
    </row>
    <row r="176" spans="1:21" x14ac:dyDescent="0.2">
      <c r="A176" s="94">
        <v>4559</v>
      </c>
      <c r="B176" s="87">
        <f>VLOOKUP(A176,[1]Assign!$A:$D,4,FALSE)</f>
        <v>618</v>
      </c>
      <c r="C176" s="4">
        <v>2</v>
      </c>
      <c r="D176" s="4">
        <v>318</v>
      </c>
      <c r="E176" s="4" t="str">
        <f>VLOOKUP(A176,[1]Assign!$A:$I,9,FALSE)</f>
        <v>10% MDGS Variable</v>
      </c>
      <c r="F176" s="4">
        <f>VLOOKUP(A176,'[1]Carcass '!$C$105:$D$397,2,FALSE)</f>
        <v>867</v>
      </c>
      <c r="G176" s="4">
        <f t="shared" si="28"/>
        <v>1376.1904761904761</v>
      </c>
      <c r="H176" s="31">
        <f t="shared" si="29"/>
        <v>3.8683187560738581</v>
      </c>
      <c r="I176" s="4">
        <f>VLOOKUP(D176,'[1]DMO head'!$A$2:$D$49,4,FALSE)</f>
        <v>23.479164833812241</v>
      </c>
      <c r="J176" s="19">
        <f t="shared" si="30"/>
        <v>758.19047619047615</v>
      </c>
      <c r="L176" s="4">
        <f>VLOOKUP(A176,'[1]Carcass '!$C$10:$J$397,8,FALSE)</f>
        <v>0</v>
      </c>
      <c r="M176" s="4">
        <f t="shared" si="31"/>
        <v>0</v>
      </c>
      <c r="N176" s="4">
        <f t="shared" si="32"/>
        <v>0</v>
      </c>
      <c r="O176" s="4">
        <f t="shared" si="33"/>
        <v>0</v>
      </c>
      <c r="P176" s="4">
        <f t="shared" si="34"/>
        <v>0</v>
      </c>
      <c r="Q176" s="4">
        <f t="shared" si="35"/>
        <v>0</v>
      </c>
      <c r="R176" s="19">
        <f>VLOOKUP(A176,'[1]Carcass '!$C$107:$E$399,3,FALSE)</f>
        <v>15.8</v>
      </c>
      <c r="S176" s="4">
        <f>VLOOKUP(A176,'[1]Carcass '!$C$107:$F$399,4,FALSE)</f>
        <v>3.5</v>
      </c>
      <c r="T176" s="4">
        <f>VLOOKUP(A176,'[1]Carcass '!$C$10:$G$397,5, FALSE)</f>
        <v>0.63</v>
      </c>
      <c r="U176" s="4">
        <f>VLOOKUP(A176,'[1]Carcass '!$C$107:$I$399,7,FALSE)</f>
        <v>514</v>
      </c>
    </row>
    <row r="177" spans="1:21" x14ac:dyDescent="0.2">
      <c r="A177" s="94">
        <v>4531</v>
      </c>
      <c r="B177" s="87">
        <f>VLOOKUP(A177,[1]Assign!$A:$D,4,FALSE)</f>
        <v>630</v>
      </c>
      <c r="C177" s="4">
        <v>2</v>
      </c>
      <c r="D177" s="4" t="s">
        <v>66</v>
      </c>
      <c r="E177" s="4" t="str">
        <f>VLOOKUP(A177,[1]Assign!$A:$I,9,FALSE)</f>
        <v>10% MDGS Variable</v>
      </c>
      <c r="F177" s="4">
        <f>VLOOKUP(A177,'[1]Carcass '!$C$105:$D$397,2,FALSE)</f>
        <v>571</v>
      </c>
      <c r="G177" s="4">
        <f t="shared" si="28"/>
        <v>906.34920634920638</v>
      </c>
      <c r="H177" s="31">
        <f t="shared" si="29"/>
        <v>1.4099449303530938</v>
      </c>
      <c r="I177" s="4" t="e">
        <f>VLOOKUP(D177,'[1]DMO head'!$A$2:$D$49,4,FALSE)</f>
        <v>#N/A</v>
      </c>
      <c r="J177" s="19">
        <f t="shared" si="30"/>
        <v>276.34920634920638</v>
      </c>
      <c r="L177" s="4">
        <f>VLOOKUP(A177,'[1]Carcass '!$C$10:$J$397,8,FALSE)</f>
        <v>0</v>
      </c>
      <c r="M177" s="4">
        <f t="shared" si="31"/>
        <v>0</v>
      </c>
      <c r="N177" s="4">
        <f t="shared" si="32"/>
        <v>0</v>
      </c>
      <c r="O177" s="4">
        <f t="shared" si="33"/>
        <v>0</v>
      </c>
      <c r="P177" s="4">
        <f t="shared" si="34"/>
        <v>0</v>
      </c>
      <c r="Q177" s="4">
        <f t="shared" si="35"/>
        <v>0</v>
      </c>
      <c r="R177" s="19">
        <f>VLOOKUP(A177,'[1]Carcass '!$C$107:$E$399,3,FALSE)</f>
        <v>13.2</v>
      </c>
      <c r="S177" s="4">
        <f>VLOOKUP(A177,'[1]Carcass '!$C$107:$F$399,4,FALSE)</f>
        <v>2.2000000000000002</v>
      </c>
      <c r="T177" s="4">
        <f>VLOOKUP(A177,'[1]Carcass '!$C$10:$G$397,5, FALSE)</f>
        <v>0.14000000000000001</v>
      </c>
      <c r="U177" s="4">
        <f>VLOOKUP(A177,'[1]Carcass '!$C$107:$I$399,7,FALSE)</f>
        <v>284</v>
      </c>
    </row>
    <row r="178" spans="1:21" x14ac:dyDescent="0.2">
      <c r="A178" s="94">
        <v>4511</v>
      </c>
      <c r="B178" s="87">
        <f>VLOOKUP(A178,[1]Assign!$A:$D,4,FALSE)</f>
        <v>611</v>
      </c>
      <c r="C178" s="4">
        <v>2</v>
      </c>
      <c r="D178" s="4">
        <v>216</v>
      </c>
      <c r="E178" s="4" t="str">
        <f>VLOOKUP(A178,[1]Assign!$A:$I,9,FALSE)</f>
        <v xml:space="preserve">10% MDGS Constant </v>
      </c>
      <c r="F178" s="4">
        <f>VLOOKUP(A178,'[1]Carcass '!$C$105:$D$397,2,FALSE)</f>
        <v>789</v>
      </c>
      <c r="G178" s="4">
        <f t="shared" si="28"/>
        <v>1252.3809523809523</v>
      </c>
      <c r="H178" s="31">
        <f t="shared" si="29"/>
        <v>3.2723517978620014</v>
      </c>
      <c r="I178" s="4">
        <f>VLOOKUP(D178,'[1]DMO head'!$A$2:$D$49,4,FALSE)</f>
        <v>21.830062429040414</v>
      </c>
      <c r="J178" s="19">
        <f t="shared" si="30"/>
        <v>641.38095238095229</v>
      </c>
      <c r="L178" s="4" t="str">
        <f>VLOOKUP(A178,'[1]Carcass '!$C$10:$J$397,8,FALSE)</f>
        <v>A-</v>
      </c>
      <c r="M178" s="4">
        <f t="shared" si="31"/>
        <v>0</v>
      </c>
      <c r="N178" s="4">
        <f t="shared" si="32"/>
        <v>1</v>
      </c>
      <c r="O178" s="4">
        <f t="shared" si="33"/>
        <v>0</v>
      </c>
      <c r="P178" s="4">
        <f t="shared" si="34"/>
        <v>1</v>
      </c>
      <c r="Q178" s="4">
        <f t="shared" si="35"/>
        <v>0</v>
      </c>
      <c r="R178" s="19">
        <f>VLOOKUP(A178,'[1]Carcass '!$C$107:$E$399,3,FALSE)</f>
        <v>13.6</v>
      </c>
      <c r="S178" s="4">
        <f>VLOOKUP(A178,'[1]Carcass '!$C$107:$F$399,4,FALSE)</f>
        <v>3.3</v>
      </c>
      <c r="T178" s="4">
        <f>VLOOKUP(A178,'[1]Carcass '!$C$10:$G$397,5, FALSE)</f>
        <v>0.55000000000000004</v>
      </c>
      <c r="U178" s="4">
        <f>VLOOKUP(A178,'[1]Carcass '!$C$107:$I$399,7,FALSE)</f>
        <v>406</v>
      </c>
    </row>
    <row r="179" spans="1:21" x14ac:dyDescent="0.2">
      <c r="A179" s="94">
        <v>4646</v>
      </c>
      <c r="B179" s="87">
        <f>VLOOKUP(A179,[1]Assign!$A:$D,4,FALSE)</f>
        <v>632</v>
      </c>
      <c r="C179" s="4">
        <v>2</v>
      </c>
      <c r="D179" s="4">
        <v>301</v>
      </c>
      <c r="E179" s="4" t="str">
        <f>VLOOKUP(A179,[1]Assign!$A:$I,9,FALSE)</f>
        <v xml:space="preserve">25% MDGS Constant </v>
      </c>
      <c r="F179" s="4">
        <f>VLOOKUP(A179,'[1]Carcass '!$C$105:$D$397,2,FALSE)</f>
        <v>880</v>
      </c>
      <c r="G179" s="4">
        <f t="shared" si="28"/>
        <v>1396.8253968253969</v>
      </c>
      <c r="H179" s="31">
        <f t="shared" si="29"/>
        <v>3.9021703919663104</v>
      </c>
      <c r="I179" s="4">
        <f>VLOOKUP(D179,'[1]DMO head'!$A$2:$D$49,4,FALSE)</f>
        <v>22.630176042777777</v>
      </c>
      <c r="J179" s="19">
        <f t="shared" si="30"/>
        <v>764.82539682539687</v>
      </c>
      <c r="L179" s="4">
        <f>VLOOKUP(A179,'[1]Carcass '!$C$10:$J$397,8,FALSE)</f>
        <v>0</v>
      </c>
      <c r="M179" s="4">
        <f t="shared" si="31"/>
        <v>0</v>
      </c>
      <c r="N179" s="4">
        <f t="shared" si="32"/>
        <v>0</v>
      </c>
      <c r="O179" s="4">
        <f t="shared" si="33"/>
        <v>0</v>
      </c>
      <c r="P179" s="4">
        <f t="shared" si="34"/>
        <v>0</v>
      </c>
      <c r="Q179" s="4">
        <f t="shared" si="35"/>
        <v>0</v>
      </c>
      <c r="R179" s="19">
        <f>VLOOKUP(A179,'[1]Carcass '!$C$107:$E$399,3,FALSE)</f>
        <v>13.4</v>
      </c>
      <c r="S179" s="4">
        <f>VLOOKUP(A179,'[1]Carcass '!$C$107:$F$399,4,FALSE)</f>
        <v>3.92</v>
      </c>
      <c r="T179" s="4">
        <f>VLOOKUP(A179,'[1]Carcass '!$C$10:$G$397,5, FALSE)</f>
        <v>0.82799999999999996</v>
      </c>
      <c r="U179" s="4">
        <f>VLOOKUP(A179,'[1]Carcass '!$C$107:$I$399,7,FALSE)</f>
        <v>824</v>
      </c>
    </row>
    <row r="180" spans="1:21" x14ac:dyDescent="0.2">
      <c r="A180" s="94">
        <v>4500</v>
      </c>
      <c r="B180" s="87">
        <f>VLOOKUP(A180,[1]Assign!$A:$D,4,FALSE)</f>
        <v>617</v>
      </c>
      <c r="C180" s="4">
        <v>2</v>
      </c>
      <c r="D180" s="4">
        <v>302</v>
      </c>
      <c r="E180" s="4" t="str">
        <f>VLOOKUP(A180,[1]Assign!$A:$I,9,FALSE)</f>
        <v>25% MDGS Variable</v>
      </c>
      <c r="F180" s="4">
        <f>VLOOKUP(A180,'[1]Carcass '!$C$105:$D$397,2,FALSE)</f>
        <v>848</v>
      </c>
      <c r="G180" s="4">
        <f t="shared" si="28"/>
        <v>1346.031746031746</v>
      </c>
      <c r="H180" s="31">
        <f t="shared" si="29"/>
        <v>3.7195497246517655</v>
      </c>
      <c r="I180" s="4">
        <f>VLOOKUP(D180,'[1]DMO head'!$A$2:$D$49,4,FALSE)</f>
        <v>21.718133105510006</v>
      </c>
      <c r="J180" s="19">
        <f t="shared" si="30"/>
        <v>729.03174603174602</v>
      </c>
      <c r="L180" s="4" t="str">
        <f>VLOOKUP(A180,'[1]Carcass '!$C$10:$J$397,8,FALSE)</f>
        <v>A-</v>
      </c>
      <c r="M180" s="4">
        <f t="shared" si="31"/>
        <v>0</v>
      </c>
      <c r="N180" s="4">
        <f t="shared" si="32"/>
        <v>1</v>
      </c>
      <c r="O180" s="4">
        <f t="shared" si="33"/>
        <v>0</v>
      </c>
      <c r="P180" s="4">
        <f t="shared" si="34"/>
        <v>1</v>
      </c>
      <c r="Q180" s="4">
        <f t="shared" si="35"/>
        <v>0</v>
      </c>
      <c r="R180" s="19">
        <f>VLOOKUP(A180,'[1]Carcass '!$C$107:$E$399,3,FALSE)</f>
        <v>14.5</v>
      </c>
      <c r="S180" s="4">
        <f>VLOOKUP(A180,'[1]Carcass '!$C$107:$F$399,4,FALSE)</f>
        <v>3</v>
      </c>
      <c r="T180" s="4">
        <f>VLOOKUP(A180,'[1]Carcass '!$C$10:$G$397,5, FALSE)</f>
        <v>0.49</v>
      </c>
      <c r="U180" s="4">
        <f>VLOOKUP(A180,'[1]Carcass '!$C$107:$I$399,7,FALSE)</f>
        <v>511</v>
      </c>
    </row>
    <row r="181" spans="1:21" x14ac:dyDescent="0.2">
      <c r="A181" s="94">
        <v>4321</v>
      </c>
      <c r="B181" s="87">
        <f>VLOOKUP(A181,[1]Assign!$A:$D,4,FALSE)</f>
        <v>633</v>
      </c>
      <c r="C181" s="4">
        <v>2</v>
      </c>
      <c r="D181" s="4">
        <v>303</v>
      </c>
      <c r="E181" s="4" t="str">
        <f>VLOOKUP(A181,[1]Assign!$A:$I,9,FALSE)</f>
        <v>Control</v>
      </c>
      <c r="F181" s="4">
        <f>VLOOKUP(A181,'[1]Carcass '!$C$105:$D$397,2,FALSE)</f>
        <v>836</v>
      </c>
      <c r="G181" s="4">
        <f t="shared" si="28"/>
        <v>1326.984126984127</v>
      </c>
      <c r="H181" s="31">
        <f t="shared" si="29"/>
        <v>3.5407353417557501</v>
      </c>
      <c r="I181" s="4">
        <f>VLOOKUP(D181,'[1]DMO head'!$A$2:$D$49,4,FALSE)</f>
        <v>21.256780292032506</v>
      </c>
      <c r="J181" s="19">
        <f t="shared" si="30"/>
        <v>693.98412698412699</v>
      </c>
      <c r="L181" s="4" t="str">
        <f>VLOOKUP(A181,'[1]Carcass '!$C$10:$J$397,8,FALSE)</f>
        <v>A-</v>
      </c>
      <c r="M181" s="4">
        <f t="shared" si="31"/>
        <v>0</v>
      </c>
      <c r="N181" s="4">
        <f t="shared" si="32"/>
        <v>1</v>
      </c>
      <c r="O181" s="4">
        <f t="shared" si="33"/>
        <v>0</v>
      </c>
      <c r="P181" s="4">
        <f t="shared" si="34"/>
        <v>1</v>
      </c>
      <c r="Q181" s="4">
        <f t="shared" si="35"/>
        <v>0</v>
      </c>
      <c r="R181" s="19">
        <f>VLOOKUP(A181,'[1]Carcass '!$C$107:$E$399,3,FALSE)</f>
        <v>13.7</v>
      </c>
      <c r="S181" s="4">
        <f>VLOOKUP(A181,'[1]Carcass '!$C$107:$F$399,4,FALSE)</f>
        <v>3</v>
      </c>
      <c r="T181" s="4">
        <f>VLOOKUP(A181,'[1]Carcass '!$C$10:$G$397,5, FALSE)</f>
        <v>0.54400000000000004</v>
      </c>
      <c r="U181" s="4">
        <f>VLOOKUP(A181,'[1]Carcass '!$C$107:$I$399,7,FALSE)</f>
        <v>581</v>
      </c>
    </row>
    <row r="182" spans="1:21" x14ac:dyDescent="0.2">
      <c r="A182" s="94">
        <v>4527</v>
      </c>
      <c r="B182" s="87">
        <f>VLOOKUP(A182,[1]Assign!$A:$D,4,FALSE)</f>
        <v>622</v>
      </c>
      <c r="C182" s="4">
        <v>2</v>
      </c>
      <c r="D182" s="4">
        <v>304</v>
      </c>
      <c r="E182" s="4" t="str">
        <f>VLOOKUP(A182,[1]Assign!$A:$I,9,FALSE)</f>
        <v>10% MDGS Variable</v>
      </c>
      <c r="F182" s="4">
        <f>VLOOKUP(A182,'[1]Carcass '!$C$105:$D$397,2,FALSE)</f>
        <v>794</v>
      </c>
      <c r="G182" s="4">
        <f t="shared" si="28"/>
        <v>1260.3174603174602</v>
      </c>
      <c r="H182" s="31">
        <f t="shared" si="29"/>
        <v>3.2567217363135725</v>
      </c>
      <c r="I182" s="4">
        <f>VLOOKUP(D182,'[1]DMO head'!$A$2:$D$49,4,FALSE)</f>
        <v>21.282594490991229</v>
      </c>
      <c r="J182" s="19">
        <f t="shared" si="30"/>
        <v>638.31746031746025</v>
      </c>
      <c r="L182" s="4" t="str">
        <f>VLOOKUP(A182,'[1]Carcass '!$C$10:$J$397,8,FALSE)</f>
        <v>A-</v>
      </c>
      <c r="M182" s="4">
        <f t="shared" si="31"/>
        <v>0</v>
      </c>
      <c r="N182" s="4">
        <f t="shared" si="32"/>
        <v>1</v>
      </c>
      <c r="O182" s="4">
        <f t="shared" si="33"/>
        <v>0</v>
      </c>
      <c r="P182" s="4">
        <f t="shared" si="34"/>
        <v>1</v>
      </c>
      <c r="Q182" s="4">
        <f t="shared" si="35"/>
        <v>0</v>
      </c>
      <c r="R182" s="19" t="str">
        <f>VLOOKUP(A182,'[1]Carcass '!$C$107:$E$399,3,FALSE)</f>
        <v>.</v>
      </c>
      <c r="S182" s="4" t="str">
        <f>VLOOKUP(A182,'[1]Carcass '!$C$107:$F$399,4,FALSE)</f>
        <v>.</v>
      </c>
      <c r="U182" s="4">
        <f>VLOOKUP(A182,'[1]Carcass '!$C$107:$I$399,7,FALSE)</f>
        <v>723</v>
      </c>
    </row>
    <row r="183" spans="1:21" x14ac:dyDescent="0.2">
      <c r="A183" s="94">
        <v>4513</v>
      </c>
      <c r="B183" s="87">
        <f>VLOOKUP(A183,[1]Assign!$A:$D,4,FALSE)</f>
        <v>628</v>
      </c>
      <c r="C183" s="4">
        <v>2</v>
      </c>
      <c r="D183" s="4">
        <v>305</v>
      </c>
      <c r="E183" s="4" t="str">
        <f>VLOOKUP(A183,[1]Assign!$A:$I,9,FALSE)</f>
        <v xml:space="preserve">10% MDGS Constant </v>
      </c>
      <c r="F183" s="4">
        <f>VLOOKUP(A183,'[1]Carcass '!$C$105:$D$397,2,FALSE)</f>
        <v>849</v>
      </c>
      <c r="G183" s="4">
        <f t="shared" si="28"/>
        <v>1347.6190476190477</v>
      </c>
      <c r="H183" s="31">
        <f t="shared" si="29"/>
        <v>3.6715257531584067</v>
      </c>
      <c r="I183" s="4">
        <f>VLOOKUP(D183,'[1]DMO head'!$A$2:$D$49,4,FALSE)</f>
        <v>20.599573820131273</v>
      </c>
      <c r="J183" s="19">
        <f t="shared" si="30"/>
        <v>719.61904761904771</v>
      </c>
      <c r="L183" s="4">
        <f>VLOOKUP(A183,'[1]Carcass '!$C$10:$J$397,8,FALSE)</f>
        <v>0</v>
      </c>
      <c r="M183" s="4">
        <f t="shared" si="31"/>
        <v>0</v>
      </c>
      <c r="N183" s="4">
        <f t="shared" si="32"/>
        <v>0</v>
      </c>
      <c r="O183" s="4">
        <f t="shared" si="33"/>
        <v>0</v>
      </c>
      <c r="P183" s="4">
        <f t="shared" si="34"/>
        <v>0</v>
      </c>
      <c r="Q183" s="4">
        <f t="shared" si="35"/>
        <v>0</v>
      </c>
      <c r="R183" s="19">
        <f>VLOOKUP(A183,'[1]Carcass '!$C$107:$E$399,3,FALSE)</f>
        <v>13.2</v>
      </c>
      <c r="S183" s="4">
        <f>VLOOKUP(A183,'[1]Carcass '!$C$107:$F$399,4,FALSE)</f>
        <v>3.9</v>
      </c>
      <c r="T183" s="4">
        <f>VLOOKUP(A183,'[1]Carcass '!$C$10:$G$397,5, FALSE)</f>
        <v>0.76</v>
      </c>
      <c r="U183" s="4">
        <f>VLOOKUP(A183,'[1]Carcass '!$C$107:$I$399,7,FALSE)</f>
        <v>428</v>
      </c>
    </row>
    <row r="184" spans="1:21" x14ac:dyDescent="0.2">
      <c r="A184" s="94">
        <v>4385</v>
      </c>
      <c r="B184" s="87">
        <f>VLOOKUP(A184,[1]Assign!$A:$D,4,FALSE)</f>
        <v>614</v>
      </c>
      <c r="C184" s="4">
        <v>2</v>
      </c>
      <c r="D184" s="4">
        <v>306</v>
      </c>
      <c r="E184" s="4" t="str">
        <f>VLOOKUP(A184,[1]Assign!$A:$I,9,FALSE)</f>
        <v>Control</v>
      </c>
      <c r="F184" s="4">
        <f>VLOOKUP(A184,'[1]Carcass '!$C$105:$D$397,2,FALSE)</f>
        <v>804</v>
      </c>
      <c r="G184" s="4">
        <f t="shared" si="28"/>
        <v>1276.1904761904761</v>
      </c>
      <c r="H184" s="31">
        <f t="shared" si="29"/>
        <v>3.3785228377065111</v>
      </c>
      <c r="I184" s="4">
        <f>VLOOKUP(D184,'[1]DMO head'!$A$2:$D$49,4,FALSE)</f>
        <v>23.243543323568986</v>
      </c>
      <c r="J184" s="19">
        <f t="shared" si="30"/>
        <v>662.19047619047615</v>
      </c>
      <c r="L184" s="4">
        <f>VLOOKUP(A184,'[1]Carcass '!$C$10:$J$397,8,FALSE)</f>
        <v>0</v>
      </c>
      <c r="M184" s="4">
        <f t="shared" si="31"/>
        <v>0</v>
      </c>
      <c r="N184" s="4">
        <f t="shared" si="32"/>
        <v>0</v>
      </c>
      <c r="O184" s="4">
        <f t="shared" si="33"/>
        <v>0</v>
      </c>
      <c r="P184" s="4">
        <f t="shared" si="34"/>
        <v>0</v>
      </c>
      <c r="Q184" s="4">
        <f t="shared" si="35"/>
        <v>0</v>
      </c>
      <c r="R184" s="19">
        <f>VLOOKUP(A184,'[1]Carcass '!$C$107:$E$399,3,FALSE)</f>
        <v>14.5</v>
      </c>
      <c r="S184" s="4">
        <f>VLOOKUP(A184,'[1]Carcass '!$C$107:$F$399,4,FALSE)</f>
        <v>2.9</v>
      </c>
      <c r="T184" s="4">
        <f>VLOOKUP(A184,'[1]Carcass '!$C$10:$G$397,5, FALSE)</f>
        <v>0.45</v>
      </c>
      <c r="U184" s="4">
        <f>VLOOKUP(A184,'[1]Carcass '!$C$107:$I$399,7,FALSE)</f>
        <v>614</v>
      </c>
    </row>
    <row r="185" spans="1:21" x14ac:dyDescent="0.2">
      <c r="A185" s="94">
        <v>4410</v>
      </c>
      <c r="B185" s="87">
        <f>VLOOKUP(A185,[1]Assign!$A:$D,4,FALSE)</f>
        <v>629</v>
      </c>
      <c r="C185" s="4">
        <v>2</v>
      </c>
      <c r="D185" s="4">
        <v>307</v>
      </c>
      <c r="E185" s="4" t="str">
        <f>VLOOKUP(A185,[1]Assign!$A:$I,9,FALSE)</f>
        <v>25% MDGS Variable</v>
      </c>
      <c r="F185" s="4">
        <f>VLOOKUP(A185,'[1]Carcass '!$C$105:$D$397,2,FALSE)</f>
        <v>772</v>
      </c>
      <c r="G185" s="4">
        <f t="shared" si="28"/>
        <v>1225.3968253968253</v>
      </c>
      <c r="H185" s="31">
        <f t="shared" si="29"/>
        <v>3.0428409459021699</v>
      </c>
      <c r="I185" s="4">
        <f>VLOOKUP(D185,'[1]DMO head'!$A$2:$D$49,4,FALSE)</f>
        <v>21.697158876111111</v>
      </c>
      <c r="J185" s="19">
        <f t="shared" si="30"/>
        <v>596.39682539682531</v>
      </c>
      <c r="L185" s="4">
        <f>VLOOKUP(A185,'[1]Carcass '!$C$10:$J$397,8,FALSE)</f>
        <v>0</v>
      </c>
      <c r="M185" s="4">
        <f t="shared" si="31"/>
        <v>0</v>
      </c>
      <c r="N185" s="4">
        <f t="shared" si="32"/>
        <v>0</v>
      </c>
      <c r="O185" s="4">
        <f t="shared" si="33"/>
        <v>0</v>
      </c>
      <c r="P185" s="4">
        <f t="shared" si="34"/>
        <v>0</v>
      </c>
      <c r="Q185" s="4">
        <f t="shared" si="35"/>
        <v>0</v>
      </c>
      <c r="R185" s="19">
        <f>VLOOKUP(A185,'[1]Carcass '!$C$107:$E$399,3,FALSE)</f>
        <v>13.2</v>
      </c>
      <c r="S185" s="4">
        <f>VLOOKUP(A185,'[1]Carcass '!$C$107:$F$399,4,FALSE)</f>
        <v>3.2</v>
      </c>
      <c r="T185" s="4">
        <f>VLOOKUP(A185,'[1]Carcass '!$C$10:$G$397,5, FALSE)</f>
        <v>0.64</v>
      </c>
    </row>
    <row r="186" spans="1:21" x14ac:dyDescent="0.2">
      <c r="A186" s="94">
        <v>4681</v>
      </c>
      <c r="B186" s="87">
        <f>VLOOKUP(A186,[1]Assign!$A:$D,4,FALSE)</f>
        <v>623</v>
      </c>
      <c r="C186" s="4">
        <v>2</v>
      </c>
      <c r="D186" s="4">
        <v>308</v>
      </c>
      <c r="E186" s="4" t="str">
        <f>VLOOKUP(A186,[1]Assign!$A:$I,9,FALSE)</f>
        <v xml:space="preserve">25% MDGS Constant </v>
      </c>
      <c r="F186" s="4">
        <f>VLOOKUP(A186,'[1]Carcass '!$C$105:$D$397,2,FALSE)</f>
        <v>853</v>
      </c>
      <c r="G186" s="4">
        <f t="shared" si="28"/>
        <v>1353.968253968254</v>
      </c>
      <c r="H186" s="31">
        <f t="shared" si="29"/>
        <v>3.7294298671849693</v>
      </c>
      <c r="I186" s="4">
        <f>VLOOKUP(D186,'[1]DMO head'!$A$2:$D$49,4,FALSE)</f>
        <v>23.183092460704504</v>
      </c>
      <c r="J186" s="19">
        <f t="shared" si="30"/>
        <v>730.96825396825398</v>
      </c>
      <c r="L186" s="4">
        <f>VLOOKUP(A186,'[1]Carcass '!$C$10:$J$397,8,FALSE)</f>
        <v>0</v>
      </c>
      <c r="M186" s="4">
        <f t="shared" si="31"/>
        <v>0</v>
      </c>
      <c r="N186" s="4">
        <f t="shared" si="32"/>
        <v>0</v>
      </c>
      <c r="O186" s="4">
        <f t="shared" si="33"/>
        <v>0</v>
      </c>
      <c r="P186" s="4">
        <f t="shared" si="34"/>
        <v>0</v>
      </c>
      <c r="Q186" s="4">
        <f t="shared" si="35"/>
        <v>0</v>
      </c>
      <c r="R186" s="19">
        <f>VLOOKUP(A186,'[1]Carcass '!$C$107:$E$399,3,FALSE)</f>
        <v>15.5</v>
      </c>
      <c r="S186" s="4">
        <f>VLOOKUP(A186,'[1]Carcass '!$C$107:$F$399,4,FALSE)</f>
        <v>3.25</v>
      </c>
      <c r="T186" s="4">
        <f>VLOOKUP(A186,'[1]Carcass '!$C$10:$G$397,5, FALSE)</f>
        <v>0.63</v>
      </c>
      <c r="U186" s="4">
        <f>VLOOKUP(A186,'[1]Carcass '!$C$107:$I$399,7,FALSE)</f>
        <v>484</v>
      </c>
    </row>
    <row r="187" spans="1:21" x14ac:dyDescent="0.2">
      <c r="A187" s="94">
        <v>4587</v>
      </c>
      <c r="B187" s="87">
        <f>VLOOKUP(A187,[1]Assign!$A:$D,4,FALSE)</f>
        <v>632</v>
      </c>
      <c r="C187" s="4">
        <v>2</v>
      </c>
      <c r="D187" s="4">
        <v>309</v>
      </c>
      <c r="E187" s="4" t="str">
        <f>VLOOKUP(A187,[1]Assign!$A:$I,9,FALSE)</f>
        <v>Control</v>
      </c>
      <c r="F187" s="4">
        <f>VLOOKUP(A187,'[1]Carcass '!$C$105:$D$397,2,FALSE)</f>
        <v>960</v>
      </c>
      <c r="G187" s="4">
        <f t="shared" si="28"/>
        <v>1523.8095238095239</v>
      </c>
      <c r="H187" s="31">
        <f t="shared" si="29"/>
        <v>4.5500485908649173</v>
      </c>
      <c r="I187" s="4">
        <f>VLOOKUP(D187,'[1]DMO head'!$A$2:$D$49,4,FALSE)</f>
        <v>22.382749735000004</v>
      </c>
      <c r="J187" s="19">
        <f t="shared" si="30"/>
        <v>891.80952380952385</v>
      </c>
      <c r="L187" s="4" t="str">
        <f>VLOOKUP(A187,'[1]Carcass '!$C$10:$J$397,8,FALSE)</f>
        <v>A</v>
      </c>
      <c r="M187" s="4">
        <f t="shared" si="31"/>
        <v>1</v>
      </c>
      <c r="N187" s="4">
        <f t="shared" si="32"/>
        <v>0</v>
      </c>
      <c r="O187" s="4">
        <f t="shared" si="33"/>
        <v>0</v>
      </c>
      <c r="P187" s="4">
        <f t="shared" si="34"/>
        <v>1</v>
      </c>
      <c r="Q187" s="4">
        <f t="shared" si="35"/>
        <v>0</v>
      </c>
      <c r="R187" s="19">
        <f>VLOOKUP(A187,'[1]Carcass '!$C$107:$E$399,3,FALSE)</f>
        <v>12.9</v>
      </c>
      <c r="S187" s="4">
        <f>VLOOKUP(A187,'[1]Carcass '!$C$107:$F$399,4,FALSE)</f>
        <v>3.7</v>
      </c>
      <c r="T187" s="4">
        <f>VLOOKUP(A187,'[1]Carcass '!$C$10:$G$397,5, FALSE)</f>
        <v>0.76</v>
      </c>
    </row>
    <row r="188" spans="1:21" x14ac:dyDescent="0.2">
      <c r="A188" s="94">
        <v>4528</v>
      </c>
      <c r="B188" s="87">
        <f>VLOOKUP(A188,[1]Assign!$A:$D,4,FALSE)</f>
        <v>631</v>
      </c>
      <c r="C188" s="4">
        <v>2</v>
      </c>
      <c r="D188" s="4">
        <v>310</v>
      </c>
      <c r="E188" s="4" t="str">
        <f>VLOOKUP(A188,[1]Assign!$A:$I,9,FALSE)</f>
        <v>10% MDGS Variable</v>
      </c>
      <c r="F188" s="4">
        <f>VLOOKUP(A188,'[1]Carcass '!$C$105:$D$397,2,FALSE)</f>
        <v>911</v>
      </c>
      <c r="G188" s="4">
        <f t="shared" si="28"/>
        <v>1446.031746031746</v>
      </c>
      <c r="H188" s="31">
        <f t="shared" si="29"/>
        <v>4.1583252348558473</v>
      </c>
      <c r="I188" s="4">
        <f>VLOOKUP(D188,'[1]DMO head'!$A$2:$D$49,4,FALSE)</f>
        <v>23.18107161691918</v>
      </c>
      <c r="J188" s="19">
        <f t="shared" si="30"/>
        <v>815.03174603174602</v>
      </c>
      <c r="L188" s="4">
        <f>VLOOKUP(A188,'[1]Carcass '!$C$10:$J$397,8,FALSE)</f>
        <v>0</v>
      </c>
      <c r="M188" s="4">
        <f t="shared" si="31"/>
        <v>0</v>
      </c>
      <c r="N188" s="4">
        <f t="shared" si="32"/>
        <v>0</v>
      </c>
      <c r="O188" s="4">
        <f t="shared" si="33"/>
        <v>0</v>
      </c>
      <c r="P188" s="4">
        <f t="shared" si="34"/>
        <v>0</v>
      </c>
      <c r="Q188" s="4">
        <f t="shared" si="35"/>
        <v>0</v>
      </c>
      <c r="R188" s="19">
        <f>VLOOKUP(A188,'[1]Carcass '!$C$107:$E$399,3,FALSE)</f>
        <v>15.3</v>
      </c>
      <c r="S188" s="4">
        <f>VLOOKUP(A188,'[1]Carcass '!$C$107:$F$399,4,FALSE)</f>
        <v>3.42</v>
      </c>
      <c r="T188" s="4">
        <f>VLOOKUP(A188,'[1]Carcass '!$C$10:$G$397,5, FALSE)</f>
        <v>0.7</v>
      </c>
      <c r="U188" s="4">
        <f>VLOOKUP(A188,'[1]Carcass '!$C$107:$I$399,7,FALSE)</f>
        <v>601</v>
      </c>
    </row>
    <row r="189" spans="1:21" x14ac:dyDescent="0.2">
      <c r="A189" s="94">
        <v>4742</v>
      </c>
      <c r="B189" s="87">
        <f>VLOOKUP(A189,[1]Assign!$A:$D,4,FALSE)</f>
        <v>626</v>
      </c>
      <c r="C189" s="4">
        <v>2</v>
      </c>
      <c r="D189" s="4">
        <v>311</v>
      </c>
      <c r="E189" s="4" t="str">
        <f>VLOOKUP(A189,[1]Assign!$A:$I,9,FALSE)</f>
        <v xml:space="preserve">10% MDGS Constant </v>
      </c>
      <c r="F189" s="4">
        <f>VLOOKUP(A189,'[1]Carcass '!$C$105:$D$397,2,FALSE)</f>
        <v>795</v>
      </c>
      <c r="G189" s="4">
        <f t="shared" si="28"/>
        <v>1261.9047619047619</v>
      </c>
      <c r="H189" s="31">
        <f t="shared" si="29"/>
        <v>3.2444120505344998</v>
      </c>
      <c r="I189" s="4">
        <f>VLOOKUP(D189,'[1]DMO head'!$A$2:$D$49,4,FALSE)</f>
        <v>23.779243605703989</v>
      </c>
      <c r="J189" s="19">
        <f t="shared" si="30"/>
        <v>635.90476190476193</v>
      </c>
      <c r="L189" s="4">
        <f>VLOOKUP(A189,'[1]Carcass '!$C$10:$J$397,8,FALSE)</f>
        <v>0</v>
      </c>
      <c r="M189" s="4">
        <f t="shared" si="31"/>
        <v>0</v>
      </c>
      <c r="N189" s="4">
        <f t="shared" si="32"/>
        <v>0</v>
      </c>
      <c r="O189" s="4">
        <f t="shared" si="33"/>
        <v>0</v>
      </c>
      <c r="P189" s="4">
        <f t="shared" si="34"/>
        <v>0</v>
      </c>
      <c r="Q189" s="4">
        <f t="shared" si="35"/>
        <v>0</v>
      </c>
      <c r="R189" s="19">
        <f>VLOOKUP(A189,'[1]Carcass '!$C$107:$E$399,3,FALSE)</f>
        <v>14.7</v>
      </c>
      <c r="S189" s="4">
        <f>VLOOKUP(A189,'[1]Carcass '!$C$107:$F$399,4,FALSE)</f>
        <v>3.3</v>
      </c>
      <c r="T189" s="4">
        <f>VLOOKUP(A189,'[1]Carcass '!$C$10:$G$397,5, FALSE)</f>
        <v>0.56999999999999995</v>
      </c>
      <c r="U189" s="4">
        <f>VLOOKUP(A189,'[1]Carcass '!$C$107:$I$399,7,FALSE)</f>
        <v>611</v>
      </c>
    </row>
    <row r="190" spans="1:21" x14ac:dyDescent="0.2">
      <c r="A190" s="94">
        <v>4560</v>
      </c>
      <c r="B190" s="87">
        <f>VLOOKUP(A190,[1]Assign!$A:$D,4,FALSE)</f>
        <v>620</v>
      </c>
      <c r="C190" s="4">
        <v>2</v>
      </c>
      <c r="D190" s="4">
        <v>312</v>
      </c>
      <c r="E190" s="4" t="str">
        <f>VLOOKUP(A190,[1]Assign!$A:$I,9,FALSE)</f>
        <v xml:space="preserve">25% MDGS Constant </v>
      </c>
      <c r="F190" s="4">
        <f>VLOOKUP(A190,'[1]Carcass '!$C$105:$D$397,2,FALSE)</f>
        <v>912</v>
      </c>
      <c r="G190" s="4">
        <f t="shared" si="28"/>
        <v>1447.6190476190477</v>
      </c>
      <c r="H190" s="31">
        <f t="shared" si="29"/>
        <v>4.2225461613216719</v>
      </c>
      <c r="I190" s="4">
        <f>VLOOKUP(D190,'[1]DMO head'!$A$2:$D$49,4,FALSE)</f>
        <v>23.507213350404029</v>
      </c>
      <c r="J190" s="19">
        <f t="shared" si="30"/>
        <v>827.61904761904771</v>
      </c>
      <c r="L190" s="4">
        <f>VLOOKUP(A190,'[1]Carcass '!$C$10:$J$397,8,FALSE)</f>
        <v>0</v>
      </c>
      <c r="M190" s="4">
        <f t="shared" si="31"/>
        <v>0</v>
      </c>
      <c r="N190" s="4">
        <f t="shared" si="32"/>
        <v>0</v>
      </c>
      <c r="O190" s="4">
        <f t="shared" si="33"/>
        <v>0</v>
      </c>
      <c r="P190" s="4">
        <f t="shared" si="34"/>
        <v>0</v>
      </c>
      <c r="Q190" s="4">
        <f t="shared" si="35"/>
        <v>0</v>
      </c>
      <c r="R190" s="19">
        <f>VLOOKUP(A190,'[1]Carcass '!$C$107:$E$399,3,FALSE)</f>
        <v>14.14</v>
      </c>
      <c r="S190" s="4">
        <f>VLOOKUP(A190,'[1]Carcass '!$C$107:$F$399,4,FALSE)</f>
        <v>3.3</v>
      </c>
      <c r="T190" s="4">
        <f>VLOOKUP(A190,'[1]Carcass '!$C$10:$G$397,5, FALSE)</f>
        <v>0.72</v>
      </c>
      <c r="U190" s="4">
        <f>VLOOKUP(A190,'[1]Carcass '!$C$107:$I$399,7,FALSE)</f>
        <v>816</v>
      </c>
    </row>
    <row r="191" spans="1:21" x14ac:dyDescent="0.2">
      <c r="A191" s="94">
        <v>4523</v>
      </c>
      <c r="B191" s="87">
        <f>VLOOKUP(A191,[1]Assign!$A:$D,4,FALSE)</f>
        <v>632</v>
      </c>
      <c r="C191" s="4">
        <v>2</v>
      </c>
      <c r="D191" s="4">
        <v>313</v>
      </c>
      <c r="E191" s="4" t="str">
        <f>VLOOKUP(A191,[1]Assign!$A:$I,9,FALSE)</f>
        <v>25% MDGS Variable</v>
      </c>
      <c r="F191" s="4">
        <f>VLOOKUP(A191,'[1]Carcass '!$C$105:$D$397,2,FALSE)</f>
        <v>912</v>
      </c>
      <c r="G191" s="4">
        <f t="shared" si="28"/>
        <v>1447.6190476190477</v>
      </c>
      <c r="H191" s="31">
        <f t="shared" si="29"/>
        <v>4.1613216715257533</v>
      </c>
      <c r="I191" s="4">
        <f>VLOOKUP(D191,'[1]DMO head'!$A$2:$D$49,4,FALSE)</f>
        <v>23.480892071111096</v>
      </c>
      <c r="J191" s="19">
        <f t="shared" si="30"/>
        <v>815.61904761904771</v>
      </c>
      <c r="L191" s="4" t="str">
        <f>VLOOKUP(A191,'[1]Carcass '!$C$10:$J$397,8,FALSE)</f>
        <v>C</v>
      </c>
      <c r="M191" s="4">
        <f t="shared" si="31"/>
        <v>0</v>
      </c>
      <c r="N191" s="4">
        <f t="shared" si="32"/>
        <v>0</v>
      </c>
      <c r="O191" s="4">
        <f t="shared" si="33"/>
        <v>0</v>
      </c>
      <c r="P191" s="4">
        <f t="shared" si="34"/>
        <v>0</v>
      </c>
      <c r="Q191" s="4">
        <f t="shared" si="35"/>
        <v>1</v>
      </c>
      <c r="R191" s="19">
        <f>VLOOKUP(A191,'[1]Carcass '!$C$107:$E$399,3,FALSE)</f>
        <v>14</v>
      </c>
      <c r="S191" s="4">
        <f>VLOOKUP(A191,'[1]Carcass '!$C$107:$F$399,4,FALSE)</f>
        <v>4</v>
      </c>
      <c r="T191" s="4">
        <f>VLOOKUP(A191,'[1]Carcass '!$C$10:$G$397,5, FALSE)</f>
        <v>0.96</v>
      </c>
      <c r="U191" s="4">
        <f>VLOOKUP(A191,'[1]Carcass '!$C$107:$I$399,7,FALSE)</f>
        <v>763</v>
      </c>
    </row>
    <row r="192" spans="1:21" x14ac:dyDescent="0.2">
      <c r="A192" s="94">
        <v>4548</v>
      </c>
      <c r="B192" s="87">
        <f>VLOOKUP(A192,[1]Assign!$A:$D,4,FALSE)</f>
        <v>620</v>
      </c>
      <c r="C192" s="4">
        <v>2</v>
      </c>
      <c r="D192" s="4">
        <v>314</v>
      </c>
      <c r="E192" s="4" t="str">
        <f>VLOOKUP(A192,[1]Assign!$A:$I,9,FALSE)</f>
        <v>25% MDGS Variable</v>
      </c>
      <c r="F192" s="4">
        <f>VLOOKUP(A192,'[1]Carcass '!$C$105:$D$397,2,FALSE)</f>
        <v>816</v>
      </c>
      <c r="G192" s="4">
        <f t="shared" si="28"/>
        <v>1295.2380952380952</v>
      </c>
      <c r="H192" s="31">
        <f t="shared" si="29"/>
        <v>3.445092322643343</v>
      </c>
      <c r="I192" s="4">
        <f>VLOOKUP(D192,'[1]DMO head'!$A$2:$D$49,4,FALSE)</f>
        <v>23.926712488585853</v>
      </c>
      <c r="J192" s="19">
        <f t="shared" si="30"/>
        <v>675.23809523809518</v>
      </c>
      <c r="L192" s="4">
        <f>VLOOKUP(A192,'[1]Carcass '!$C$10:$J$397,8,FALSE)</f>
        <v>0</v>
      </c>
      <c r="M192" s="4">
        <f t="shared" si="31"/>
        <v>0</v>
      </c>
      <c r="N192" s="4">
        <f t="shared" si="32"/>
        <v>0</v>
      </c>
      <c r="O192" s="4">
        <f t="shared" si="33"/>
        <v>0</v>
      </c>
      <c r="P192" s="4">
        <f t="shared" si="34"/>
        <v>0</v>
      </c>
      <c r="Q192" s="4">
        <f t="shared" si="35"/>
        <v>0</v>
      </c>
      <c r="R192" s="19">
        <f>VLOOKUP(A192,'[1]Carcass '!$C$107:$E$399,3,FALSE)</f>
        <v>14.3</v>
      </c>
      <c r="S192" s="4">
        <f>VLOOKUP(A192,'[1]Carcass '!$C$107:$F$399,4,FALSE)</f>
        <v>3</v>
      </c>
      <c r="T192" s="4">
        <f>VLOOKUP(A192,'[1]Carcass '!$C$10:$G$397,5, FALSE)</f>
        <v>0.49</v>
      </c>
      <c r="U192" s="4">
        <f>VLOOKUP(A192,'[1]Carcass '!$C$107:$I$399,7,FALSE)</f>
        <v>452</v>
      </c>
    </row>
    <row r="193" spans="1:21" x14ac:dyDescent="0.2">
      <c r="A193" s="94">
        <v>4575</v>
      </c>
      <c r="B193" s="87">
        <f>VLOOKUP(A193,[1]Assign!$A:$D,4,FALSE)</f>
        <v>615</v>
      </c>
      <c r="C193" s="4">
        <v>2</v>
      </c>
      <c r="D193" s="4">
        <v>315</v>
      </c>
      <c r="E193" s="4" t="str">
        <f>VLOOKUP(A193,[1]Assign!$A:$I,9,FALSE)</f>
        <v xml:space="preserve">25% MDGS Constant </v>
      </c>
      <c r="F193" s="4">
        <f>VLOOKUP(A193,'[1]Carcass '!$C$105:$D$397,2,FALSE)</f>
        <v>873</v>
      </c>
      <c r="G193" s="4">
        <f t="shared" si="28"/>
        <v>1385.7142857142858</v>
      </c>
      <c r="H193" s="31">
        <f t="shared" si="29"/>
        <v>3.9322157434402336</v>
      </c>
      <c r="I193" s="4">
        <f>VLOOKUP(D193,'[1]DMO head'!$A$2:$D$49,4,FALSE)</f>
        <v>23.392790065062279</v>
      </c>
      <c r="J193" s="19">
        <f t="shared" si="30"/>
        <v>770.71428571428578</v>
      </c>
      <c r="L193" s="4" t="str">
        <f>VLOOKUP(A193,'[1]Carcass '!$C$10:$J$397,8,FALSE)</f>
        <v>A-</v>
      </c>
      <c r="M193" s="4">
        <f t="shared" si="31"/>
        <v>0</v>
      </c>
      <c r="N193" s="4">
        <f t="shared" si="32"/>
        <v>1</v>
      </c>
      <c r="O193" s="4">
        <f t="shared" si="33"/>
        <v>0</v>
      </c>
      <c r="P193" s="4">
        <f t="shared" si="34"/>
        <v>1</v>
      </c>
      <c r="Q193" s="4">
        <f t="shared" si="35"/>
        <v>0</v>
      </c>
      <c r="R193" s="19">
        <f>VLOOKUP(A193,'[1]Carcass '!$C$107:$E$399,3,FALSE)</f>
        <v>12.45</v>
      </c>
      <c r="S193" s="4">
        <f>VLOOKUP(A193,'[1]Carcass '!$C$107:$F$399,4,FALSE)</f>
        <v>3.7</v>
      </c>
      <c r="T193" s="4">
        <f>VLOOKUP(A193,'[1]Carcass '!$C$10:$G$397,5, FALSE)</f>
        <v>0.69</v>
      </c>
      <c r="U193" s="4">
        <f>VLOOKUP(A193,'[1]Carcass '!$C$107:$I$399,7,FALSE)</f>
        <v>535</v>
      </c>
    </row>
    <row r="194" spans="1:21" x14ac:dyDescent="0.2">
      <c r="A194" s="94">
        <v>4711</v>
      </c>
      <c r="B194" s="87">
        <f>VLOOKUP(A194,[1]Assign!$A:$D,4,FALSE)</f>
        <v>621</v>
      </c>
      <c r="C194" s="4">
        <v>2</v>
      </c>
      <c r="D194" s="4">
        <v>316</v>
      </c>
      <c r="E194" s="4" t="str">
        <f>VLOOKUP(A194,[1]Assign!$A:$I,9,FALSE)</f>
        <v xml:space="preserve">10% MDGS Constant </v>
      </c>
      <c r="F194" s="4">
        <f>VLOOKUP(A194,'[1]Carcass '!$C$105:$D$397,2,FALSE)</f>
        <v>903</v>
      </c>
      <c r="G194" s="4">
        <f t="shared" ref="G194:G252" si="36">F194/0.63</f>
        <v>1433.3333333333333</v>
      </c>
      <c r="H194" s="31">
        <f t="shared" si="29"/>
        <v>4.1445578231292517</v>
      </c>
      <c r="I194" s="4">
        <f>VLOOKUP(D194,'[1]DMO head'!$A$2:$D$49,4,FALSE)</f>
        <v>23.276936370757571</v>
      </c>
      <c r="J194" s="19">
        <f t="shared" si="30"/>
        <v>812.33333333333326</v>
      </c>
      <c r="L194" s="4">
        <f>VLOOKUP(A194,'[1]Carcass '!$C$10:$J$397,8,FALSE)</f>
        <v>0</v>
      </c>
      <c r="M194" s="4">
        <f t="shared" si="31"/>
        <v>0</v>
      </c>
      <c r="N194" s="4">
        <f t="shared" si="32"/>
        <v>0</v>
      </c>
      <c r="O194" s="4">
        <f t="shared" si="33"/>
        <v>0</v>
      </c>
      <c r="P194" s="4">
        <f t="shared" si="34"/>
        <v>0</v>
      </c>
      <c r="Q194" s="4">
        <f t="shared" si="35"/>
        <v>0</v>
      </c>
      <c r="R194" s="19">
        <f>VLOOKUP(A194,'[1]Carcass '!$C$107:$E$399,3,FALSE)</f>
        <v>11.8</v>
      </c>
      <c r="S194" s="4">
        <f>VLOOKUP(A194,'[1]Carcass '!$C$107:$F$399,4,FALSE)</f>
        <v>5</v>
      </c>
      <c r="T194" s="4">
        <f>VLOOKUP(A194,'[1]Carcass '!$C$10:$G$397,5, FALSE)</f>
        <v>1.2</v>
      </c>
    </row>
    <row r="195" spans="1:21" x14ac:dyDescent="0.2">
      <c r="A195" s="94">
        <v>4666</v>
      </c>
      <c r="B195" s="87">
        <f>VLOOKUP(A195,[1]Assign!$A:$D,4,FALSE)</f>
        <v>628</v>
      </c>
      <c r="C195" s="4">
        <v>2</v>
      </c>
      <c r="D195" s="4">
        <v>317</v>
      </c>
      <c r="E195" s="4" t="str">
        <f>VLOOKUP(A195,[1]Assign!$A:$I,9,FALSE)</f>
        <v>Control</v>
      </c>
      <c r="F195" s="4">
        <f>VLOOKUP(A195,'[1]Carcass '!$C$105:$D$397,2,FALSE)</f>
        <v>909</v>
      </c>
      <c r="G195" s="4">
        <f t="shared" si="36"/>
        <v>1442.8571428571429</v>
      </c>
      <c r="H195" s="31">
        <f t="shared" ref="H195:H258" si="37">(G195-B195)/196</f>
        <v>4.1574344023323615</v>
      </c>
      <c r="I195" s="4">
        <f>VLOOKUP(D195,'[1]DMO head'!$A$2:$D$49,4,FALSE)</f>
        <v>23.188136258216968</v>
      </c>
      <c r="J195" s="19">
        <f t="shared" ref="J195:J258" si="38">G195-B195</f>
        <v>814.85714285714289</v>
      </c>
      <c r="L195" s="4">
        <f>VLOOKUP(A195,'[1]Carcass '!$C$10:$J$397,8,FALSE)</f>
        <v>0</v>
      </c>
      <c r="M195" s="4">
        <f t="shared" ref="M195:M258" si="39">COUNTIF(L195,"A")</f>
        <v>0</v>
      </c>
      <c r="N195" s="4">
        <f t="shared" ref="N195:N258" si="40">COUNTIF(L195,"A-")</f>
        <v>0</v>
      </c>
      <c r="O195" s="4">
        <f t="shared" ref="O195:O258" si="41">COUNTIF(L195,"A+")</f>
        <v>0</v>
      </c>
      <c r="P195" s="4">
        <f t="shared" ref="P195:P258" si="42">SUM(M195:O195)</f>
        <v>0</v>
      </c>
      <c r="Q195" s="4">
        <f t="shared" ref="Q195:Q258" si="43">COUNTIF(L195,"C")</f>
        <v>0</v>
      </c>
      <c r="R195" s="19">
        <f>VLOOKUP(A195,'[1]Carcass '!$C$107:$E$399,3,FALSE)</f>
        <v>13.67</v>
      </c>
      <c r="S195" s="4">
        <f>VLOOKUP(A195,'[1]Carcass '!$C$107:$F$399,4,FALSE)</f>
        <v>3.45</v>
      </c>
      <c r="T195" s="4">
        <f>VLOOKUP(A195,'[1]Carcass '!$C$10:$G$397,5, FALSE)</f>
        <v>0.7</v>
      </c>
    </row>
    <row r="196" spans="1:21" x14ac:dyDescent="0.2">
      <c r="A196" s="94">
        <v>4543</v>
      </c>
      <c r="B196" s="87">
        <f>VLOOKUP(A196,[1]Assign!$A:$D,4,FALSE)</f>
        <v>628</v>
      </c>
      <c r="C196" s="4">
        <v>2</v>
      </c>
      <c r="D196" s="4">
        <v>318</v>
      </c>
      <c r="E196" s="4" t="str">
        <f>VLOOKUP(A196,[1]Assign!$A:$I,9,FALSE)</f>
        <v>10% MDGS Variable</v>
      </c>
      <c r="F196" s="4">
        <f>VLOOKUP(A196,'[1]Carcass '!$C$105:$D$397,2,FALSE)</f>
        <v>817</v>
      </c>
      <c r="G196" s="4">
        <f t="shared" si="36"/>
        <v>1296.8253968253969</v>
      </c>
      <c r="H196" s="31">
        <f t="shared" si="37"/>
        <v>3.4123744735989634</v>
      </c>
      <c r="I196" s="4">
        <f>VLOOKUP(D196,'[1]DMO head'!$A$2:$D$49,4,FALSE)</f>
        <v>23.479164833812241</v>
      </c>
      <c r="J196" s="19">
        <f t="shared" si="38"/>
        <v>668.82539682539687</v>
      </c>
      <c r="L196" s="4" t="str">
        <f>VLOOKUP(A196,'[1]Carcass '!$C$10:$J$397,8,FALSE)</f>
        <v>C</v>
      </c>
      <c r="M196" s="4">
        <f t="shared" si="39"/>
        <v>0</v>
      </c>
      <c r="N196" s="4">
        <f t="shared" si="40"/>
        <v>0</v>
      </c>
      <c r="O196" s="4">
        <f t="shared" si="41"/>
        <v>0</v>
      </c>
      <c r="P196" s="4">
        <f t="shared" si="42"/>
        <v>0</v>
      </c>
      <c r="Q196" s="4">
        <f t="shared" si="43"/>
        <v>1</v>
      </c>
      <c r="R196" s="19">
        <f>VLOOKUP(A196,'[1]Carcass '!$C$107:$E$399,3,FALSE)</f>
        <v>15</v>
      </c>
      <c r="S196" s="4">
        <f>VLOOKUP(A196,'[1]Carcass '!$C$107:$F$399,4,FALSE)</f>
        <v>2.8</v>
      </c>
      <c r="T196" s="4">
        <f>VLOOKUP(A196,'[1]Carcass '!$C$10:$G$397,5, FALSE)</f>
        <v>0.39</v>
      </c>
      <c r="U196" s="4">
        <f>VLOOKUP(A196,'[1]Carcass '!$C$107:$I$399,7,FALSE)</f>
        <v>482</v>
      </c>
    </row>
    <row r="197" spans="1:21" x14ac:dyDescent="0.2">
      <c r="A197" s="94">
        <v>4370</v>
      </c>
      <c r="B197" s="87">
        <f>VLOOKUP(A197,[1]Assign!$A:$D,4,FALSE)</f>
        <v>629</v>
      </c>
      <c r="C197" s="4">
        <v>2</v>
      </c>
      <c r="D197" s="4">
        <v>215</v>
      </c>
      <c r="E197" s="4" t="str">
        <f>VLOOKUP(A197,[1]Assign!$A:$I,9,FALSE)</f>
        <v>10% MDGS Variable</v>
      </c>
      <c r="F197" s="4">
        <f>VLOOKUP(A197,'[1]Carcass '!$C$105:$D$397,2,FALSE)</f>
        <v>755</v>
      </c>
      <c r="G197" s="4">
        <f t="shared" si="36"/>
        <v>1198.4126984126983</v>
      </c>
      <c r="H197" s="31">
        <f t="shared" si="37"/>
        <v>2.905166828636216</v>
      </c>
      <c r="I197" s="4">
        <f>VLOOKUP(D197,'[1]DMO head'!$A$2:$D$49,4,FALSE)</f>
        <v>21.5797851350505</v>
      </c>
      <c r="J197" s="19">
        <f t="shared" si="38"/>
        <v>569.41269841269832</v>
      </c>
      <c r="L197" s="4" t="str">
        <f>VLOOKUP(A197,'[1]Carcass '!$C$10:$J$397,8,FALSE)</f>
        <v>A-</v>
      </c>
      <c r="M197" s="4">
        <f t="shared" si="39"/>
        <v>0</v>
      </c>
      <c r="N197" s="4">
        <f t="shared" si="40"/>
        <v>1</v>
      </c>
      <c r="O197" s="4">
        <f t="shared" si="41"/>
        <v>0</v>
      </c>
      <c r="P197" s="4">
        <f t="shared" si="42"/>
        <v>1</v>
      </c>
      <c r="Q197" s="4">
        <f t="shared" si="43"/>
        <v>0</v>
      </c>
      <c r="R197" s="19">
        <f>VLOOKUP(A197,'[1]Carcass '!$C$107:$E$399,3,FALSE)</f>
        <v>10.1</v>
      </c>
      <c r="S197" s="4">
        <f>VLOOKUP(A197,'[1]Carcass '!$C$107:$F$399,4,FALSE)</f>
        <v>3.8</v>
      </c>
      <c r="T197" s="4">
        <f>VLOOKUP(A197,'[1]Carcass '!$C$10:$G$397,5, FALSE)</f>
        <v>0.72</v>
      </c>
      <c r="U197" s="4">
        <f>VLOOKUP(A197,'[1]Carcass '!$C$107:$I$399,7,FALSE)</f>
        <v>628</v>
      </c>
    </row>
    <row r="198" spans="1:21" x14ac:dyDescent="0.2">
      <c r="A198" s="94">
        <v>4740</v>
      </c>
      <c r="B198" s="87">
        <f>VLOOKUP(A198,[1]Assign!$A:$D,4,FALSE)</f>
        <v>623</v>
      </c>
      <c r="C198" s="4">
        <v>2</v>
      </c>
      <c r="D198" s="4">
        <v>216</v>
      </c>
      <c r="E198" s="4" t="str">
        <f>VLOOKUP(A198,[1]Assign!$A:$I,9,FALSE)</f>
        <v xml:space="preserve">10% MDGS Constant </v>
      </c>
      <c r="F198" s="4">
        <f>VLOOKUP(A198,'[1]Carcass '!$C$105:$D$397,2,FALSE)</f>
        <v>776</v>
      </c>
      <c r="G198" s="4">
        <f t="shared" si="36"/>
        <v>1231.7460317460318</v>
      </c>
      <c r="H198" s="31">
        <f t="shared" si="37"/>
        <v>3.1058471007450601</v>
      </c>
      <c r="I198" s="4">
        <f>VLOOKUP(D198,'[1]DMO head'!$A$2:$D$49,4,FALSE)</f>
        <v>21.830062429040414</v>
      </c>
      <c r="J198" s="19">
        <f t="shared" si="38"/>
        <v>608.7460317460318</v>
      </c>
      <c r="L198" s="4" t="s">
        <v>65</v>
      </c>
      <c r="M198" s="4">
        <f t="shared" si="39"/>
        <v>0</v>
      </c>
      <c r="N198" s="4">
        <f t="shared" si="40"/>
        <v>0</v>
      </c>
      <c r="O198" s="4">
        <f t="shared" si="41"/>
        <v>1</v>
      </c>
      <c r="P198" s="4">
        <f t="shared" si="42"/>
        <v>1</v>
      </c>
      <c r="Q198" s="4">
        <f t="shared" si="43"/>
        <v>0</v>
      </c>
      <c r="R198" s="19">
        <f>VLOOKUP(A198,'[1]Carcass '!$C$107:$E$399,3,FALSE)</f>
        <v>16.399999999999999</v>
      </c>
      <c r="S198" s="4">
        <f>VLOOKUP(A198,'[1]Carcass '!$C$107:$F$399,4,FALSE)</f>
        <v>3.4</v>
      </c>
      <c r="T198" s="4">
        <f>VLOOKUP(A198,'[1]Carcass '!$C$10:$G$397,5, FALSE)</f>
        <v>0.57999999999999996</v>
      </c>
      <c r="U198" s="4">
        <f>VLOOKUP(A198,'[1]Carcass '!$C$107:$I$399,7,FALSE)</f>
        <v>566</v>
      </c>
    </row>
    <row r="199" spans="1:21" x14ac:dyDescent="0.2">
      <c r="A199" s="94">
        <v>4708</v>
      </c>
      <c r="B199" s="87">
        <f>VLOOKUP(A199,[1]Assign!$A:$D,4,FALSE)</f>
        <v>625</v>
      </c>
      <c r="C199" s="4">
        <v>2</v>
      </c>
      <c r="D199" s="4">
        <v>301</v>
      </c>
      <c r="E199" s="4" t="str">
        <f>VLOOKUP(A199,[1]Assign!$A:$I,9,FALSE)</f>
        <v xml:space="preserve">25% MDGS Constant </v>
      </c>
      <c r="F199" s="4">
        <f>VLOOKUP(A199,'[1]Carcass '!$C$105:$D$397,2,FALSE)</f>
        <v>873</v>
      </c>
      <c r="G199" s="4">
        <f t="shared" si="36"/>
        <v>1385.7142857142858</v>
      </c>
      <c r="H199" s="31">
        <f t="shared" si="37"/>
        <v>3.8811953352769684</v>
      </c>
      <c r="I199" s="4">
        <f>VLOOKUP(D199,'[1]DMO head'!$A$2:$D$49,4,FALSE)</f>
        <v>22.630176042777777</v>
      </c>
      <c r="J199" s="19">
        <f t="shared" si="38"/>
        <v>760.71428571428578</v>
      </c>
      <c r="L199" s="4">
        <f>VLOOKUP(A199,'[1]Carcass '!$C$10:$J$397,8,FALSE)</f>
        <v>0</v>
      </c>
      <c r="M199" s="4">
        <f t="shared" si="39"/>
        <v>0</v>
      </c>
      <c r="N199" s="4">
        <f t="shared" si="40"/>
        <v>0</v>
      </c>
      <c r="O199" s="4">
        <f t="shared" si="41"/>
        <v>0</v>
      </c>
      <c r="P199" s="4">
        <f t="shared" si="42"/>
        <v>0</v>
      </c>
      <c r="Q199" s="4">
        <f t="shared" si="43"/>
        <v>0</v>
      </c>
      <c r="R199" s="19">
        <f>VLOOKUP(A199,'[1]Carcass '!$C$107:$E$399,3,FALSE)</f>
        <v>14.7</v>
      </c>
      <c r="S199" s="4">
        <f>VLOOKUP(A199,'[1]Carcass '!$C$107:$F$399,4,FALSE)</f>
        <v>3.9</v>
      </c>
      <c r="T199" s="4">
        <f>VLOOKUP(A199,'[1]Carcass '!$C$10:$G$397,5, FALSE)</f>
        <v>0.79</v>
      </c>
      <c r="U199" s="4">
        <f>VLOOKUP(A199,'[1]Carcass '!$C$107:$I$399,7,FALSE)</f>
        <v>671</v>
      </c>
    </row>
    <row r="200" spans="1:21" x14ac:dyDescent="0.2">
      <c r="A200" s="94">
        <v>4400</v>
      </c>
      <c r="B200" s="87">
        <f>VLOOKUP(A200,[1]Assign!$A:$D,4,FALSE)</f>
        <v>631</v>
      </c>
      <c r="C200" s="4">
        <v>2</v>
      </c>
      <c r="D200" s="4">
        <v>303</v>
      </c>
      <c r="E200" s="4" t="str">
        <f>VLOOKUP(A200,[1]Assign!$A:$I,9,FALSE)</f>
        <v>Control</v>
      </c>
      <c r="F200" s="4">
        <f>VLOOKUP(A200,'[1]Carcass '!$C$105:$D$397,2,FALSE)</f>
        <v>832</v>
      </c>
      <c r="G200" s="4">
        <f t="shared" si="36"/>
        <v>1320.6349206349207</v>
      </c>
      <c r="H200" s="31">
        <f t="shared" si="37"/>
        <v>3.5185455134434731</v>
      </c>
      <c r="I200" s="4">
        <f>VLOOKUP(D200,'[1]DMO head'!$A$2:$D$49,4,FALSE)</f>
        <v>21.256780292032506</v>
      </c>
      <c r="J200" s="19">
        <f t="shared" si="38"/>
        <v>689.63492063492072</v>
      </c>
      <c r="L200" s="4" t="str">
        <f>VLOOKUP(A200,'[1]Carcass '!$C$10:$J$397,8,FALSE)</f>
        <v>A-</v>
      </c>
      <c r="M200" s="4">
        <f t="shared" si="39"/>
        <v>0</v>
      </c>
      <c r="N200" s="4">
        <f t="shared" si="40"/>
        <v>1</v>
      </c>
      <c r="O200" s="4">
        <f t="shared" si="41"/>
        <v>0</v>
      </c>
      <c r="P200" s="4">
        <f t="shared" si="42"/>
        <v>1</v>
      </c>
      <c r="Q200" s="4">
        <f t="shared" si="43"/>
        <v>0</v>
      </c>
      <c r="R200" s="19">
        <f>VLOOKUP(A200,'[1]Carcass '!$C$107:$E$399,3,FALSE)</f>
        <v>13.8</v>
      </c>
      <c r="S200" s="4">
        <f>VLOOKUP(A200,'[1]Carcass '!$C$107:$F$399,4,FALSE)</f>
        <v>3.7</v>
      </c>
      <c r="T200" s="4">
        <f>VLOOKUP(A200,'[1]Carcass '!$C$10:$G$397,5, FALSE)</f>
        <v>0.67</v>
      </c>
      <c r="U200" s="4">
        <f>VLOOKUP(A200,'[1]Carcass '!$C$107:$I$399,7,FALSE)</f>
        <v>501</v>
      </c>
    </row>
    <row r="201" spans="1:21" x14ac:dyDescent="0.2">
      <c r="A201" s="94">
        <v>4540</v>
      </c>
      <c r="B201" s="87">
        <f>VLOOKUP(A201,[1]Assign!$A:$D,4,FALSE)</f>
        <v>620</v>
      </c>
      <c r="C201" s="4">
        <v>2</v>
      </c>
      <c r="D201" s="4">
        <v>304</v>
      </c>
      <c r="E201" s="4" t="str">
        <f>VLOOKUP(A201,[1]Assign!$A:$I,9,FALSE)</f>
        <v>10% MDGS Variable</v>
      </c>
      <c r="F201" s="4">
        <f>VLOOKUP(A201,'[1]Carcass '!$C$105:$D$397,2,FALSE)</f>
        <v>732</v>
      </c>
      <c r="G201" s="4">
        <f t="shared" si="36"/>
        <v>1161.9047619047619</v>
      </c>
      <c r="H201" s="31">
        <f t="shared" si="37"/>
        <v>2.7648202137998057</v>
      </c>
      <c r="I201" s="4">
        <f>VLOOKUP(D201,'[1]DMO head'!$A$2:$D$49,4,FALSE)</f>
        <v>21.282594490991229</v>
      </c>
      <c r="J201" s="19">
        <f t="shared" si="38"/>
        <v>541.90476190476193</v>
      </c>
      <c r="L201" s="4" t="str">
        <f>VLOOKUP(A201,'[1]Carcass '!$C$10:$J$397,8,FALSE)</f>
        <v>A+</v>
      </c>
      <c r="M201" s="4">
        <f t="shared" si="39"/>
        <v>0</v>
      </c>
      <c r="N201" s="4">
        <f t="shared" si="40"/>
        <v>0</v>
      </c>
      <c r="O201" s="4">
        <f t="shared" si="41"/>
        <v>1</v>
      </c>
      <c r="P201" s="4">
        <f t="shared" si="42"/>
        <v>1</v>
      </c>
      <c r="Q201" s="4">
        <f t="shared" si="43"/>
        <v>0</v>
      </c>
      <c r="R201" s="19">
        <f>VLOOKUP(A201,'[1]Carcass '!$C$107:$E$399,3,FALSE)</f>
        <v>12.2</v>
      </c>
      <c r="S201" s="4">
        <f>VLOOKUP(A201,'[1]Carcass '!$C$107:$F$399,4,FALSE)</f>
        <v>2.6</v>
      </c>
      <c r="T201" s="4">
        <f>VLOOKUP(A201,'[1]Carcass '!$C$10:$G$397,5, FALSE)</f>
        <v>0.5</v>
      </c>
    </row>
    <row r="202" spans="1:21" x14ac:dyDescent="0.2">
      <c r="A202" s="94">
        <v>4396</v>
      </c>
      <c r="B202" s="87">
        <f>VLOOKUP(A202,[1]Assign!$A:$D,4,FALSE)</f>
        <v>633</v>
      </c>
      <c r="C202" s="4">
        <v>2</v>
      </c>
      <c r="D202" s="4">
        <v>305</v>
      </c>
      <c r="E202" s="4" t="str">
        <f>VLOOKUP(A202,[1]Assign!$A:$I,9,FALSE)</f>
        <v xml:space="preserve">10% MDGS Constant </v>
      </c>
      <c r="F202" s="4">
        <f>VLOOKUP(A202,'[1]Carcass '!$C$105:$D$397,2,FALSE)</f>
        <v>782</v>
      </c>
      <c r="G202" s="4">
        <f t="shared" si="36"/>
        <v>1241.2698412698412</v>
      </c>
      <c r="H202" s="31">
        <f t="shared" si="37"/>
        <v>3.1034175574991898</v>
      </c>
      <c r="I202" s="4">
        <f>VLOOKUP(D202,'[1]DMO head'!$A$2:$D$49,4,FALSE)</f>
        <v>20.599573820131273</v>
      </c>
      <c r="J202" s="19">
        <f t="shared" si="38"/>
        <v>608.26984126984121</v>
      </c>
      <c r="L202" s="4">
        <f>VLOOKUP(A202,'[1]Carcass '!$C$10:$J$397,8,FALSE)</f>
        <v>0</v>
      </c>
      <c r="M202" s="4">
        <f t="shared" si="39"/>
        <v>0</v>
      </c>
      <c r="N202" s="4">
        <f t="shared" si="40"/>
        <v>0</v>
      </c>
      <c r="O202" s="4">
        <f t="shared" si="41"/>
        <v>0</v>
      </c>
      <c r="P202" s="4">
        <f t="shared" si="42"/>
        <v>0</v>
      </c>
      <c r="Q202" s="4">
        <f t="shared" si="43"/>
        <v>0</v>
      </c>
      <c r="R202" s="19">
        <f>VLOOKUP(A202,'[1]Carcass '!$C$107:$E$399,3,FALSE)</f>
        <v>15.8</v>
      </c>
      <c r="S202" s="4">
        <f>VLOOKUP(A202,'[1]Carcass '!$C$107:$F$399,4,FALSE)</f>
        <v>3.3</v>
      </c>
      <c r="T202" s="4">
        <f>VLOOKUP(A202,'[1]Carcass '!$C$10:$G$397,5, FALSE)</f>
        <v>0.51999999999999991</v>
      </c>
    </row>
    <row r="203" spans="1:21" x14ac:dyDescent="0.2">
      <c r="A203" s="94">
        <v>4384</v>
      </c>
      <c r="B203" s="87">
        <f>VLOOKUP(A203,[1]Assign!$A:$D,4,FALSE)</f>
        <v>632</v>
      </c>
      <c r="C203" s="4">
        <v>2</v>
      </c>
      <c r="D203" s="4">
        <v>306</v>
      </c>
      <c r="E203" s="4" t="str">
        <f>VLOOKUP(A203,[1]Assign!$A:$I,9,FALSE)</f>
        <v>Control</v>
      </c>
      <c r="F203" s="4">
        <f>VLOOKUP(A203,'[1]Carcass '!$C$105:$D$397,2,FALSE)</f>
        <v>817</v>
      </c>
      <c r="G203" s="4">
        <f t="shared" si="36"/>
        <v>1296.8253968253969</v>
      </c>
      <c r="H203" s="31">
        <f t="shared" si="37"/>
        <v>3.3919663103336575</v>
      </c>
      <c r="I203" s="4">
        <f>VLOOKUP(D203,'[1]DMO head'!$A$2:$D$49,4,FALSE)</f>
        <v>23.243543323568986</v>
      </c>
      <c r="J203" s="19">
        <f t="shared" si="38"/>
        <v>664.82539682539687</v>
      </c>
      <c r="L203" s="4" t="str">
        <f>VLOOKUP(A203,'[1]Carcass '!$C$10:$J$397,8,FALSE)</f>
        <v>A</v>
      </c>
      <c r="M203" s="4">
        <f t="shared" si="39"/>
        <v>1</v>
      </c>
      <c r="N203" s="4">
        <f t="shared" si="40"/>
        <v>0</v>
      </c>
      <c r="O203" s="4">
        <f t="shared" si="41"/>
        <v>0</v>
      </c>
      <c r="P203" s="4">
        <f t="shared" si="42"/>
        <v>1</v>
      </c>
      <c r="Q203" s="4">
        <f t="shared" si="43"/>
        <v>0</v>
      </c>
      <c r="R203" s="19">
        <f>VLOOKUP(A203,'[1]Carcass '!$C$107:$E$399,3,FALSE)</f>
        <v>12.9</v>
      </c>
      <c r="S203" s="4">
        <f>VLOOKUP(A203,'[1]Carcass '!$C$107:$F$399,4,FALSE)</f>
        <v>3.85</v>
      </c>
      <c r="T203" s="4">
        <f>VLOOKUP(A203,'[1]Carcass '!$C$10:$G$397,5, FALSE)</f>
        <v>0.82</v>
      </c>
      <c r="U203" s="4">
        <f>VLOOKUP(A203,'[1]Carcass '!$C$107:$I$399,7,FALSE)</f>
        <v>701</v>
      </c>
    </row>
    <row r="204" spans="1:21" x14ac:dyDescent="0.2">
      <c r="A204" s="94">
        <v>4647</v>
      </c>
      <c r="B204" s="87">
        <f>VLOOKUP(A204,[1]Assign!$A:$D,4,FALSE)</f>
        <v>620</v>
      </c>
      <c r="C204" s="4">
        <v>2</v>
      </c>
      <c r="D204" s="4">
        <v>307</v>
      </c>
      <c r="E204" s="4" t="str">
        <f>VLOOKUP(A204,[1]Assign!$A:$I,9,FALSE)</f>
        <v>25% MDGS Variable</v>
      </c>
      <c r="F204" s="4">
        <f>VLOOKUP(A204,'[1]Carcass '!$C$105:$D$397,2,FALSE)</f>
        <v>887</v>
      </c>
      <c r="G204" s="4">
        <f t="shared" si="36"/>
        <v>1407.936507936508</v>
      </c>
      <c r="H204" s="31">
        <f t="shared" si="37"/>
        <v>4.0200842241658572</v>
      </c>
      <c r="I204" s="4">
        <f>VLOOKUP(D204,'[1]DMO head'!$A$2:$D$49,4,FALSE)</f>
        <v>21.697158876111111</v>
      </c>
      <c r="J204" s="19">
        <f t="shared" si="38"/>
        <v>787.93650793650795</v>
      </c>
      <c r="L204" s="4" t="str">
        <f>VLOOKUP(A204,'[1]Carcass '!$C$10:$J$397,8,FALSE)</f>
        <v>C</v>
      </c>
      <c r="M204" s="4">
        <f t="shared" si="39"/>
        <v>0</v>
      </c>
      <c r="N204" s="4">
        <f t="shared" si="40"/>
        <v>0</v>
      </c>
      <c r="O204" s="4">
        <f t="shared" si="41"/>
        <v>0</v>
      </c>
      <c r="P204" s="4">
        <f t="shared" si="42"/>
        <v>0</v>
      </c>
      <c r="Q204" s="4">
        <f t="shared" si="43"/>
        <v>1</v>
      </c>
      <c r="R204" s="19">
        <f>VLOOKUP(A204,'[1]Carcass '!$C$107:$E$399,3,FALSE)</f>
        <v>15.3</v>
      </c>
      <c r="S204" s="4">
        <f>VLOOKUP(A204,'[1]Carcass '!$C$107:$F$399,4,FALSE)</f>
        <v>3.3</v>
      </c>
      <c r="T204" s="4">
        <f>VLOOKUP(A204,'[1]Carcass '!$C$10:$G$397,5, FALSE)</f>
        <v>0.63</v>
      </c>
      <c r="U204" s="4">
        <f>VLOOKUP(A204,'[1]Carcass '!$C$107:$I$399,7,FALSE)</f>
        <v>468</v>
      </c>
    </row>
    <row r="205" spans="1:21" x14ac:dyDescent="0.2">
      <c r="A205" s="94">
        <v>4359</v>
      </c>
      <c r="B205" s="87">
        <f>VLOOKUP(A205,[1]Assign!$A:$D,4,FALSE)</f>
        <v>624</v>
      </c>
      <c r="C205" s="4">
        <v>2</v>
      </c>
      <c r="D205" s="4">
        <v>308</v>
      </c>
      <c r="E205" s="4" t="str">
        <f>VLOOKUP(A205,[1]Assign!$A:$I,9,FALSE)</f>
        <v xml:space="preserve">25% MDGS Constant </v>
      </c>
      <c r="F205" s="4">
        <f>VLOOKUP(A205,'[1]Carcass '!$C$105:$D$397,2,FALSE)</f>
        <v>894</v>
      </c>
      <c r="G205" s="4">
        <f t="shared" si="36"/>
        <v>1419.047619047619</v>
      </c>
      <c r="H205" s="31">
        <f t="shared" si="37"/>
        <v>4.0563654033041789</v>
      </c>
      <c r="I205" s="4">
        <f>VLOOKUP(D205,'[1]DMO head'!$A$2:$D$49,4,FALSE)</f>
        <v>23.183092460704504</v>
      </c>
      <c r="J205" s="19">
        <f t="shared" si="38"/>
        <v>795.04761904761904</v>
      </c>
      <c r="L205" s="4">
        <f>VLOOKUP(A205,'[1]Carcass '!$C$10:$J$397,8,FALSE)</f>
        <v>0</v>
      </c>
      <c r="M205" s="4">
        <f t="shared" si="39"/>
        <v>0</v>
      </c>
      <c r="N205" s="4">
        <f t="shared" si="40"/>
        <v>0</v>
      </c>
      <c r="O205" s="4">
        <f t="shared" si="41"/>
        <v>0</v>
      </c>
      <c r="P205" s="4">
        <f t="shared" si="42"/>
        <v>0</v>
      </c>
      <c r="Q205" s="4">
        <f t="shared" si="43"/>
        <v>0</v>
      </c>
      <c r="R205" s="19">
        <f>VLOOKUP(A205,'[1]Carcass '!$C$107:$E$399,3,FALSE)</f>
        <v>14.3</v>
      </c>
      <c r="S205" s="4">
        <f>VLOOKUP(A205,'[1]Carcass '!$C$107:$F$399,4,FALSE)</f>
        <v>3.6</v>
      </c>
      <c r="T205" s="4">
        <f>VLOOKUP(A205,'[1]Carcass '!$C$10:$G$397,5, FALSE)</f>
        <v>0.78</v>
      </c>
      <c r="U205" s="4">
        <f>VLOOKUP(A205,'[1]Carcass '!$C$107:$I$399,7,FALSE)</f>
        <v>580</v>
      </c>
    </row>
    <row r="206" spans="1:21" x14ac:dyDescent="0.2">
      <c r="A206" s="94">
        <v>4619</v>
      </c>
      <c r="B206" s="87">
        <f>VLOOKUP(A206,[1]Assign!$A:$D,4,FALSE)</f>
        <v>636</v>
      </c>
      <c r="C206" s="4">
        <v>2</v>
      </c>
      <c r="D206" s="4">
        <v>309</v>
      </c>
      <c r="E206" s="4" t="str">
        <f>VLOOKUP(A206,[1]Assign!$A:$I,9,FALSE)</f>
        <v>Control</v>
      </c>
      <c r="F206" s="4">
        <f>VLOOKUP(A206,'[1]Carcass '!$C$105:$D$397,2,FALSE)</f>
        <v>811</v>
      </c>
      <c r="G206" s="4">
        <f t="shared" si="36"/>
        <v>1287.3015873015872</v>
      </c>
      <c r="H206" s="31">
        <f t="shared" si="37"/>
        <v>3.3229672821509553</v>
      </c>
      <c r="I206" s="4">
        <f>VLOOKUP(D206,'[1]DMO head'!$A$2:$D$49,4,FALSE)</f>
        <v>22.382749735000004</v>
      </c>
      <c r="J206" s="19">
        <f t="shared" si="38"/>
        <v>651.30158730158723</v>
      </c>
      <c r="L206" s="4">
        <f>VLOOKUP(A206,'[1]Carcass '!$C$10:$J$397,8,FALSE)</f>
        <v>0</v>
      </c>
      <c r="M206" s="4">
        <f t="shared" si="39"/>
        <v>0</v>
      </c>
      <c r="N206" s="4">
        <f t="shared" si="40"/>
        <v>0</v>
      </c>
      <c r="O206" s="4">
        <f t="shared" si="41"/>
        <v>0</v>
      </c>
      <c r="P206" s="4">
        <f t="shared" si="42"/>
        <v>0</v>
      </c>
      <c r="Q206" s="4">
        <f t="shared" si="43"/>
        <v>0</v>
      </c>
      <c r="R206" s="19">
        <f>VLOOKUP(A206,'[1]Carcass '!$C$107:$E$399,3,FALSE)</f>
        <v>12.7</v>
      </c>
      <c r="S206" s="4">
        <f>VLOOKUP(A206,'[1]Carcass '!$C$107:$F$399,4,FALSE)</f>
        <v>3.7</v>
      </c>
      <c r="T206" s="4">
        <f>VLOOKUP(A206,'[1]Carcass '!$C$10:$G$397,5, FALSE)</f>
        <v>0.75</v>
      </c>
      <c r="U206" s="4">
        <f>VLOOKUP(A206,'[1]Carcass '!$C$107:$I$399,7,FALSE)</f>
        <v>616</v>
      </c>
    </row>
    <row r="207" spans="1:21" x14ac:dyDescent="0.2">
      <c r="A207" s="94">
        <v>4698</v>
      </c>
      <c r="B207" s="87">
        <f>VLOOKUP(A207,[1]Assign!$A:$D,4,FALSE)</f>
        <v>634</v>
      </c>
      <c r="C207" s="4">
        <v>2</v>
      </c>
      <c r="D207" s="4">
        <v>310</v>
      </c>
      <c r="E207" s="4" t="str">
        <f>VLOOKUP(A207,[1]Assign!$A:$I,9,FALSE)</f>
        <v>10% MDGS Variable</v>
      </c>
      <c r="F207" s="4">
        <f>VLOOKUP(A207,'[1]Carcass '!$C$105:$D$397,2,FALSE)</f>
        <v>924</v>
      </c>
      <c r="G207" s="4">
        <f t="shared" si="36"/>
        <v>1466.6666666666667</v>
      </c>
      <c r="H207" s="31">
        <f t="shared" si="37"/>
        <v>4.2482993197278915</v>
      </c>
      <c r="I207" s="4">
        <f>VLOOKUP(D207,'[1]DMO head'!$A$2:$D$49,4,FALSE)</f>
        <v>23.18107161691918</v>
      </c>
      <c r="J207" s="19">
        <f t="shared" si="38"/>
        <v>832.66666666666674</v>
      </c>
      <c r="L207" s="4" t="str">
        <f>VLOOKUP(A207,'[1]Carcass '!$C$10:$J$397,8,FALSE)</f>
        <v>A-</v>
      </c>
      <c r="M207" s="4">
        <f t="shared" si="39"/>
        <v>0</v>
      </c>
      <c r="N207" s="4">
        <f t="shared" si="40"/>
        <v>1</v>
      </c>
      <c r="O207" s="4">
        <f t="shared" si="41"/>
        <v>0</v>
      </c>
      <c r="P207" s="4">
        <f t="shared" si="42"/>
        <v>1</v>
      </c>
      <c r="Q207" s="4">
        <f t="shared" si="43"/>
        <v>0</v>
      </c>
      <c r="R207" s="19">
        <f>VLOOKUP(A207,'[1]Carcass '!$C$107:$E$399,3,FALSE)</f>
        <v>13.3</v>
      </c>
      <c r="S207" s="4">
        <f>VLOOKUP(A207,'[1]Carcass '!$C$107:$F$399,4,FALSE)</f>
        <v>3.4</v>
      </c>
      <c r="T207" s="4">
        <f>VLOOKUP(A207,'[1]Carcass '!$C$10:$G$397,5, FALSE)</f>
        <v>0.59</v>
      </c>
      <c r="U207" s="4">
        <f>VLOOKUP(A207,'[1]Carcass '!$C$107:$I$399,7,FALSE)</f>
        <v>450</v>
      </c>
    </row>
    <row r="208" spans="1:21" x14ac:dyDescent="0.2">
      <c r="A208" s="94">
        <v>4475</v>
      </c>
      <c r="B208" s="87">
        <f>VLOOKUP(A208,[1]Assign!$A:$D,4,FALSE)</f>
        <v>640</v>
      </c>
      <c r="C208" s="4">
        <v>2</v>
      </c>
      <c r="D208" s="4">
        <v>311</v>
      </c>
      <c r="E208" s="4" t="str">
        <f>VLOOKUP(A208,[1]Assign!$A:$I,9,FALSE)</f>
        <v xml:space="preserve">10% MDGS Constant </v>
      </c>
      <c r="F208" s="4">
        <f>VLOOKUP(A208,'[1]Carcass '!$C$105:$D$397,2,FALSE)</f>
        <v>870</v>
      </c>
      <c r="G208" s="4">
        <f t="shared" si="36"/>
        <v>1380.952380952381</v>
      </c>
      <c r="H208" s="31">
        <f t="shared" si="37"/>
        <v>3.7803692905733723</v>
      </c>
      <c r="I208" s="4">
        <f>VLOOKUP(D208,'[1]DMO head'!$A$2:$D$49,4,FALSE)</f>
        <v>23.779243605703989</v>
      </c>
      <c r="J208" s="19">
        <f t="shared" si="38"/>
        <v>740.95238095238096</v>
      </c>
      <c r="L208" s="4">
        <f>VLOOKUP(A208,'[1]Carcass '!$C$10:$J$397,8,FALSE)</f>
        <v>0</v>
      </c>
      <c r="M208" s="4">
        <f t="shared" si="39"/>
        <v>0</v>
      </c>
      <c r="N208" s="4">
        <f t="shared" si="40"/>
        <v>0</v>
      </c>
      <c r="O208" s="4">
        <f t="shared" si="41"/>
        <v>0</v>
      </c>
      <c r="P208" s="4">
        <f t="shared" si="42"/>
        <v>0</v>
      </c>
      <c r="Q208" s="4">
        <f t="shared" si="43"/>
        <v>0</v>
      </c>
      <c r="R208" s="19">
        <f>VLOOKUP(A208,'[1]Carcass '!$C$107:$E$399,3,FALSE)</f>
        <v>14.5</v>
      </c>
      <c r="S208" s="4">
        <f>VLOOKUP(A208,'[1]Carcass '!$C$107:$F$399,4,FALSE)</f>
        <v>3.2</v>
      </c>
      <c r="T208" s="4">
        <f>VLOOKUP(A208,'[1]Carcass '!$C$10:$G$397,5, FALSE)</f>
        <v>0.56000000000000005</v>
      </c>
      <c r="U208" s="4">
        <f>VLOOKUP(A208,'[1]Carcass '!$C$107:$I$399,7,FALSE)</f>
        <v>461</v>
      </c>
    </row>
    <row r="209" spans="1:21" x14ac:dyDescent="0.2">
      <c r="A209" s="94">
        <v>4713</v>
      </c>
      <c r="B209" s="87">
        <f>VLOOKUP(A209,[1]Assign!$A:$D,4,FALSE)</f>
        <v>634</v>
      </c>
      <c r="C209" s="4">
        <v>2</v>
      </c>
      <c r="D209" s="4">
        <v>312</v>
      </c>
      <c r="E209" s="4" t="str">
        <f>VLOOKUP(A209,[1]Assign!$A:$I,9,FALSE)</f>
        <v xml:space="preserve">25% MDGS Constant </v>
      </c>
      <c r="F209" s="4">
        <f>VLOOKUP(A209,'[1]Carcass '!$C$105:$D$397,2,FALSE)</f>
        <v>871</v>
      </c>
      <c r="G209" s="4">
        <f t="shared" si="36"/>
        <v>1382.5396825396824</v>
      </c>
      <c r="H209" s="31">
        <f t="shared" si="37"/>
        <v>3.8190800129575635</v>
      </c>
      <c r="I209" s="4">
        <f>VLOOKUP(D209,'[1]DMO head'!$A$2:$D$49,4,FALSE)</f>
        <v>23.507213350404029</v>
      </c>
      <c r="J209" s="19">
        <f t="shared" si="38"/>
        <v>748.53968253968242</v>
      </c>
      <c r="L209" s="4">
        <f>VLOOKUP(A209,'[1]Carcass '!$C$10:$J$397,8,FALSE)</f>
        <v>0</v>
      </c>
      <c r="M209" s="4">
        <f t="shared" si="39"/>
        <v>0</v>
      </c>
      <c r="N209" s="4">
        <f t="shared" si="40"/>
        <v>0</v>
      </c>
      <c r="O209" s="4">
        <f t="shared" si="41"/>
        <v>0</v>
      </c>
      <c r="P209" s="4">
        <f t="shared" si="42"/>
        <v>0</v>
      </c>
      <c r="Q209" s="4">
        <f t="shared" si="43"/>
        <v>0</v>
      </c>
      <c r="R209" s="19">
        <f>VLOOKUP(A209,'[1]Carcass '!$C$107:$E$399,3,FALSE)</f>
        <v>14.1</v>
      </c>
      <c r="S209" s="4">
        <f>VLOOKUP(A209,'[1]Carcass '!$C$107:$F$399,4,FALSE)</f>
        <v>4.5999999999999996</v>
      </c>
      <c r="T209" s="4">
        <f>VLOOKUP(A209,'[1]Carcass '!$C$10:$G$397,5, FALSE)</f>
        <v>1.1299999999999999</v>
      </c>
      <c r="U209" s="4">
        <f>VLOOKUP(A209,'[1]Carcass '!$C$107:$I$399,7,FALSE)</f>
        <v>496</v>
      </c>
    </row>
    <row r="210" spans="1:21" x14ac:dyDescent="0.2">
      <c r="A210" s="94">
        <v>4661</v>
      </c>
      <c r="B210" s="87">
        <f>VLOOKUP(A210,[1]Assign!$A:$D,4,FALSE)</f>
        <v>614</v>
      </c>
      <c r="C210" s="4">
        <v>2</v>
      </c>
      <c r="D210" s="4">
        <v>313</v>
      </c>
      <c r="E210" s="4" t="str">
        <f>VLOOKUP(A210,[1]Assign!$A:$I,9,FALSE)</f>
        <v>25% MDGS Variable</v>
      </c>
      <c r="F210" s="4">
        <f>VLOOKUP(A210,'[1]Carcass '!$C$105:$D$397,2,FALSE)</f>
        <v>807</v>
      </c>
      <c r="G210" s="4">
        <f t="shared" si="36"/>
        <v>1280.952380952381</v>
      </c>
      <c r="H210" s="31">
        <f t="shared" si="37"/>
        <v>3.4028182701652092</v>
      </c>
      <c r="I210" s="4">
        <f>VLOOKUP(D210,'[1]DMO head'!$A$2:$D$49,4,FALSE)</f>
        <v>23.480892071111096</v>
      </c>
      <c r="J210" s="19">
        <f t="shared" si="38"/>
        <v>666.95238095238096</v>
      </c>
      <c r="L210" s="4" t="str">
        <f>VLOOKUP(A210,'[1]Carcass '!$C$10:$J$397,8,FALSE)</f>
        <v>C</v>
      </c>
      <c r="M210" s="4">
        <f t="shared" si="39"/>
        <v>0</v>
      </c>
      <c r="N210" s="4">
        <f t="shared" si="40"/>
        <v>0</v>
      </c>
      <c r="O210" s="4">
        <f t="shared" si="41"/>
        <v>0</v>
      </c>
      <c r="P210" s="4">
        <f t="shared" si="42"/>
        <v>0</v>
      </c>
      <c r="Q210" s="4">
        <f t="shared" si="43"/>
        <v>1</v>
      </c>
      <c r="R210" s="19">
        <f>VLOOKUP(A210,'[1]Carcass '!$C$107:$E$399,3,FALSE)</f>
        <v>14.1</v>
      </c>
      <c r="S210" s="4">
        <f>VLOOKUP(A210,'[1]Carcass '!$C$107:$F$399,4,FALSE)</f>
        <v>3.3</v>
      </c>
      <c r="T210" s="4">
        <f>VLOOKUP(A210,'[1]Carcass '!$C$10:$G$397,5, FALSE)</f>
        <v>0.59599999999999997</v>
      </c>
      <c r="U210" s="4">
        <f>VLOOKUP(A210,'[1]Carcass '!$C$107:$I$399,7,FALSE)</f>
        <v>363</v>
      </c>
    </row>
    <row r="211" spans="1:21" x14ac:dyDescent="0.2">
      <c r="A211" s="94">
        <v>4738</v>
      </c>
      <c r="B211" s="87">
        <f>VLOOKUP(A211,[1]Assign!$A:$D,4,FALSE)</f>
        <v>634</v>
      </c>
      <c r="C211" s="4">
        <v>2</v>
      </c>
      <c r="D211" s="4">
        <v>314</v>
      </c>
      <c r="E211" s="4" t="str">
        <f>VLOOKUP(A211,[1]Assign!$A:$I,9,FALSE)</f>
        <v>25% MDGS Variable</v>
      </c>
      <c r="F211" s="4">
        <f>VLOOKUP(A211,'[1]Carcass '!$C$105:$D$397,2,FALSE)</f>
        <v>921</v>
      </c>
      <c r="G211" s="4">
        <f t="shared" si="36"/>
        <v>1461.9047619047619</v>
      </c>
      <c r="H211" s="31">
        <f t="shared" si="37"/>
        <v>4.2240038872691938</v>
      </c>
      <c r="I211" s="4">
        <f>VLOOKUP(D211,'[1]DMO head'!$A$2:$D$49,4,FALSE)</f>
        <v>23.926712488585853</v>
      </c>
      <c r="J211" s="19">
        <f t="shared" si="38"/>
        <v>827.90476190476193</v>
      </c>
      <c r="L211" s="4">
        <f>VLOOKUP(A211,'[1]Carcass '!$C$10:$J$397,8,FALSE)</f>
        <v>0</v>
      </c>
      <c r="M211" s="4">
        <f t="shared" si="39"/>
        <v>0</v>
      </c>
      <c r="N211" s="4">
        <f t="shared" si="40"/>
        <v>0</v>
      </c>
      <c r="O211" s="4">
        <f t="shared" si="41"/>
        <v>0</v>
      </c>
      <c r="P211" s="4">
        <f t="shared" si="42"/>
        <v>0</v>
      </c>
      <c r="Q211" s="4">
        <f t="shared" si="43"/>
        <v>0</v>
      </c>
      <c r="R211" s="19">
        <f>VLOOKUP(A211,'[1]Carcass '!$C$107:$E$399,3,FALSE)</f>
        <v>14</v>
      </c>
      <c r="S211" s="4">
        <f>VLOOKUP(A211,'[1]Carcass '!$C$107:$F$399,4,FALSE)</f>
        <v>3.7</v>
      </c>
      <c r="T211" s="4">
        <f>VLOOKUP(A211,'[1]Carcass '!$C$10:$G$397,5, FALSE)</f>
        <v>0.75</v>
      </c>
      <c r="U211" s="4">
        <f>VLOOKUP(A211,'[1]Carcass '!$C$107:$I$399,7,FALSE)</f>
        <v>535</v>
      </c>
    </row>
    <row r="212" spans="1:21" x14ac:dyDescent="0.2">
      <c r="A212" s="94">
        <v>4380</v>
      </c>
      <c r="B212" s="87">
        <f>VLOOKUP(A212,[1]Assign!$A:$D,4,FALSE)</f>
        <v>617</v>
      </c>
      <c r="C212" s="4">
        <v>2</v>
      </c>
      <c r="D212" s="4">
        <v>315</v>
      </c>
      <c r="E212" s="4" t="str">
        <f>VLOOKUP(A212,[1]Assign!$A:$I,9,FALSE)</f>
        <v xml:space="preserve">25% MDGS Constant </v>
      </c>
      <c r="F212" s="4">
        <f>VLOOKUP(A212,'[1]Carcass '!$C$105:$D$397,2,FALSE)</f>
        <v>809</v>
      </c>
      <c r="G212" s="4">
        <f t="shared" si="36"/>
        <v>1284.1269841269841</v>
      </c>
      <c r="H212" s="31">
        <f t="shared" si="37"/>
        <v>3.4037091026886945</v>
      </c>
      <c r="I212" s="4">
        <f>VLOOKUP(D212,'[1]DMO head'!$A$2:$D$49,4,FALSE)</f>
        <v>23.392790065062279</v>
      </c>
      <c r="J212" s="19">
        <f t="shared" si="38"/>
        <v>667.1269841269841</v>
      </c>
      <c r="L212" s="4">
        <f>VLOOKUP(A212,'[1]Carcass '!$C$10:$J$397,8,FALSE)</f>
        <v>0</v>
      </c>
      <c r="M212" s="4">
        <f t="shared" si="39"/>
        <v>0</v>
      </c>
      <c r="N212" s="4">
        <f t="shared" si="40"/>
        <v>0</v>
      </c>
      <c r="O212" s="4">
        <f t="shared" si="41"/>
        <v>0</v>
      </c>
      <c r="P212" s="4">
        <f t="shared" si="42"/>
        <v>0</v>
      </c>
      <c r="Q212" s="4">
        <f t="shared" si="43"/>
        <v>0</v>
      </c>
      <c r="R212" s="19">
        <f>VLOOKUP(A212,'[1]Carcass '!$C$107:$E$399,3,FALSE)</f>
        <v>13.6</v>
      </c>
      <c r="S212" s="4">
        <f>VLOOKUP(A212,'[1]Carcass '!$C$107:$F$399,4,FALSE)</f>
        <v>3.4</v>
      </c>
      <c r="T212" s="4">
        <f>VLOOKUP(A212,'[1]Carcass '!$C$10:$G$397,5, FALSE)</f>
        <v>0.57999999999999996</v>
      </c>
      <c r="U212" s="4">
        <f>VLOOKUP(A212,'[1]Carcass '!$C$107:$I$399,7,FALSE)</f>
        <v>468</v>
      </c>
    </row>
    <row r="213" spans="1:21" x14ac:dyDescent="0.2">
      <c r="A213" s="94">
        <v>4314</v>
      </c>
      <c r="B213" s="87">
        <f>VLOOKUP(A213,[1]Assign!$A:$D,4,FALSE)</f>
        <v>632</v>
      </c>
      <c r="C213" s="4">
        <v>2</v>
      </c>
      <c r="D213" s="4">
        <v>316</v>
      </c>
      <c r="E213" s="4" t="str">
        <f>VLOOKUP(A213,[1]Assign!$A:$I,9,FALSE)</f>
        <v xml:space="preserve">10% MDGS Constant </v>
      </c>
      <c r="F213" s="4">
        <f>VLOOKUP(A213,'[1]Carcass '!$C$105:$D$397,2,FALSE)</f>
        <v>775</v>
      </c>
      <c r="G213" s="4">
        <f t="shared" si="36"/>
        <v>1230.1587301587301</v>
      </c>
      <c r="H213" s="31">
        <f t="shared" si="37"/>
        <v>3.0518302559118884</v>
      </c>
      <c r="I213" s="4">
        <f>VLOOKUP(D213,'[1]DMO head'!$A$2:$D$49,4,FALSE)</f>
        <v>23.276936370757571</v>
      </c>
      <c r="J213" s="19">
        <f t="shared" si="38"/>
        <v>598.15873015873012</v>
      </c>
      <c r="L213" s="4" t="str">
        <f>VLOOKUP(A213,'[1]Carcass '!$C$10:$J$397,8,FALSE)</f>
        <v>A-</v>
      </c>
      <c r="M213" s="4">
        <f t="shared" si="39"/>
        <v>0</v>
      </c>
      <c r="N213" s="4">
        <f t="shared" si="40"/>
        <v>1</v>
      </c>
      <c r="O213" s="4">
        <f t="shared" si="41"/>
        <v>0</v>
      </c>
      <c r="P213" s="4">
        <f t="shared" si="42"/>
        <v>1</v>
      </c>
      <c r="Q213" s="4">
        <f t="shared" si="43"/>
        <v>0</v>
      </c>
      <c r="R213" s="19" t="str">
        <f>VLOOKUP(A213,'[1]Carcass '!$C$107:$E$399,3,FALSE)</f>
        <v>.</v>
      </c>
      <c r="S213" s="4" t="str">
        <f>VLOOKUP(A213,'[1]Carcass '!$C$107:$F$399,4,FALSE)</f>
        <v>.</v>
      </c>
    </row>
    <row r="214" spans="1:21" x14ac:dyDescent="0.2">
      <c r="A214" s="94">
        <v>4608</v>
      </c>
      <c r="B214" s="87">
        <f>VLOOKUP(A214,[1]Assign!$A:$D,4,FALSE)</f>
        <v>628</v>
      </c>
      <c r="C214" s="4">
        <v>2</v>
      </c>
      <c r="D214" s="4">
        <v>317</v>
      </c>
      <c r="E214" s="4" t="str">
        <f>VLOOKUP(A214,[1]Assign!$A:$I,9,FALSE)</f>
        <v>Control</v>
      </c>
      <c r="F214" s="4">
        <f>VLOOKUP(A214,'[1]Carcass '!$C$105:$D$397,2,FALSE)</f>
        <v>832</v>
      </c>
      <c r="G214" s="4">
        <f t="shared" si="36"/>
        <v>1320.6349206349207</v>
      </c>
      <c r="H214" s="31">
        <f t="shared" si="37"/>
        <v>3.5338516358924528</v>
      </c>
      <c r="I214" s="4">
        <f>VLOOKUP(D214,'[1]DMO head'!$A$2:$D$49,4,FALSE)</f>
        <v>23.188136258216968</v>
      </c>
      <c r="J214" s="19">
        <f t="shared" si="38"/>
        <v>692.63492063492072</v>
      </c>
      <c r="L214" s="4">
        <f>VLOOKUP(A214,'[1]Carcass '!$C$10:$J$397,8,FALSE)</f>
        <v>0</v>
      </c>
      <c r="M214" s="4">
        <f t="shared" si="39"/>
        <v>0</v>
      </c>
      <c r="N214" s="4">
        <f t="shared" si="40"/>
        <v>0</v>
      </c>
      <c r="O214" s="4">
        <f t="shared" si="41"/>
        <v>0</v>
      </c>
      <c r="P214" s="4">
        <f t="shared" si="42"/>
        <v>0</v>
      </c>
      <c r="Q214" s="4">
        <f t="shared" si="43"/>
        <v>0</v>
      </c>
      <c r="R214" s="19">
        <f>VLOOKUP(A214,'[1]Carcass '!$C$107:$E$399,3,FALSE)</f>
        <v>13.4</v>
      </c>
      <c r="S214" s="4">
        <f>VLOOKUP(A214,'[1]Carcass '!$C$107:$F$399,4,FALSE)</f>
        <v>3.1</v>
      </c>
      <c r="T214" s="4">
        <f>VLOOKUP(A214,'[1]Carcass '!$C$10:$G$397,5, FALSE)</f>
        <v>0.44000000000000006</v>
      </c>
      <c r="U214" s="4">
        <f>VLOOKUP(A214,'[1]Carcass '!$C$107:$I$399,7,FALSE)</f>
        <v>516</v>
      </c>
    </row>
    <row r="215" spans="1:21" x14ac:dyDescent="0.2">
      <c r="A215" s="94">
        <v>4374</v>
      </c>
      <c r="B215" s="87">
        <f>VLOOKUP(A215,[1]Assign!$A:$D,4,FALSE)</f>
        <v>637</v>
      </c>
      <c r="C215" s="4">
        <v>2</v>
      </c>
      <c r="D215" s="4">
        <v>318</v>
      </c>
      <c r="E215" s="4" t="str">
        <f>VLOOKUP(A215,[1]Assign!$A:$I,9,FALSE)</f>
        <v>10% MDGS Variable</v>
      </c>
      <c r="F215" s="4">
        <f>VLOOKUP(A215,'[1]Carcass '!$C$105:$D$397,2,FALSE)</f>
        <v>899</v>
      </c>
      <c r="G215" s="4">
        <f t="shared" si="36"/>
        <v>1426.984126984127</v>
      </c>
      <c r="H215" s="31">
        <f t="shared" si="37"/>
        <v>4.0305312601230971</v>
      </c>
      <c r="I215" s="4">
        <f>VLOOKUP(D215,'[1]DMO head'!$A$2:$D$49,4,FALSE)</f>
        <v>23.479164833812241</v>
      </c>
      <c r="J215" s="19">
        <f t="shared" si="38"/>
        <v>789.98412698412699</v>
      </c>
      <c r="L215" s="4" t="str">
        <f>VLOOKUP(A215,'[1]Carcass '!$C$10:$J$397,8,FALSE)</f>
        <v>C</v>
      </c>
      <c r="M215" s="4">
        <f t="shared" si="39"/>
        <v>0</v>
      </c>
      <c r="N215" s="4">
        <f t="shared" si="40"/>
        <v>0</v>
      </c>
      <c r="O215" s="4">
        <f t="shared" si="41"/>
        <v>0</v>
      </c>
      <c r="P215" s="4">
        <f t="shared" si="42"/>
        <v>0</v>
      </c>
      <c r="Q215" s="4">
        <f t="shared" si="43"/>
        <v>1</v>
      </c>
      <c r="R215" s="19">
        <f>VLOOKUP(A215,'[1]Carcass '!$C$107:$E$399,3,FALSE)</f>
        <v>14.4</v>
      </c>
      <c r="S215" s="4">
        <f>VLOOKUP(A215,'[1]Carcass '!$C$107:$F$399,4,FALSE)</f>
        <v>3.55</v>
      </c>
      <c r="T215" s="4">
        <f>VLOOKUP(A215,'[1]Carcass '!$C$10:$G$397,5, FALSE)</f>
        <v>0.66</v>
      </c>
      <c r="U215" s="4">
        <f>VLOOKUP(A215,'[1]Carcass '!$C$107:$I$399,7,FALSE)</f>
        <v>749</v>
      </c>
    </row>
    <row r="216" spans="1:21" x14ac:dyDescent="0.2">
      <c r="A216" s="94">
        <v>4541</v>
      </c>
      <c r="B216" s="87">
        <f>VLOOKUP(A216,[1]Assign!$A:$D,4,FALSE)</f>
        <v>635</v>
      </c>
      <c r="C216" s="4">
        <v>2</v>
      </c>
      <c r="D216" s="4">
        <v>215</v>
      </c>
      <c r="E216" s="4" t="str">
        <f>VLOOKUP(A216,[1]Assign!$A:$I,9,FALSE)</f>
        <v>10% MDGS Variable</v>
      </c>
      <c r="F216" s="4">
        <f>VLOOKUP(A216,'[1]Carcass '!$C$105:$D$397,2,FALSE)</f>
        <v>830</v>
      </c>
      <c r="G216" s="4">
        <f t="shared" si="36"/>
        <v>1317.4603174603174</v>
      </c>
      <c r="H216" s="31">
        <f t="shared" si="37"/>
        <v>3.4819403952057009</v>
      </c>
      <c r="I216" s="4">
        <f>VLOOKUP(D216,'[1]DMO head'!$A$2:$D$49,4,FALSE)</f>
        <v>21.5797851350505</v>
      </c>
      <c r="J216" s="19">
        <f t="shared" si="38"/>
        <v>682.46031746031736</v>
      </c>
      <c r="L216" s="4">
        <f>VLOOKUP(A216,'[1]Carcass '!$C$10:$J$397,8,FALSE)</f>
        <v>0</v>
      </c>
      <c r="M216" s="4">
        <f t="shared" si="39"/>
        <v>0</v>
      </c>
      <c r="N216" s="4">
        <f t="shared" si="40"/>
        <v>0</v>
      </c>
      <c r="O216" s="4">
        <f t="shared" si="41"/>
        <v>0</v>
      </c>
      <c r="P216" s="4">
        <f t="shared" si="42"/>
        <v>0</v>
      </c>
      <c r="Q216" s="4">
        <f t="shared" si="43"/>
        <v>0</v>
      </c>
      <c r="R216" s="19">
        <f>VLOOKUP(A216,'[1]Carcass '!$C$107:$E$399,3,FALSE)</f>
        <v>16.600000000000001</v>
      </c>
      <c r="S216" s="4">
        <f>VLOOKUP(A216,'[1]Carcass '!$C$107:$F$399,4,FALSE)</f>
        <v>3.1</v>
      </c>
      <c r="T216" s="4">
        <f>VLOOKUP(A216,'[1]Carcass '!$C$10:$G$397,5, FALSE)</f>
        <v>0.6</v>
      </c>
      <c r="U216" s="4">
        <f>VLOOKUP(A216,'[1]Carcass '!$C$107:$I$399,7,FALSE)</f>
        <v>447</v>
      </c>
    </row>
    <row r="217" spans="1:21" x14ac:dyDescent="0.2">
      <c r="A217" s="94">
        <v>4630</v>
      </c>
      <c r="B217" s="87">
        <f>VLOOKUP(A217,[1]Assign!$A:$D,4,FALSE)</f>
        <v>636</v>
      </c>
      <c r="C217" s="4">
        <v>2</v>
      </c>
      <c r="D217" s="4">
        <v>216</v>
      </c>
      <c r="E217" s="4" t="str">
        <f>VLOOKUP(A217,[1]Assign!$A:$I,9,FALSE)</f>
        <v xml:space="preserve">10% MDGS Constant </v>
      </c>
      <c r="F217" s="4">
        <f>VLOOKUP(A217,'[1]Carcass '!$C$105:$D$397,2,FALSE)</f>
        <v>886</v>
      </c>
      <c r="G217" s="4">
        <f t="shared" si="36"/>
        <v>1406.3492063492063</v>
      </c>
      <c r="H217" s="31">
        <f t="shared" si="37"/>
        <v>3.9303530936183995</v>
      </c>
      <c r="I217" s="4">
        <f>VLOOKUP(D217,'[1]DMO head'!$A$2:$D$49,4,FALSE)</f>
        <v>21.830062429040414</v>
      </c>
      <c r="J217" s="19">
        <f t="shared" si="38"/>
        <v>770.34920634920627</v>
      </c>
      <c r="L217" s="4">
        <f>VLOOKUP(A217,'[1]Carcass '!$C$10:$J$397,8,FALSE)</f>
        <v>0</v>
      </c>
      <c r="M217" s="4">
        <f t="shared" si="39"/>
        <v>0</v>
      </c>
      <c r="N217" s="4">
        <f t="shared" si="40"/>
        <v>0</v>
      </c>
      <c r="O217" s="4">
        <f t="shared" si="41"/>
        <v>0</v>
      </c>
      <c r="P217" s="4">
        <f t="shared" si="42"/>
        <v>0</v>
      </c>
      <c r="Q217" s="4">
        <f t="shared" si="43"/>
        <v>0</v>
      </c>
      <c r="R217" s="19">
        <f>VLOOKUP(A217,'[1]Carcass '!$C$107:$E$399,3,FALSE)</f>
        <v>13.9</v>
      </c>
      <c r="S217" s="4">
        <f>VLOOKUP(A217,'[1]Carcass '!$C$107:$F$399,4,FALSE)</f>
        <v>4</v>
      </c>
      <c r="T217" s="4">
        <f>VLOOKUP(A217,'[1]Carcass '!$C$10:$G$397,5, FALSE)</f>
        <v>0.8</v>
      </c>
      <c r="U217" s="4">
        <f>VLOOKUP(A217,'[1]Carcass '!$C$107:$I$399,7,FALSE)</f>
        <v>547</v>
      </c>
    </row>
    <row r="218" spans="1:21" x14ac:dyDescent="0.2">
      <c r="A218" s="94">
        <v>4673</v>
      </c>
      <c r="B218" s="87">
        <f>VLOOKUP(A218,[1]Assign!$A:$D,4,FALSE)</f>
        <v>636</v>
      </c>
      <c r="C218" s="4">
        <v>2</v>
      </c>
      <c r="D218" s="4">
        <v>301</v>
      </c>
      <c r="E218" s="4" t="str">
        <f>VLOOKUP(A218,[1]Assign!$A:$I,9,FALSE)</f>
        <v xml:space="preserve">25% MDGS Constant </v>
      </c>
      <c r="F218" s="4">
        <f>VLOOKUP(A218,'[1]Carcass '!$C$105:$D$397,2,FALSE)</f>
        <v>934</v>
      </c>
      <c r="G218" s="4">
        <f t="shared" si="36"/>
        <v>1482.5396825396824</v>
      </c>
      <c r="H218" s="31">
        <f t="shared" si="37"/>
        <v>4.3190800129575635</v>
      </c>
      <c r="I218" s="4">
        <f>VLOOKUP(D218,'[1]DMO head'!$A$2:$D$49,4,FALSE)</f>
        <v>22.630176042777777</v>
      </c>
      <c r="J218" s="19">
        <f t="shared" si="38"/>
        <v>846.53968253968242</v>
      </c>
      <c r="L218" s="4" t="str">
        <f>VLOOKUP(A218,'[1]Carcass '!$C$10:$J$397,8,FALSE)</f>
        <v>A-</v>
      </c>
      <c r="M218" s="4">
        <f t="shared" si="39"/>
        <v>0</v>
      </c>
      <c r="N218" s="4">
        <f t="shared" si="40"/>
        <v>1</v>
      </c>
      <c r="O218" s="4">
        <f t="shared" si="41"/>
        <v>0</v>
      </c>
      <c r="P218" s="4">
        <f t="shared" si="42"/>
        <v>1</v>
      </c>
      <c r="Q218" s="4">
        <f t="shared" si="43"/>
        <v>0</v>
      </c>
      <c r="R218" s="19">
        <f>VLOOKUP(A218,'[1]Carcass '!$C$107:$E$399,3,FALSE)</f>
        <v>15.1</v>
      </c>
      <c r="S218" s="4">
        <f>VLOOKUP(A218,'[1]Carcass '!$C$107:$F$399,4,FALSE)</f>
        <v>3.8</v>
      </c>
      <c r="T218" s="4">
        <f>VLOOKUP(A218,'[1]Carcass '!$C$10:$G$397,5, FALSE)</f>
        <v>0.74</v>
      </c>
      <c r="U218" s="4">
        <f>VLOOKUP(A218,'[1]Carcass '!$C$107:$I$399,7,FALSE)</f>
        <v>537</v>
      </c>
    </row>
    <row r="219" spans="1:21" x14ac:dyDescent="0.2">
      <c r="A219" s="94">
        <v>4487</v>
      </c>
      <c r="B219" s="87">
        <f>VLOOKUP(A219,[1]Assign!$A:$D,4,FALSE)</f>
        <v>634</v>
      </c>
      <c r="C219" s="4">
        <v>2</v>
      </c>
      <c r="D219" s="4">
        <v>303</v>
      </c>
      <c r="E219" s="4" t="str">
        <f>VLOOKUP(A219,[1]Assign!$A:$I,9,FALSE)</f>
        <v>Control</v>
      </c>
      <c r="F219" s="4">
        <f>VLOOKUP(A219,'[1]Carcass '!$C$105:$D$397,2,FALSE)</f>
        <v>837</v>
      </c>
      <c r="G219" s="4">
        <f t="shared" si="36"/>
        <v>1328.5714285714287</v>
      </c>
      <c r="H219" s="31">
        <f t="shared" si="37"/>
        <v>3.5437317784256566</v>
      </c>
      <c r="I219" s="4">
        <f>VLOOKUP(D219,'[1]DMO head'!$A$2:$D$49,4,FALSE)</f>
        <v>21.256780292032506</v>
      </c>
      <c r="J219" s="19">
        <f t="shared" si="38"/>
        <v>694.57142857142867</v>
      </c>
      <c r="L219" s="4">
        <f>VLOOKUP(A219,'[1]Carcass '!$C$10:$J$397,8,FALSE)</f>
        <v>0</v>
      </c>
      <c r="M219" s="4">
        <f t="shared" si="39"/>
        <v>0</v>
      </c>
      <c r="N219" s="4">
        <f t="shared" si="40"/>
        <v>0</v>
      </c>
      <c r="O219" s="4">
        <f t="shared" si="41"/>
        <v>0</v>
      </c>
      <c r="P219" s="4">
        <f t="shared" si="42"/>
        <v>0</v>
      </c>
      <c r="Q219" s="4">
        <f t="shared" si="43"/>
        <v>0</v>
      </c>
      <c r="R219" s="19">
        <f>VLOOKUP(A219,'[1]Carcass '!$C$107:$E$399,3,FALSE)</f>
        <v>14.2</v>
      </c>
      <c r="S219" s="4">
        <f>VLOOKUP(A219,'[1]Carcass '!$C$107:$F$399,4,FALSE)</f>
        <v>3.4</v>
      </c>
      <c r="T219" s="4">
        <f>VLOOKUP(A219,'[1]Carcass '!$C$10:$G$397,5, FALSE)</f>
        <v>0.57999999999999996</v>
      </c>
      <c r="U219" s="4">
        <f>VLOOKUP(A219,'[1]Carcass '!$C$107:$I$399,7,FALSE)</f>
        <v>610</v>
      </c>
    </row>
    <row r="220" spans="1:21" x14ac:dyDescent="0.2">
      <c r="A220" s="94">
        <v>4369</v>
      </c>
      <c r="B220" s="87">
        <f>VLOOKUP(A220,[1]Assign!$A:$D,4,FALSE)</f>
        <v>648</v>
      </c>
      <c r="C220" s="4">
        <v>2</v>
      </c>
      <c r="D220" s="4">
        <v>304</v>
      </c>
      <c r="E220" s="4" t="str">
        <f>VLOOKUP(A220,[1]Assign!$A:$I,9,FALSE)</f>
        <v>10% MDGS Variable</v>
      </c>
      <c r="F220" s="4">
        <f>VLOOKUP(A220,'[1]Carcass '!$C$105:$D$397,2,FALSE)</f>
        <v>874</v>
      </c>
      <c r="G220" s="4">
        <f t="shared" si="36"/>
        <v>1387.3015873015872</v>
      </c>
      <c r="H220" s="31">
        <f t="shared" si="37"/>
        <v>3.77194687398769</v>
      </c>
      <c r="I220" s="4">
        <f>VLOOKUP(D220,'[1]DMO head'!$A$2:$D$49,4,FALSE)</f>
        <v>21.282594490991229</v>
      </c>
      <c r="J220" s="19">
        <f t="shared" si="38"/>
        <v>739.30158730158723</v>
      </c>
      <c r="L220" s="4">
        <f>VLOOKUP(A220,'[1]Carcass '!$C$10:$J$397,8,FALSE)</f>
        <v>0</v>
      </c>
      <c r="M220" s="4">
        <f t="shared" si="39"/>
        <v>0</v>
      </c>
      <c r="N220" s="4">
        <f t="shared" si="40"/>
        <v>0</v>
      </c>
      <c r="O220" s="4">
        <f t="shared" si="41"/>
        <v>0</v>
      </c>
      <c r="P220" s="4">
        <f t="shared" si="42"/>
        <v>0</v>
      </c>
      <c r="Q220" s="4">
        <f t="shared" si="43"/>
        <v>0</v>
      </c>
      <c r="R220" s="19">
        <f>VLOOKUP(A220,'[1]Carcass '!$C$107:$E$399,3,FALSE)</f>
        <v>14.3</v>
      </c>
      <c r="S220" s="4">
        <f>VLOOKUP(A220,'[1]Carcass '!$C$107:$F$399,4,FALSE)</f>
        <v>3.65</v>
      </c>
      <c r="T220" s="4">
        <f>VLOOKUP(A220,'[1]Carcass '!$C$10:$G$397,5, FALSE)</f>
        <v>0.84</v>
      </c>
      <c r="U220" s="4">
        <f>VLOOKUP(A220,'[1]Carcass '!$C$107:$I$399,7,FALSE)</f>
        <v>625</v>
      </c>
    </row>
    <row r="221" spans="1:21" x14ac:dyDescent="0.2">
      <c r="A221" s="94">
        <v>4430</v>
      </c>
      <c r="B221" s="87">
        <f>VLOOKUP(A221,[1]Assign!$A:$D,4,FALSE)</f>
        <v>637</v>
      </c>
      <c r="C221" s="4">
        <v>2</v>
      </c>
      <c r="D221" s="4">
        <v>305</v>
      </c>
      <c r="E221" s="4" t="str">
        <f>VLOOKUP(A221,[1]Assign!$A:$I,9,FALSE)</f>
        <v xml:space="preserve">10% MDGS Constant </v>
      </c>
      <c r="F221" s="4">
        <f>VLOOKUP(A221,'[1]Carcass '!$C$105:$D$397,2,FALSE)</f>
        <v>766</v>
      </c>
      <c r="G221" s="4">
        <f t="shared" si="36"/>
        <v>1215.8730158730159</v>
      </c>
      <c r="H221" s="31">
        <f t="shared" si="37"/>
        <v>2.9534337544541627</v>
      </c>
      <c r="I221" s="4">
        <f>VLOOKUP(D221,'[1]DMO head'!$A$2:$D$49,4,FALSE)</f>
        <v>20.599573820131273</v>
      </c>
      <c r="J221" s="19">
        <f t="shared" si="38"/>
        <v>578.8730158730159</v>
      </c>
      <c r="L221" s="4">
        <f>VLOOKUP(A221,'[1]Carcass '!$C$10:$J$397,8,FALSE)</f>
        <v>0</v>
      </c>
      <c r="M221" s="4">
        <f t="shared" si="39"/>
        <v>0</v>
      </c>
      <c r="N221" s="4">
        <f t="shared" si="40"/>
        <v>0</v>
      </c>
      <c r="O221" s="4">
        <f t="shared" si="41"/>
        <v>0</v>
      </c>
      <c r="P221" s="4">
        <f t="shared" si="42"/>
        <v>0</v>
      </c>
      <c r="Q221" s="4">
        <f t="shared" si="43"/>
        <v>0</v>
      </c>
      <c r="R221" s="19">
        <f>VLOOKUP(A221,'[1]Carcass '!$C$107:$E$399,3,FALSE)</f>
        <v>12.9</v>
      </c>
      <c r="S221" s="4">
        <f>VLOOKUP(A221,'[1]Carcass '!$C$107:$F$399,4,FALSE)</f>
        <v>3.45</v>
      </c>
      <c r="T221" s="4">
        <f>VLOOKUP(A221,'[1]Carcass '!$C$10:$G$397,5, FALSE)</f>
        <v>0.64400000000000002</v>
      </c>
      <c r="U221" s="4">
        <f>VLOOKUP(A221,'[1]Carcass '!$C$107:$I$399,7,FALSE)</f>
        <v>443</v>
      </c>
    </row>
    <row r="222" spans="1:21" x14ac:dyDescent="0.2">
      <c r="A222" s="94">
        <v>4417</v>
      </c>
      <c r="B222" s="87">
        <f>VLOOKUP(A222,[1]Assign!$A:$D,4,FALSE)</f>
        <v>634</v>
      </c>
      <c r="C222" s="4">
        <v>2</v>
      </c>
      <c r="D222" s="4">
        <v>306</v>
      </c>
      <c r="E222" s="4" t="str">
        <f>VLOOKUP(A222,[1]Assign!$A:$I,9,FALSE)</f>
        <v>Control</v>
      </c>
      <c r="F222" s="4">
        <f>VLOOKUP(A222,'[1]Carcass '!$C$105:$D$397,2,FALSE)</f>
        <v>863</v>
      </c>
      <c r="G222" s="4">
        <f t="shared" si="36"/>
        <v>1369.8412698412699</v>
      </c>
      <c r="H222" s="31">
        <f t="shared" si="37"/>
        <v>3.7542921930677036</v>
      </c>
      <c r="I222" s="4">
        <f>VLOOKUP(D222,'[1]DMO head'!$A$2:$D$49,4,FALSE)</f>
        <v>23.243543323568986</v>
      </c>
      <c r="J222" s="19">
        <f t="shared" si="38"/>
        <v>735.84126984126988</v>
      </c>
      <c r="L222" s="4" t="str">
        <f>VLOOKUP(A222,'[1]Carcass '!$C$10:$J$397,8,FALSE)</f>
        <v>A-</v>
      </c>
      <c r="M222" s="4">
        <f t="shared" si="39"/>
        <v>0</v>
      </c>
      <c r="N222" s="4">
        <f t="shared" si="40"/>
        <v>1</v>
      </c>
      <c r="O222" s="4">
        <f t="shared" si="41"/>
        <v>0</v>
      </c>
      <c r="P222" s="4">
        <f t="shared" si="42"/>
        <v>1</v>
      </c>
      <c r="Q222" s="4">
        <f t="shared" si="43"/>
        <v>0</v>
      </c>
      <c r="R222" s="19">
        <f>VLOOKUP(A222,'[1]Carcass '!$C$107:$E$399,3,FALSE)</f>
        <v>11.83</v>
      </c>
      <c r="S222" s="4">
        <f>VLOOKUP(A222,'[1]Carcass '!$C$107:$F$399,4,FALSE)</f>
        <v>4.2</v>
      </c>
      <c r="T222" s="4">
        <f>VLOOKUP(A222,'[1]Carcass '!$C$10:$G$397,5, FALSE)</f>
        <v>1.0880000000000001</v>
      </c>
      <c r="U222" s="4">
        <f>VLOOKUP(A222,'[1]Carcass '!$C$107:$I$399,7,FALSE)</f>
        <v>582</v>
      </c>
    </row>
    <row r="223" spans="1:21" x14ac:dyDescent="0.2">
      <c r="A223" s="94">
        <v>4597</v>
      </c>
      <c r="B223" s="87">
        <f>VLOOKUP(A223,[1]Assign!$A:$D,4,FALSE)</f>
        <v>627</v>
      </c>
      <c r="C223" s="4">
        <v>2</v>
      </c>
      <c r="D223" s="4">
        <v>307</v>
      </c>
      <c r="E223" s="4" t="str">
        <f>VLOOKUP(A223,[1]Assign!$A:$I,9,FALSE)</f>
        <v>25% MDGS Variable</v>
      </c>
      <c r="F223" s="4">
        <f>VLOOKUP(A223,'[1]Carcass '!$C$105:$D$397,2,FALSE)</f>
        <v>793</v>
      </c>
      <c r="G223" s="4">
        <f t="shared" si="36"/>
        <v>1258.7301587301588</v>
      </c>
      <c r="H223" s="31">
        <f t="shared" si="37"/>
        <v>3.2231130547457081</v>
      </c>
      <c r="I223" s="4">
        <f>VLOOKUP(D223,'[1]DMO head'!$A$2:$D$49,4,FALSE)</f>
        <v>21.697158876111111</v>
      </c>
      <c r="J223" s="19">
        <f t="shared" si="38"/>
        <v>631.73015873015879</v>
      </c>
      <c r="L223" s="4" t="str">
        <f>VLOOKUP(A223,'[1]Carcass '!$C$10:$J$397,8,FALSE)</f>
        <v>C</v>
      </c>
      <c r="M223" s="4">
        <f t="shared" si="39"/>
        <v>0</v>
      </c>
      <c r="N223" s="4">
        <f t="shared" si="40"/>
        <v>0</v>
      </c>
      <c r="O223" s="4">
        <f t="shared" si="41"/>
        <v>0</v>
      </c>
      <c r="P223" s="4">
        <f t="shared" si="42"/>
        <v>0</v>
      </c>
      <c r="Q223" s="4">
        <f t="shared" si="43"/>
        <v>1</v>
      </c>
      <c r="R223" s="19">
        <f>VLOOKUP(A223,'[1]Carcass '!$C$107:$E$399,3,FALSE)</f>
        <v>13.7</v>
      </c>
      <c r="S223" s="4">
        <f>VLOOKUP(A223,'[1]Carcass '!$C$107:$F$399,4,FALSE)</f>
        <v>3.32</v>
      </c>
      <c r="T223" s="4">
        <f>VLOOKUP(A223,'[1]Carcass '!$C$10:$G$397,5, FALSE)</f>
        <v>0.54</v>
      </c>
      <c r="U223" s="4">
        <f>VLOOKUP(A223,'[1]Carcass '!$C$107:$I$399,7,FALSE)</f>
        <v>388</v>
      </c>
    </row>
    <row r="224" spans="1:21" x14ac:dyDescent="0.2">
      <c r="A224" s="94">
        <v>4429</v>
      </c>
      <c r="B224" s="87">
        <f>VLOOKUP(A224,[1]Assign!$A:$D,4,FALSE)</f>
        <v>637</v>
      </c>
      <c r="C224" s="4">
        <v>2</v>
      </c>
      <c r="D224" s="4">
        <v>308</v>
      </c>
      <c r="E224" s="4" t="str">
        <f>VLOOKUP(A224,[1]Assign!$A:$I,9,FALSE)</f>
        <v xml:space="preserve">25% MDGS Constant </v>
      </c>
      <c r="F224" s="4">
        <f>VLOOKUP(A224,'[1]Carcass '!$C$105:$D$397,2,FALSE)</f>
        <v>841</v>
      </c>
      <c r="G224" s="4">
        <f t="shared" si="36"/>
        <v>1334.9206349206349</v>
      </c>
      <c r="H224" s="31">
        <f t="shared" si="37"/>
        <v>3.5608195659216069</v>
      </c>
      <c r="I224" s="4">
        <f>VLOOKUP(D224,'[1]DMO head'!$A$2:$D$49,4,FALSE)</f>
        <v>23.183092460704504</v>
      </c>
      <c r="J224" s="19">
        <f t="shared" si="38"/>
        <v>697.92063492063494</v>
      </c>
      <c r="L224" s="4" t="str">
        <f>VLOOKUP(A224,'[1]Carcass '!$C$10:$J$397,8,FALSE)</f>
        <v>A+</v>
      </c>
      <c r="M224" s="4">
        <f t="shared" si="39"/>
        <v>0</v>
      </c>
      <c r="N224" s="4">
        <f t="shared" si="40"/>
        <v>0</v>
      </c>
      <c r="O224" s="4">
        <f t="shared" si="41"/>
        <v>1</v>
      </c>
      <c r="P224" s="4">
        <f t="shared" si="42"/>
        <v>1</v>
      </c>
      <c r="Q224" s="4">
        <f t="shared" si="43"/>
        <v>0</v>
      </c>
      <c r="R224" s="19">
        <f>VLOOKUP(A224,'[1]Carcass '!$C$107:$E$399,3,FALSE)</f>
        <v>12.85</v>
      </c>
      <c r="S224" s="4">
        <f>VLOOKUP(A224,'[1]Carcass '!$C$107:$F$399,4,FALSE)</f>
        <v>3.8</v>
      </c>
      <c r="T224" s="4">
        <f>VLOOKUP(A224,'[1]Carcass '!$C$10:$G$397,5, FALSE)</f>
        <v>0.73</v>
      </c>
      <c r="U224" s="4">
        <f>VLOOKUP(A224,'[1]Carcass '!$C$107:$I$399,7,FALSE)</f>
        <v>752</v>
      </c>
    </row>
    <row r="225" spans="1:21" x14ac:dyDescent="0.2">
      <c r="A225" s="94">
        <v>4393</v>
      </c>
      <c r="B225" s="87">
        <f>VLOOKUP(A225,[1]Assign!$A:$D,4,FALSE)</f>
        <v>631</v>
      </c>
      <c r="C225" s="4">
        <v>2</v>
      </c>
      <c r="D225" s="4">
        <v>309</v>
      </c>
      <c r="E225" s="4" t="str">
        <f>VLOOKUP(A225,[1]Assign!$A:$I,9,FALSE)</f>
        <v>Control</v>
      </c>
      <c r="F225" s="4">
        <f>VLOOKUP(A225,'[1]Carcass '!$C$105:$D$397,2,FALSE)</f>
        <v>844</v>
      </c>
      <c r="G225" s="4">
        <f t="shared" si="36"/>
        <v>1339.6825396825398</v>
      </c>
      <c r="H225" s="31">
        <f t="shared" si="37"/>
        <v>3.6157272432782639</v>
      </c>
      <c r="I225" s="4">
        <f>VLOOKUP(D225,'[1]DMO head'!$A$2:$D$49,4,FALSE)</f>
        <v>22.382749735000004</v>
      </c>
      <c r="J225" s="19">
        <f t="shared" si="38"/>
        <v>708.68253968253975</v>
      </c>
      <c r="L225" s="4" t="str">
        <f>VLOOKUP(A225,'[1]Carcass '!$C$10:$J$397,8,FALSE)</f>
        <v>A-</v>
      </c>
      <c r="M225" s="4">
        <f t="shared" si="39"/>
        <v>0</v>
      </c>
      <c r="N225" s="4">
        <f t="shared" si="40"/>
        <v>1</v>
      </c>
      <c r="O225" s="4">
        <f t="shared" si="41"/>
        <v>0</v>
      </c>
      <c r="P225" s="4">
        <f t="shared" si="42"/>
        <v>1</v>
      </c>
      <c r="Q225" s="4">
        <f t="shared" si="43"/>
        <v>0</v>
      </c>
      <c r="R225" s="19">
        <f>VLOOKUP(A225,'[1]Carcass '!$C$107:$E$399,3,FALSE)</f>
        <v>15.6</v>
      </c>
      <c r="S225" s="4">
        <f>VLOOKUP(A225,'[1]Carcass '!$C$107:$F$399,4,FALSE)</f>
        <v>3</v>
      </c>
      <c r="T225" s="4">
        <f>VLOOKUP(A225,'[1]Carcass '!$C$10:$G$397,5, FALSE)</f>
        <v>0.47</v>
      </c>
      <c r="U225" s="4">
        <f>VLOOKUP(A225,'[1]Carcass '!$C$107:$I$399,7,FALSE)</f>
        <v>550</v>
      </c>
    </row>
    <row r="226" spans="1:21" x14ac:dyDescent="0.2">
      <c r="A226" s="94">
        <v>4440</v>
      </c>
      <c r="B226" s="87">
        <f>VLOOKUP(A226,[1]Assign!$A:$D,4,FALSE)</f>
        <v>643</v>
      </c>
      <c r="C226" s="4">
        <v>2</v>
      </c>
      <c r="D226" s="4">
        <v>310</v>
      </c>
      <c r="E226" s="4" t="str">
        <f>VLOOKUP(A226,[1]Assign!$A:$I,9,FALSE)</f>
        <v>10% MDGS Variable</v>
      </c>
      <c r="F226" s="4">
        <f>VLOOKUP(A226,'[1]Carcass '!$C$105:$D$397,2,FALSE)</f>
        <v>880</v>
      </c>
      <c r="G226" s="4">
        <f t="shared" si="36"/>
        <v>1396.8253968253969</v>
      </c>
      <c r="H226" s="31">
        <f t="shared" si="37"/>
        <v>3.8460479429867185</v>
      </c>
      <c r="I226" s="4">
        <f>VLOOKUP(D226,'[1]DMO head'!$A$2:$D$49,4,FALSE)</f>
        <v>23.18107161691918</v>
      </c>
      <c r="J226" s="19">
        <f t="shared" si="38"/>
        <v>753.82539682539687</v>
      </c>
      <c r="L226" s="4" t="str">
        <f>VLOOKUP(A226,'[1]Carcass '!$C$10:$J$397,8,FALSE)</f>
        <v>A-</v>
      </c>
      <c r="M226" s="4">
        <f t="shared" si="39"/>
        <v>0</v>
      </c>
      <c r="N226" s="4">
        <f t="shared" si="40"/>
        <v>1</v>
      </c>
      <c r="O226" s="4">
        <f t="shared" si="41"/>
        <v>0</v>
      </c>
      <c r="P226" s="4">
        <f t="shared" si="42"/>
        <v>1</v>
      </c>
      <c r="Q226" s="4">
        <f t="shared" si="43"/>
        <v>0</v>
      </c>
      <c r="R226" s="19">
        <f>VLOOKUP(A226,'[1]Carcass '!$C$107:$E$399,3,FALSE)</f>
        <v>14.72</v>
      </c>
      <c r="S226" s="4">
        <f>VLOOKUP(A226,'[1]Carcass '!$C$107:$F$399,4,FALSE)</f>
        <v>3.25</v>
      </c>
      <c r="T226" s="4">
        <f>VLOOKUP(A226,'[1]Carcass '!$C$10:$G$397,5, FALSE)</f>
        <v>0.59</v>
      </c>
      <c r="U226" s="4">
        <f>VLOOKUP(A226,'[1]Carcass '!$C$107:$I$399,7,FALSE)</f>
        <v>437</v>
      </c>
    </row>
    <row r="227" spans="1:21" x14ac:dyDescent="0.2">
      <c r="A227" s="94">
        <v>4452</v>
      </c>
      <c r="B227" s="87">
        <f>VLOOKUP(A227,[1]Assign!$A:$D,4,FALSE)</f>
        <v>643</v>
      </c>
      <c r="C227" s="4">
        <v>2</v>
      </c>
      <c r="D227" s="4">
        <v>311</v>
      </c>
      <c r="E227" s="4" t="str">
        <f>VLOOKUP(A227,[1]Assign!$A:$I,9,FALSE)</f>
        <v xml:space="preserve">10% MDGS Constant </v>
      </c>
      <c r="F227" s="4">
        <f>VLOOKUP(A227,'[1]Carcass '!$C$105:$D$397,2,FALSE)</f>
        <v>911</v>
      </c>
      <c r="G227" s="4">
        <f t="shared" si="36"/>
        <v>1446.031746031746</v>
      </c>
      <c r="H227" s="31">
        <f t="shared" si="37"/>
        <v>4.0971007450599286</v>
      </c>
      <c r="I227" s="4">
        <f>VLOOKUP(D227,'[1]DMO head'!$A$2:$D$49,4,FALSE)</f>
        <v>23.779243605703989</v>
      </c>
      <c r="J227" s="19">
        <f t="shared" si="38"/>
        <v>803.03174603174602</v>
      </c>
      <c r="L227" s="4">
        <f>VLOOKUP(A227,'[1]Carcass '!$C$10:$J$397,8,FALSE)</f>
        <v>0</v>
      </c>
      <c r="M227" s="4">
        <f t="shared" si="39"/>
        <v>0</v>
      </c>
      <c r="N227" s="4">
        <f t="shared" si="40"/>
        <v>0</v>
      </c>
      <c r="O227" s="4">
        <f t="shared" si="41"/>
        <v>0</v>
      </c>
      <c r="P227" s="4">
        <f t="shared" si="42"/>
        <v>0</v>
      </c>
      <c r="Q227" s="4">
        <f t="shared" si="43"/>
        <v>0</v>
      </c>
      <c r="R227" s="19">
        <f>VLOOKUP(A227,'[1]Carcass '!$C$107:$E$399,3,FALSE)</f>
        <v>13</v>
      </c>
      <c r="S227" s="4">
        <f>VLOOKUP(A227,'[1]Carcass '!$C$107:$F$399,4,FALSE)</f>
        <v>3.3</v>
      </c>
      <c r="T227" s="4">
        <f>VLOOKUP(A227,'[1]Carcass '!$C$10:$G$397,5, FALSE)</f>
        <v>0.82</v>
      </c>
      <c r="U227" s="4">
        <f>VLOOKUP(A227,'[1]Carcass '!$C$107:$I$399,7,FALSE)</f>
        <v>751</v>
      </c>
    </row>
    <row r="228" spans="1:21" x14ac:dyDescent="0.2">
      <c r="A228" s="94">
        <v>4672</v>
      </c>
      <c r="B228" s="87">
        <f>VLOOKUP(A228,[1]Assign!$A:$D,4,FALSE)</f>
        <v>637</v>
      </c>
      <c r="C228" s="4">
        <v>2</v>
      </c>
      <c r="D228" s="4">
        <v>312</v>
      </c>
      <c r="E228" s="4" t="str">
        <f>VLOOKUP(A228,[1]Assign!$A:$I,9,FALSE)</f>
        <v xml:space="preserve">25% MDGS Constant </v>
      </c>
      <c r="F228" s="4">
        <f>VLOOKUP(A228,'[1]Carcass '!$C$105:$D$397,2,FALSE)</f>
        <v>808</v>
      </c>
      <c r="G228" s="4">
        <f t="shared" si="36"/>
        <v>1282.5396825396824</v>
      </c>
      <c r="H228" s="31">
        <f t="shared" si="37"/>
        <v>3.2935698088759309</v>
      </c>
      <c r="I228" s="4">
        <f>VLOOKUP(D228,'[1]DMO head'!$A$2:$D$49,4,FALSE)</f>
        <v>23.507213350404029</v>
      </c>
      <c r="J228" s="19">
        <f t="shared" si="38"/>
        <v>645.53968253968242</v>
      </c>
      <c r="L228" s="4" t="str">
        <f>VLOOKUP(A228,'[1]Carcass '!$C$10:$J$397,8,FALSE)</f>
        <v>A-</v>
      </c>
      <c r="M228" s="4">
        <f t="shared" si="39"/>
        <v>0</v>
      </c>
      <c r="N228" s="4">
        <f t="shared" si="40"/>
        <v>1</v>
      </c>
      <c r="O228" s="4">
        <f t="shared" si="41"/>
        <v>0</v>
      </c>
      <c r="P228" s="4">
        <f t="shared" si="42"/>
        <v>1</v>
      </c>
      <c r="Q228" s="4">
        <f t="shared" si="43"/>
        <v>0</v>
      </c>
      <c r="R228" s="19">
        <f>VLOOKUP(A228,'[1]Carcass '!$C$107:$E$399,3,FALSE)</f>
        <v>14.1</v>
      </c>
      <c r="S228" s="4">
        <f>VLOOKUP(A228,'[1]Carcass '!$C$107:$F$399,4,FALSE)</f>
        <v>3.54</v>
      </c>
      <c r="T228" s="4">
        <f>VLOOKUP(A228,'[1]Carcass '!$C$10:$G$397,5, FALSE)</f>
        <v>0.67</v>
      </c>
      <c r="U228" s="4">
        <f>VLOOKUP(A228,'[1]Carcass '!$C$107:$I$399,7,FALSE)</f>
        <v>575</v>
      </c>
    </row>
    <row r="229" spans="1:21" x14ac:dyDescent="0.2">
      <c r="A229" s="94">
        <v>4596</v>
      </c>
      <c r="B229" s="87">
        <f>VLOOKUP(A229,[1]Assign!$A:$D,4,FALSE)</f>
        <v>646</v>
      </c>
      <c r="C229" s="4">
        <v>2</v>
      </c>
      <c r="D229" s="4">
        <v>313</v>
      </c>
      <c r="E229" s="4" t="str">
        <f>VLOOKUP(A229,[1]Assign!$A:$I,9,FALSE)</f>
        <v>25% MDGS Variable</v>
      </c>
      <c r="F229" s="4">
        <f>VLOOKUP(A229,'[1]Carcass '!$C$105:$D$397,2,FALSE)</f>
        <v>834</v>
      </c>
      <c r="G229" s="4">
        <f t="shared" si="36"/>
        <v>1323.8095238095239</v>
      </c>
      <c r="H229" s="31">
        <f t="shared" si="37"/>
        <v>3.4582118561710402</v>
      </c>
      <c r="I229" s="4">
        <f>VLOOKUP(D229,'[1]DMO head'!$A$2:$D$49,4,FALSE)</f>
        <v>23.480892071111096</v>
      </c>
      <c r="J229" s="19">
        <f t="shared" si="38"/>
        <v>677.80952380952385</v>
      </c>
      <c r="L229" s="4" t="str">
        <f>VLOOKUP(A229,'[1]Carcass '!$C$10:$J$397,8,FALSE)</f>
        <v>C</v>
      </c>
      <c r="M229" s="4">
        <f t="shared" si="39"/>
        <v>0</v>
      </c>
      <c r="N229" s="4">
        <f t="shared" si="40"/>
        <v>0</v>
      </c>
      <c r="O229" s="4">
        <f t="shared" si="41"/>
        <v>0</v>
      </c>
      <c r="P229" s="4">
        <f t="shared" si="42"/>
        <v>0</v>
      </c>
      <c r="Q229" s="4">
        <f t="shared" si="43"/>
        <v>1</v>
      </c>
      <c r="R229" s="19">
        <f>VLOOKUP(A229,'[1]Carcass '!$C$107:$E$399,3,FALSE)</f>
        <v>14.2</v>
      </c>
      <c r="S229" s="4">
        <f>VLOOKUP(A229,'[1]Carcass '!$C$107:$F$399,4,FALSE)</f>
        <v>4.2</v>
      </c>
      <c r="T229" s="4">
        <f>VLOOKUP(A229,'[1]Carcass '!$C$10:$G$397,5, FALSE)</f>
        <v>0.91</v>
      </c>
      <c r="U229" s="4">
        <f>VLOOKUP(A229,'[1]Carcass '!$C$107:$I$399,7,FALSE)</f>
        <v>561</v>
      </c>
    </row>
    <row r="230" spans="1:21" x14ac:dyDescent="0.2">
      <c r="A230" s="94">
        <v>4693</v>
      </c>
      <c r="B230" s="87">
        <f>VLOOKUP(A230,[1]Assign!$A:$D,4,FALSE)</f>
        <v>646</v>
      </c>
      <c r="C230" s="4">
        <v>2</v>
      </c>
      <c r="D230" s="4">
        <v>314</v>
      </c>
      <c r="E230" s="4" t="str">
        <f>VLOOKUP(A230,[1]Assign!$A:$I,9,FALSE)</f>
        <v>25% MDGS Variable</v>
      </c>
      <c r="F230" s="4">
        <f>VLOOKUP(A230,'[1]Carcass '!$C$105:$D$397,2,FALSE)</f>
        <v>805</v>
      </c>
      <c r="G230" s="4">
        <f t="shared" si="36"/>
        <v>1277.7777777777778</v>
      </c>
      <c r="H230" s="31">
        <f t="shared" si="37"/>
        <v>3.2233560090702951</v>
      </c>
      <c r="I230" s="4">
        <f>VLOOKUP(D230,'[1]DMO head'!$A$2:$D$49,4,FALSE)</f>
        <v>23.926712488585853</v>
      </c>
      <c r="J230" s="19">
        <f t="shared" si="38"/>
        <v>631.77777777777783</v>
      </c>
      <c r="L230" s="4">
        <f>VLOOKUP(A230,'[1]Carcass '!$C$10:$J$397,8,FALSE)</f>
        <v>0</v>
      </c>
      <c r="M230" s="4">
        <f t="shared" si="39"/>
        <v>0</v>
      </c>
      <c r="N230" s="4">
        <f t="shared" si="40"/>
        <v>0</v>
      </c>
      <c r="O230" s="4">
        <f t="shared" si="41"/>
        <v>0</v>
      </c>
      <c r="P230" s="4">
        <f t="shared" si="42"/>
        <v>0</v>
      </c>
      <c r="Q230" s="4">
        <f t="shared" si="43"/>
        <v>0</v>
      </c>
      <c r="R230" s="19">
        <f>VLOOKUP(A230,'[1]Carcass '!$C$107:$E$399,3,FALSE)</f>
        <v>12.2</v>
      </c>
      <c r="S230" s="4">
        <f>VLOOKUP(A230,'[1]Carcass '!$C$107:$F$399,4,FALSE)</f>
        <v>3.6</v>
      </c>
      <c r="T230" s="4">
        <f>VLOOKUP(A230,'[1]Carcass '!$C$10:$G$397,5, FALSE)</f>
        <v>0.72</v>
      </c>
      <c r="U230" s="4">
        <f>VLOOKUP(A230,'[1]Carcass '!$C$107:$I$399,7,FALSE)</f>
        <v>592</v>
      </c>
    </row>
    <row r="231" spans="1:21" x14ac:dyDescent="0.2">
      <c r="A231" s="94">
        <v>4604</v>
      </c>
      <c r="B231" s="87">
        <f>VLOOKUP(A231,[1]Assign!$A:$D,4,FALSE)</f>
        <v>632</v>
      </c>
      <c r="C231" s="4">
        <v>2</v>
      </c>
      <c r="D231" s="4">
        <v>315</v>
      </c>
      <c r="E231" s="4" t="str">
        <f>VLOOKUP(A231,[1]Assign!$A:$I,9,FALSE)</f>
        <v xml:space="preserve">25% MDGS Constant </v>
      </c>
      <c r="F231" s="4">
        <f>VLOOKUP(A231,'[1]Carcass '!$C$105:$D$397,2,FALSE)</f>
        <v>913</v>
      </c>
      <c r="G231" s="4">
        <f t="shared" si="36"/>
        <v>1449.2063492063492</v>
      </c>
      <c r="H231" s="31">
        <f t="shared" si="37"/>
        <v>4.1694201490119855</v>
      </c>
      <c r="I231" s="4">
        <f>VLOOKUP(D231,'[1]DMO head'!$A$2:$D$49,4,FALSE)</f>
        <v>23.392790065062279</v>
      </c>
      <c r="J231" s="19">
        <f t="shared" si="38"/>
        <v>817.20634920634916</v>
      </c>
      <c r="L231" s="4" t="str">
        <f>VLOOKUP(A231,'[1]Carcass '!$C$10:$J$397,8,FALSE)</f>
        <v>C</v>
      </c>
      <c r="M231" s="4">
        <f t="shared" si="39"/>
        <v>0</v>
      </c>
      <c r="N231" s="4">
        <f t="shared" si="40"/>
        <v>0</v>
      </c>
      <c r="O231" s="4">
        <f t="shared" si="41"/>
        <v>0</v>
      </c>
      <c r="P231" s="4">
        <f t="shared" si="42"/>
        <v>0</v>
      </c>
      <c r="Q231" s="4">
        <f t="shared" si="43"/>
        <v>1</v>
      </c>
      <c r="R231" s="19">
        <f>VLOOKUP(A231,'[1]Carcass '!$C$107:$E$399,3,FALSE)</f>
        <v>14.6</v>
      </c>
      <c r="S231" s="4">
        <f>VLOOKUP(A231,'[1]Carcass '!$C$107:$F$399,4,FALSE)</f>
        <v>3.5</v>
      </c>
      <c r="T231" s="4">
        <f>VLOOKUP(A231,'[1]Carcass '!$C$10:$G$397,5, FALSE)</f>
        <v>0.63</v>
      </c>
      <c r="U231" s="4">
        <f>VLOOKUP(A231,'[1]Carcass '!$C$107:$I$399,7,FALSE)</f>
        <v>695</v>
      </c>
    </row>
    <row r="232" spans="1:21" x14ac:dyDescent="0.2">
      <c r="A232" s="94">
        <v>4732</v>
      </c>
      <c r="B232" s="87">
        <f>VLOOKUP(A232,[1]Assign!$A:$D,4,FALSE)</f>
        <v>634</v>
      </c>
      <c r="C232" s="4">
        <v>2</v>
      </c>
      <c r="D232" s="4">
        <v>316</v>
      </c>
      <c r="E232" s="4" t="str">
        <f>VLOOKUP(A232,[1]Assign!$A:$I,9,FALSE)</f>
        <v xml:space="preserve">10% MDGS Constant </v>
      </c>
      <c r="F232" s="4">
        <f>VLOOKUP(A232,'[1]Carcass '!$C$105:$D$397,2,FALSE)</f>
        <v>958</v>
      </c>
      <c r="G232" s="4">
        <f t="shared" si="36"/>
        <v>1520.6349206349207</v>
      </c>
      <c r="H232" s="31">
        <f t="shared" si="37"/>
        <v>4.5236475542597994</v>
      </c>
      <c r="I232" s="4">
        <f>VLOOKUP(D232,'[1]DMO head'!$A$2:$D$49,4,FALSE)</f>
        <v>23.276936370757571</v>
      </c>
      <c r="J232" s="19">
        <f t="shared" si="38"/>
        <v>886.63492063492072</v>
      </c>
      <c r="L232" s="4" t="str">
        <f>VLOOKUP(A232,'[1]Carcass '!$C$10:$J$397,8,FALSE)</f>
        <v>A+</v>
      </c>
      <c r="M232" s="4">
        <f t="shared" si="39"/>
        <v>0</v>
      </c>
      <c r="N232" s="4">
        <f t="shared" si="40"/>
        <v>0</v>
      </c>
      <c r="O232" s="4">
        <f t="shared" si="41"/>
        <v>1</v>
      </c>
      <c r="P232" s="4">
        <f t="shared" si="42"/>
        <v>1</v>
      </c>
      <c r="Q232" s="4">
        <f t="shared" si="43"/>
        <v>0</v>
      </c>
      <c r="R232" s="19">
        <f>VLOOKUP(A232,'[1]Carcass '!$C$107:$E$399,3,FALSE)</f>
        <v>14.13</v>
      </c>
      <c r="S232" s="4">
        <f>VLOOKUP(A232,'[1]Carcass '!$C$107:$F$399,4,FALSE)</f>
        <v>3.63</v>
      </c>
    </row>
    <row r="233" spans="1:21" x14ac:dyDescent="0.2">
      <c r="A233" s="94">
        <v>4416</v>
      </c>
      <c r="B233" s="87">
        <f>VLOOKUP(A233,[1]Assign!$A:$D,4,FALSE)</f>
        <v>643</v>
      </c>
      <c r="C233" s="4">
        <v>2</v>
      </c>
      <c r="D233" s="4">
        <v>318</v>
      </c>
      <c r="E233" s="4" t="str">
        <f>VLOOKUP(A233,[1]Assign!$A:$I,9,FALSE)</f>
        <v>10% MDGS Variable</v>
      </c>
      <c r="F233" s="4">
        <f>VLOOKUP(A233,'[1]Carcass '!$C$105:$D$397,2,FALSE)</f>
        <v>938</v>
      </c>
      <c r="G233" s="4" t="s">
        <v>43</v>
      </c>
      <c r="H233" s="31" t="s">
        <v>43</v>
      </c>
      <c r="I233" s="4">
        <f>VLOOKUP(D233,'[1]DMO head'!$A$2:$D$49,4,FALSE)</f>
        <v>23.479164833812241</v>
      </c>
      <c r="J233" s="19" t="s">
        <v>43</v>
      </c>
      <c r="L233" s="4">
        <f>VLOOKUP(A233,'[1]Carcass '!$C$10:$J$397,8,FALSE)</f>
        <v>0</v>
      </c>
      <c r="M233" s="4">
        <f t="shared" si="39"/>
        <v>0</v>
      </c>
      <c r="N233" s="4">
        <f t="shared" si="40"/>
        <v>0</v>
      </c>
      <c r="O233" s="4">
        <f t="shared" si="41"/>
        <v>0</v>
      </c>
      <c r="P233" s="4">
        <f t="shared" si="42"/>
        <v>0</v>
      </c>
      <c r="Q233" s="4">
        <f t="shared" si="43"/>
        <v>0</v>
      </c>
      <c r="R233" s="19">
        <f>VLOOKUP(A233,'[1]Carcass '!$C$107:$E$399,3,FALSE)</f>
        <v>14.65</v>
      </c>
      <c r="S233" s="4">
        <f>VLOOKUP(A233,'[1]Carcass '!$C$107:$F$399,4,FALSE)</f>
        <v>3.9</v>
      </c>
      <c r="T233" s="4">
        <f>VLOOKUP(A233,'[1]Carcass '!$C$10:$G$397,5, FALSE)</f>
        <v>0.97</v>
      </c>
      <c r="U233" s="4">
        <f>VLOOKUP(A233,'[1]Carcass '!$C$107:$I$399,7,FALSE)</f>
        <v>545</v>
      </c>
    </row>
    <row r="234" spans="1:21" x14ac:dyDescent="0.2">
      <c r="A234" s="94">
        <v>4327</v>
      </c>
      <c r="B234" s="87">
        <f>VLOOKUP(A234,[1]Assign!$A:$D,4,FALSE)</f>
        <v>648</v>
      </c>
      <c r="C234" s="4">
        <v>2</v>
      </c>
      <c r="D234" s="4">
        <v>215</v>
      </c>
      <c r="E234" s="4" t="str">
        <f>VLOOKUP(A234,[1]Assign!$A:$I,9,FALSE)</f>
        <v>10% MDGS Variable</v>
      </c>
      <c r="F234" s="4">
        <f>VLOOKUP(A234,'[1]Carcass '!$C$105:$D$397,2,FALSE)</f>
        <v>881</v>
      </c>
      <c r="G234" s="4">
        <f t="shared" si="36"/>
        <v>1398.4126984126983</v>
      </c>
      <c r="H234" s="31">
        <f t="shared" si="37"/>
        <v>3.8286362163913181</v>
      </c>
      <c r="I234" s="4">
        <f>VLOOKUP(D234,'[1]DMO head'!$A$2:$D$49,4,FALSE)</f>
        <v>21.5797851350505</v>
      </c>
      <c r="J234" s="19">
        <f t="shared" si="38"/>
        <v>750.41269841269832</v>
      </c>
      <c r="L234" s="4" t="str">
        <f>VLOOKUP(A234,'[1]Carcass '!$C$10:$J$397,8,FALSE)</f>
        <v>A-</v>
      </c>
      <c r="M234" s="4">
        <f t="shared" si="39"/>
        <v>0</v>
      </c>
      <c r="N234" s="4">
        <f t="shared" si="40"/>
        <v>1</v>
      </c>
      <c r="O234" s="4">
        <f t="shared" si="41"/>
        <v>0</v>
      </c>
      <c r="P234" s="4">
        <f t="shared" si="42"/>
        <v>1</v>
      </c>
      <c r="Q234" s="4">
        <f t="shared" si="43"/>
        <v>0</v>
      </c>
      <c r="R234" s="19">
        <f>VLOOKUP(A234,'[1]Carcass '!$C$107:$E$399,3,FALSE)</f>
        <v>16.64</v>
      </c>
      <c r="S234" s="4">
        <f>VLOOKUP(A234,'[1]Carcass '!$C$107:$F$399,4,FALSE)</f>
        <v>2.69</v>
      </c>
    </row>
    <row r="235" spans="1:21" x14ac:dyDescent="0.2">
      <c r="A235" s="94">
        <v>4592</v>
      </c>
      <c r="B235" s="87">
        <f>VLOOKUP(A235,[1]Assign!$A:$D,4,FALSE)</f>
        <v>631</v>
      </c>
      <c r="C235" s="4">
        <v>2</v>
      </c>
      <c r="D235" s="4">
        <v>216</v>
      </c>
      <c r="E235" s="4" t="str">
        <f>VLOOKUP(A235,[1]Assign!$A:$I,9,FALSE)</f>
        <v xml:space="preserve">10% MDGS Constant </v>
      </c>
      <c r="F235" s="4">
        <f>VLOOKUP(A235,'[1]Carcass '!$C$105:$D$397,2,FALSE)</f>
        <v>730</v>
      </c>
      <c r="G235" s="4">
        <f t="shared" si="36"/>
        <v>1158.7301587301588</v>
      </c>
      <c r="H235" s="31">
        <f t="shared" si="37"/>
        <v>2.6925008098477488</v>
      </c>
      <c r="I235" s="4">
        <f>VLOOKUP(D235,'[1]DMO head'!$A$2:$D$49,4,FALSE)</f>
        <v>21.830062429040414</v>
      </c>
      <c r="J235" s="19">
        <f t="shared" si="38"/>
        <v>527.73015873015879</v>
      </c>
      <c r="L235" s="4">
        <f>VLOOKUP(A235,'[1]Carcass '!$C$10:$J$397,8,FALSE)</f>
        <v>0</v>
      </c>
      <c r="M235" s="4">
        <f t="shared" si="39"/>
        <v>0</v>
      </c>
      <c r="N235" s="4">
        <f t="shared" si="40"/>
        <v>0</v>
      </c>
      <c r="O235" s="4">
        <f t="shared" si="41"/>
        <v>0</v>
      </c>
      <c r="P235" s="4">
        <f t="shared" si="42"/>
        <v>0</v>
      </c>
      <c r="Q235" s="4">
        <f t="shared" si="43"/>
        <v>0</v>
      </c>
      <c r="R235" s="19">
        <f>VLOOKUP(A235,'[1]Carcass '!$C$107:$E$399,3,FALSE)</f>
        <v>11.8</v>
      </c>
      <c r="S235" s="4">
        <f>VLOOKUP(A235,'[1]Carcass '!$C$107:$F$399,4,FALSE)</f>
        <v>3.45</v>
      </c>
      <c r="T235" s="4">
        <f>VLOOKUP(A235,'[1]Carcass '!$C$10:$G$397,5, FALSE)</f>
        <v>0.64</v>
      </c>
      <c r="U235" s="4">
        <f>VLOOKUP(A235,'[1]Carcass '!$C$107:$I$399,7,FALSE)</f>
        <v>437</v>
      </c>
    </row>
    <row r="236" spans="1:21" x14ac:dyDescent="0.2">
      <c r="A236" s="94">
        <v>4358</v>
      </c>
      <c r="B236" s="87">
        <f>VLOOKUP(A236,[1]Assign!$A:$D,4,FALSE)</f>
        <v>647</v>
      </c>
      <c r="C236" s="4">
        <v>2</v>
      </c>
      <c r="D236" s="4">
        <v>301</v>
      </c>
      <c r="E236" s="4" t="str">
        <f>VLOOKUP(A236,[1]Assign!$A:$I,9,FALSE)</f>
        <v xml:space="preserve">25% MDGS Constant </v>
      </c>
      <c r="F236" s="4">
        <f>VLOOKUP(A236,'[1]Carcass '!$C$105:$D$397,2,FALSE)</f>
        <v>918</v>
      </c>
      <c r="G236" s="4">
        <f t="shared" si="36"/>
        <v>1457.1428571428571</v>
      </c>
      <c r="H236" s="31">
        <f t="shared" si="37"/>
        <v>4.1333819241982503</v>
      </c>
      <c r="I236" s="4">
        <f>VLOOKUP(D236,'[1]DMO head'!$A$2:$D$49,4,FALSE)</f>
        <v>22.630176042777777</v>
      </c>
      <c r="J236" s="19">
        <f t="shared" si="38"/>
        <v>810.14285714285711</v>
      </c>
      <c r="L236" s="4">
        <f>VLOOKUP(A236,'[1]Carcass '!$C$10:$J$397,8,FALSE)</f>
        <v>0</v>
      </c>
      <c r="M236" s="4">
        <f t="shared" si="39"/>
        <v>0</v>
      </c>
      <c r="N236" s="4">
        <f t="shared" si="40"/>
        <v>0</v>
      </c>
      <c r="O236" s="4">
        <f t="shared" si="41"/>
        <v>0</v>
      </c>
      <c r="P236" s="4">
        <f t="shared" si="42"/>
        <v>0</v>
      </c>
      <c r="Q236" s="4">
        <f t="shared" si="43"/>
        <v>0</v>
      </c>
      <c r="R236" s="19">
        <f>VLOOKUP(A236,'[1]Carcass '!$C$107:$E$399,3,FALSE)</f>
        <v>13.5</v>
      </c>
      <c r="S236" s="4">
        <f>VLOOKUP(A236,'[1]Carcass '!$C$107:$F$399,4,FALSE)</f>
        <v>3.3</v>
      </c>
      <c r="T236" s="4">
        <f>VLOOKUP(A236,'[1]Carcass '!$C$10:$G$397,5, FALSE)</f>
        <v>0.55000000000000004</v>
      </c>
      <c r="U236" s="4">
        <f>VLOOKUP(A236,'[1]Carcass '!$C$107:$I$399,7,FALSE)</f>
        <v>649</v>
      </c>
    </row>
    <row r="237" spans="1:21" x14ac:dyDescent="0.2">
      <c r="A237" s="94">
        <v>4762</v>
      </c>
      <c r="B237" s="87">
        <f>VLOOKUP(A237,[1]Assign!$A:$D,4,FALSE)</f>
        <v>638</v>
      </c>
      <c r="C237" s="4">
        <v>2</v>
      </c>
      <c r="D237" s="4">
        <v>302</v>
      </c>
      <c r="E237" s="4" t="str">
        <f>VLOOKUP(A237,[1]Assign!$A:$I,9,FALSE)</f>
        <v>25% MDGS Variable</v>
      </c>
      <c r="F237" s="4">
        <f>VLOOKUP(A237,'[1]Carcass '!$C$105:$D$397,2,FALSE)</f>
        <v>968</v>
      </c>
      <c r="G237" s="4">
        <f t="shared" si="36"/>
        <v>1536.5079365079364</v>
      </c>
      <c r="H237" s="31">
        <f t="shared" si="37"/>
        <v>4.5842241658568179</v>
      </c>
      <c r="I237" s="4">
        <f>VLOOKUP(D237,'[1]DMO head'!$A$2:$D$49,4,FALSE)</f>
        <v>21.718133105510006</v>
      </c>
      <c r="J237" s="19">
        <f t="shared" si="38"/>
        <v>898.50793650793639</v>
      </c>
      <c r="L237" s="4">
        <f>VLOOKUP(A237,'[1]Carcass '!$C$10:$J$397,8,FALSE)</f>
        <v>0</v>
      </c>
      <c r="M237" s="4">
        <f t="shared" si="39"/>
        <v>0</v>
      </c>
      <c r="N237" s="4">
        <f t="shared" si="40"/>
        <v>0</v>
      </c>
      <c r="O237" s="4">
        <f t="shared" si="41"/>
        <v>0</v>
      </c>
      <c r="P237" s="4">
        <f t="shared" si="42"/>
        <v>0</v>
      </c>
      <c r="Q237" s="4">
        <f t="shared" si="43"/>
        <v>0</v>
      </c>
      <c r="R237" s="19">
        <f>VLOOKUP(A237,'[1]Carcass '!$C$107:$E$399,3,FALSE)</f>
        <v>15</v>
      </c>
      <c r="S237" s="4">
        <f>VLOOKUP(A237,'[1]Carcass '!$C$107:$F$399,4,FALSE)</f>
        <v>3.7</v>
      </c>
      <c r="T237" s="4">
        <f>VLOOKUP(A237,'[1]Carcass '!$C$10:$G$397,5, FALSE)</f>
        <v>0.71</v>
      </c>
      <c r="U237" s="4">
        <f>VLOOKUP(A237,'[1]Carcass '!$C$107:$I$399,7,FALSE)</f>
        <v>680</v>
      </c>
    </row>
    <row r="238" spans="1:21" x14ac:dyDescent="0.2">
      <c r="A238" s="94">
        <v>4618</v>
      </c>
      <c r="B238" s="87">
        <f>VLOOKUP(A238,[1]Assign!$A:$D,4,FALSE)</f>
        <v>649</v>
      </c>
      <c r="C238" s="4">
        <v>2</v>
      </c>
      <c r="D238" s="4">
        <v>303</v>
      </c>
      <c r="E238" s="4" t="str">
        <f>VLOOKUP(A238,[1]Assign!$A:$I,9,FALSE)</f>
        <v>Control</v>
      </c>
      <c r="F238" s="4">
        <f>VLOOKUP(A238,'[1]Carcass '!$C$105:$D$397,2,FALSE)</f>
        <v>825</v>
      </c>
      <c r="G238" s="4">
        <f t="shared" si="36"/>
        <v>1309.5238095238094</v>
      </c>
      <c r="H238" s="31">
        <f t="shared" si="37"/>
        <v>3.3700194363459666</v>
      </c>
      <c r="I238" s="4">
        <f>VLOOKUP(D238,'[1]DMO head'!$A$2:$D$49,4,FALSE)</f>
        <v>21.256780292032506</v>
      </c>
      <c r="J238" s="19">
        <f t="shared" si="38"/>
        <v>660.5238095238094</v>
      </c>
      <c r="L238" s="4">
        <f>VLOOKUP(A238,'[1]Carcass '!$C$10:$J$397,8,FALSE)</f>
        <v>0</v>
      </c>
      <c r="M238" s="4">
        <f t="shared" si="39"/>
        <v>0</v>
      </c>
      <c r="N238" s="4">
        <f t="shared" si="40"/>
        <v>0</v>
      </c>
      <c r="O238" s="4">
        <f t="shared" si="41"/>
        <v>0</v>
      </c>
      <c r="P238" s="4">
        <f t="shared" si="42"/>
        <v>0</v>
      </c>
      <c r="Q238" s="4">
        <f t="shared" si="43"/>
        <v>0</v>
      </c>
      <c r="R238" s="19">
        <f>VLOOKUP(A238,'[1]Carcass '!$C$107:$E$399,3,FALSE)</f>
        <v>15.2</v>
      </c>
      <c r="S238" s="4">
        <f>VLOOKUP(A238,'[1]Carcass '!$C$107:$F$399,4,FALSE)</f>
        <v>3.05</v>
      </c>
      <c r="T238" s="4">
        <f>VLOOKUP(A238,'[1]Carcass '!$C$10:$G$397,5, FALSE)</f>
        <v>0.49199999999999999</v>
      </c>
      <c r="U238" s="4">
        <f>VLOOKUP(A238,'[1]Carcass '!$C$107:$I$399,7,FALSE)</f>
        <v>499</v>
      </c>
    </row>
    <row r="239" spans="1:21" x14ac:dyDescent="0.2">
      <c r="A239" s="94">
        <v>4366</v>
      </c>
      <c r="B239" s="87">
        <f>VLOOKUP(A239,[1]Assign!$A:$D,4,FALSE)</f>
        <v>646</v>
      </c>
      <c r="C239" s="4">
        <v>2</v>
      </c>
      <c r="D239" s="4">
        <v>305</v>
      </c>
      <c r="E239" s="4" t="str">
        <f>VLOOKUP(A239,[1]Assign!$A:$I,9,FALSE)</f>
        <v xml:space="preserve">10% MDGS Constant </v>
      </c>
      <c r="F239" s="4">
        <f>VLOOKUP(A239,'[1]Carcass '!$C$105:$D$397,2,FALSE)</f>
        <v>899</v>
      </c>
      <c r="G239" s="4">
        <f t="shared" si="36"/>
        <v>1426.984126984127</v>
      </c>
      <c r="H239" s="31">
        <f t="shared" si="37"/>
        <v>3.9846128927761582</v>
      </c>
      <c r="I239" s="4">
        <f>VLOOKUP(D239,'[1]DMO head'!$A$2:$D$49,4,FALSE)</f>
        <v>20.599573820131273</v>
      </c>
      <c r="J239" s="19">
        <f t="shared" si="38"/>
        <v>780.98412698412699</v>
      </c>
      <c r="L239" s="4" t="str">
        <f>VLOOKUP(A239,'[1]Carcass '!$C$10:$J$397,8,FALSE)</f>
        <v>A-</v>
      </c>
      <c r="M239" s="4">
        <f t="shared" si="39"/>
        <v>0</v>
      </c>
      <c r="N239" s="4">
        <f t="shared" si="40"/>
        <v>1</v>
      </c>
      <c r="O239" s="4">
        <f t="shared" si="41"/>
        <v>0</v>
      </c>
      <c r="P239" s="4">
        <f t="shared" si="42"/>
        <v>1</v>
      </c>
      <c r="Q239" s="4">
        <f t="shared" si="43"/>
        <v>0</v>
      </c>
      <c r="R239" s="19">
        <f>VLOOKUP(A239,'[1]Carcass '!$C$107:$E$399,3,FALSE)</f>
        <v>13.9</v>
      </c>
      <c r="S239" s="4">
        <f>VLOOKUP(A239,'[1]Carcass '!$C$107:$F$399,4,FALSE)</f>
        <v>3.7</v>
      </c>
      <c r="T239" s="4">
        <f>VLOOKUP(A239,'[1]Carcass '!$C$10:$G$397,5, FALSE)</f>
        <v>0.68799999999999994</v>
      </c>
      <c r="U239" s="4">
        <f>VLOOKUP(A239,'[1]Carcass '!$C$107:$I$399,7,FALSE)</f>
        <v>450</v>
      </c>
    </row>
    <row r="240" spans="1:21" x14ac:dyDescent="0.2">
      <c r="A240" s="94">
        <v>4741</v>
      </c>
      <c r="B240" s="87">
        <f>VLOOKUP(A240,[1]Assign!$A:$D,4,FALSE)</f>
        <v>649</v>
      </c>
      <c r="C240" s="4">
        <v>2</v>
      </c>
      <c r="D240" s="4">
        <v>306</v>
      </c>
      <c r="E240" s="4" t="str">
        <f>VLOOKUP(A240,[1]Assign!$A:$I,9,FALSE)</f>
        <v>Control</v>
      </c>
      <c r="F240" s="4">
        <f>VLOOKUP(A240,'[1]Carcass '!$C$105:$D$397,2,FALSE)</f>
        <v>828</v>
      </c>
      <c r="G240" s="4">
        <f t="shared" si="36"/>
        <v>1314.2857142857142</v>
      </c>
      <c r="H240" s="31">
        <f t="shared" si="37"/>
        <v>3.3943148688046643</v>
      </c>
      <c r="I240" s="4">
        <f>VLOOKUP(D240,'[1]DMO head'!$A$2:$D$49,4,FALSE)</f>
        <v>23.243543323568986</v>
      </c>
      <c r="J240" s="19">
        <f t="shared" si="38"/>
        <v>665.28571428571422</v>
      </c>
      <c r="L240" s="4" t="str">
        <f>VLOOKUP(A240,'[1]Carcass '!$C$10:$J$397,8,FALSE)</f>
        <v>C</v>
      </c>
      <c r="M240" s="4">
        <f t="shared" si="39"/>
        <v>0</v>
      </c>
      <c r="N240" s="4">
        <f t="shared" si="40"/>
        <v>0</v>
      </c>
      <c r="O240" s="4">
        <f t="shared" si="41"/>
        <v>0</v>
      </c>
      <c r="P240" s="4">
        <f t="shared" si="42"/>
        <v>0</v>
      </c>
      <c r="Q240" s="4">
        <f t="shared" si="43"/>
        <v>1</v>
      </c>
      <c r="R240" s="19">
        <f>VLOOKUP(A240,'[1]Carcass '!$C$107:$E$399,3,FALSE)</f>
        <v>13.7</v>
      </c>
      <c r="S240" s="4">
        <f>VLOOKUP(A240,'[1]Carcass '!$C$107:$F$399,4,FALSE)</f>
        <v>3.1</v>
      </c>
      <c r="T240" s="4">
        <f>VLOOKUP(A240,'[1]Carcass '!$C$10:$G$397,5, FALSE)</f>
        <v>0.51</v>
      </c>
      <c r="U240" s="4">
        <f>VLOOKUP(A240,'[1]Carcass '!$C$107:$I$399,7,FALSE)</f>
        <v>438</v>
      </c>
    </row>
    <row r="241" spans="1:21" x14ac:dyDescent="0.2">
      <c r="A241" s="94">
        <v>4372</v>
      </c>
      <c r="B241" s="87">
        <f>VLOOKUP(A241,[1]Assign!$A:$D,4,FALSE)</f>
        <v>650</v>
      </c>
      <c r="C241" s="4">
        <v>2</v>
      </c>
      <c r="D241" s="4">
        <v>307</v>
      </c>
      <c r="E241" s="4" t="str">
        <f>VLOOKUP(A241,[1]Assign!$A:$I,9,FALSE)</f>
        <v>25% MDGS Variable</v>
      </c>
      <c r="F241" s="4">
        <f>VLOOKUP(A241,'[1]Carcass '!$C$105:$D$397,2,FALSE)</f>
        <v>822</v>
      </c>
      <c r="G241" s="4">
        <f t="shared" si="36"/>
        <v>1304.7619047619048</v>
      </c>
      <c r="H241" s="31">
        <f t="shared" si="37"/>
        <v>3.3406219630709431</v>
      </c>
      <c r="I241" s="4">
        <f>VLOOKUP(D241,'[1]DMO head'!$A$2:$D$49,4,FALSE)</f>
        <v>21.697158876111111</v>
      </c>
      <c r="J241" s="19">
        <f t="shared" si="38"/>
        <v>654.76190476190482</v>
      </c>
      <c r="L241" s="4" t="str">
        <f>VLOOKUP(A241,'[1]Carcass '!$C$10:$J$397,8,FALSE)</f>
        <v>A-</v>
      </c>
      <c r="M241" s="4">
        <f t="shared" si="39"/>
        <v>0</v>
      </c>
      <c r="N241" s="4">
        <f t="shared" si="40"/>
        <v>1</v>
      </c>
      <c r="O241" s="4">
        <f t="shared" si="41"/>
        <v>0</v>
      </c>
      <c r="P241" s="4">
        <f t="shared" si="42"/>
        <v>1</v>
      </c>
      <c r="Q241" s="4">
        <f t="shared" si="43"/>
        <v>0</v>
      </c>
      <c r="R241" s="19">
        <f>VLOOKUP(A241,'[1]Carcass '!$C$107:$E$399,3,FALSE)</f>
        <v>14.6</v>
      </c>
      <c r="S241" s="4">
        <f>VLOOKUP(A241,'[1]Carcass '!$C$107:$F$399,4,FALSE)</f>
        <v>2.9</v>
      </c>
      <c r="T241" s="4">
        <f>VLOOKUP(A241,'[1]Carcass '!$C$10:$G$397,5, FALSE)</f>
        <v>0.46</v>
      </c>
      <c r="U241" s="4">
        <f>VLOOKUP(A241,'[1]Carcass '!$C$107:$I$399,7,FALSE)</f>
        <v>593</v>
      </c>
    </row>
    <row r="242" spans="1:21" x14ac:dyDescent="0.2">
      <c r="A242" s="94">
        <v>4525</v>
      </c>
      <c r="B242" s="87">
        <f>VLOOKUP(A242,[1]Assign!$A:$D,4,FALSE)</f>
        <v>644</v>
      </c>
      <c r="C242" s="4">
        <v>2</v>
      </c>
      <c r="D242" s="4">
        <v>308</v>
      </c>
      <c r="E242" s="4" t="str">
        <f>VLOOKUP(A242,[1]Assign!$A:$I,9,FALSE)</f>
        <v xml:space="preserve">25% MDGS Constant </v>
      </c>
      <c r="F242" s="4">
        <f>VLOOKUP(A242,'[1]Carcass '!$C$105:$D$397,2,FALSE)</f>
        <v>847</v>
      </c>
      <c r="G242" s="4">
        <f t="shared" si="36"/>
        <v>1344.4444444444443</v>
      </c>
      <c r="H242" s="31">
        <f t="shared" si="37"/>
        <v>3.5736961451247162</v>
      </c>
      <c r="I242" s="4">
        <f>VLOOKUP(D242,'[1]DMO head'!$A$2:$D$49,4,FALSE)</f>
        <v>23.183092460704504</v>
      </c>
      <c r="J242" s="19">
        <f t="shared" si="38"/>
        <v>700.44444444444434</v>
      </c>
      <c r="L242" s="4" t="str">
        <f>VLOOKUP(A242,'[1]Carcass '!$C$10:$J$397,8,FALSE)</f>
        <v>A</v>
      </c>
      <c r="M242" s="4">
        <f t="shared" si="39"/>
        <v>1</v>
      </c>
      <c r="N242" s="4">
        <f t="shared" si="40"/>
        <v>0</v>
      </c>
      <c r="O242" s="4">
        <f t="shared" si="41"/>
        <v>0</v>
      </c>
      <c r="P242" s="4">
        <f t="shared" si="42"/>
        <v>1</v>
      </c>
      <c r="Q242" s="4">
        <f t="shared" si="43"/>
        <v>0</v>
      </c>
      <c r="R242" s="19" t="str">
        <f>VLOOKUP(A242,'[1]Carcass '!$C$107:$E$399,3,FALSE)</f>
        <v>.</v>
      </c>
      <c r="S242" s="4" t="str">
        <f>VLOOKUP(A242,'[1]Carcass '!$C$107:$F$399,4,FALSE)</f>
        <v>.</v>
      </c>
    </row>
    <row r="243" spans="1:21" x14ac:dyDescent="0.2">
      <c r="A243" s="94">
        <v>4506</v>
      </c>
      <c r="B243" s="87">
        <f>VLOOKUP(A243,[1]Assign!$A:$D,4,FALSE)</f>
        <v>652</v>
      </c>
      <c r="C243" s="4">
        <v>2</v>
      </c>
      <c r="D243" s="4">
        <v>309</v>
      </c>
      <c r="E243" s="4" t="str">
        <f>VLOOKUP(A243,[1]Assign!$A:$I,9,FALSE)</f>
        <v>Control</v>
      </c>
      <c r="F243" s="4">
        <f>VLOOKUP(A243,'[1]Carcass '!$C$105:$D$397,2,FALSE)</f>
        <v>881</v>
      </c>
      <c r="G243" s="4">
        <f t="shared" si="36"/>
        <v>1398.4126984126983</v>
      </c>
      <c r="H243" s="31">
        <f t="shared" si="37"/>
        <v>3.8082280531260118</v>
      </c>
      <c r="I243" s="4">
        <f>VLOOKUP(D243,'[1]DMO head'!$A$2:$D$49,4,FALSE)</f>
        <v>22.382749735000004</v>
      </c>
      <c r="J243" s="19">
        <f t="shared" si="38"/>
        <v>746.41269841269832</v>
      </c>
      <c r="L243" s="4" t="str">
        <f>VLOOKUP(A243,'[1]Carcass '!$C$10:$J$397,8,FALSE)</f>
        <v>A+</v>
      </c>
      <c r="M243" s="4">
        <f t="shared" si="39"/>
        <v>0</v>
      </c>
      <c r="N243" s="4">
        <f t="shared" si="40"/>
        <v>0</v>
      </c>
      <c r="O243" s="4">
        <f t="shared" si="41"/>
        <v>1</v>
      </c>
      <c r="P243" s="4">
        <f t="shared" si="42"/>
        <v>1</v>
      </c>
      <c r="Q243" s="4">
        <f t="shared" si="43"/>
        <v>0</v>
      </c>
      <c r="R243" s="19">
        <f>VLOOKUP(A243,'[1]Carcass '!$C$107:$E$399,3,FALSE)</f>
        <v>16.2</v>
      </c>
      <c r="S243" s="4">
        <f>VLOOKUP(A243,'[1]Carcass '!$C$107:$F$399,4,FALSE)</f>
        <v>3.3</v>
      </c>
      <c r="T243" s="4">
        <f>VLOOKUP(A243,'[1]Carcass '!$C$10:$G$397,5, FALSE)</f>
        <v>0.63</v>
      </c>
      <c r="U243" s="4">
        <f>VLOOKUP(A243,'[1]Carcass '!$C$107:$I$399,7,FALSE)</f>
        <v>571</v>
      </c>
    </row>
    <row r="244" spans="1:21" x14ac:dyDescent="0.2">
      <c r="A244" s="94">
        <v>4694</v>
      </c>
      <c r="B244" s="87">
        <f>VLOOKUP(A244,[1]Assign!$A:$D,4,FALSE)</f>
        <v>644</v>
      </c>
      <c r="C244" s="4">
        <v>2</v>
      </c>
      <c r="D244" s="4">
        <v>310</v>
      </c>
      <c r="E244" s="4" t="str">
        <f>VLOOKUP(A244,[1]Assign!$A:$I,9,FALSE)</f>
        <v>10% MDGS Variable</v>
      </c>
      <c r="F244" s="4">
        <f>VLOOKUP(A244,'[1]Carcass '!$C$105:$D$397,2,FALSE)</f>
        <v>849</v>
      </c>
      <c r="G244" s="4">
        <f t="shared" si="36"/>
        <v>1347.6190476190477</v>
      </c>
      <c r="H244" s="31">
        <f t="shared" si="37"/>
        <v>3.5898931000971821</v>
      </c>
      <c r="I244" s="4">
        <f>VLOOKUP(D244,'[1]DMO head'!$A$2:$D$49,4,FALSE)</f>
        <v>23.18107161691918</v>
      </c>
      <c r="J244" s="19">
        <f t="shared" si="38"/>
        <v>703.61904761904771</v>
      </c>
      <c r="L244" s="4" t="str">
        <f>VLOOKUP(A244,'[1]Carcass '!$C$10:$J$397,8,FALSE)</f>
        <v>C</v>
      </c>
      <c r="M244" s="4">
        <f t="shared" si="39"/>
        <v>0</v>
      </c>
      <c r="N244" s="4">
        <f t="shared" si="40"/>
        <v>0</v>
      </c>
      <c r="O244" s="4">
        <f t="shared" si="41"/>
        <v>0</v>
      </c>
      <c r="P244" s="4">
        <f t="shared" si="42"/>
        <v>0</v>
      </c>
      <c r="Q244" s="4">
        <f t="shared" si="43"/>
        <v>1</v>
      </c>
      <c r="R244" s="19">
        <f>VLOOKUP(A244,'[1]Carcass '!$C$107:$E$399,3,FALSE)</f>
        <v>15.3</v>
      </c>
      <c r="S244" s="4">
        <f>VLOOKUP(A244,'[1]Carcass '!$C$107:$F$399,4,FALSE)</f>
        <v>3.2</v>
      </c>
      <c r="T244" s="4">
        <f>VLOOKUP(A244,'[1]Carcass '!$C$10:$G$397,5, FALSE)</f>
        <v>0.48000000000000009</v>
      </c>
    </row>
    <row r="245" spans="1:21" x14ac:dyDescent="0.2">
      <c r="A245" s="94">
        <v>4442</v>
      </c>
      <c r="B245" s="87">
        <f>VLOOKUP(A245,[1]Assign!$A:$D,4,FALSE)</f>
        <v>649</v>
      </c>
      <c r="C245" s="4">
        <v>2</v>
      </c>
      <c r="D245" s="4">
        <v>311</v>
      </c>
      <c r="E245" s="4" t="str">
        <f>VLOOKUP(A245,[1]Assign!$A:$I,9,FALSE)</f>
        <v xml:space="preserve">10% MDGS Constant </v>
      </c>
      <c r="F245" s="4">
        <f>VLOOKUP(A245,'[1]Carcass '!$C$105:$D$397,2,FALSE)</f>
        <v>901</v>
      </c>
      <c r="G245" s="4">
        <f t="shared" si="36"/>
        <v>1430.1587301587301</v>
      </c>
      <c r="H245" s="31">
        <f t="shared" si="37"/>
        <v>3.9855037252996435</v>
      </c>
      <c r="I245" s="4">
        <f>VLOOKUP(D245,'[1]DMO head'!$A$2:$D$49,4,FALSE)</f>
        <v>23.779243605703989</v>
      </c>
      <c r="J245" s="19">
        <f t="shared" si="38"/>
        <v>781.15873015873012</v>
      </c>
      <c r="L245" s="4" t="str">
        <f>VLOOKUP(A245,'[1]Carcass '!$C$10:$J$397,8,FALSE)</f>
        <v>A-</v>
      </c>
      <c r="M245" s="4">
        <f t="shared" si="39"/>
        <v>0</v>
      </c>
      <c r="N245" s="4">
        <f t="shared" si="40"/>
        <v>1</v>
      </c>
      <c r="O245" s="4">
        <f t="shared" si="41"/>
        <v>0</v>
      </c>
      <c r="P245" s="4">
        <f t="shared" si="42"/>
        <v>1</v>
      </c>
      <c r="Q245" s="4">
        <f t="shared" si="43"/>
        <v>0</v>
      </c>
      <c r="R245" s="19">
        <f>VLOOKUP(A245,'[1]Carcass '!$C$107:$E$399,3,FALSE)</f>
        <v>14.65</v>
      </c>
      <c r="S245" s="4">
        <f>VLOOKUP(A245,'[1]Carcass '!$C$107:$F$399,4,FALSE)</f>
        <v>3.3</v>
      </c>
      <c r="T245" s="4">
        <f>VLOOKUP(A245,'[1]Carcass '!$C$10:$G$397,5, FALSE)</f>
        <v>0.55000000000000004</v>
      </c>
      <c r="U245" s="4">
        <f>VLOOKUP(A245,'[1]Carcass '!$C$107:$I$399,7,FALSE)</f>
        <v>750</v>
      </c>
    </row>
    <row r="246" spans="1:21" x14ac:dyDescent="0.2">
      <c r="A246" s="94">
        <v>4453</v>
      </c>
      <c r="B246" s="87">
        <f>VLOOKUP(A246,[1]Assign!$A:$D,4,FALSE)</f>
        <v>646</v>
      </c>
      <c r="C246" s="4">
        <v>2</v>
      </c>
      <c r="D246" s="4">
        <v>312</v>
      </c>
      <c r="E246" s="4" t="str">
        <f>VLOOKUP(A246,[1]Assign!$A:$I,9,FALSE)</f>
        <v xml:space="preserve">25% MDGS Constant </v>
      </c>
      <c r="F246" s="4">
        <f>VLOOKUP(A246,'[1]Carcass '!$C$105:$D$397,2,FALSE)</f>
        <v>930</v>
      </c>
      <c r="G246" s="4">
        <f t="shared" si="36"/>
        <v>1476.1904761904761</v>
      </c>
      <c r="H246" s="31">
        <f t="shared" si="37"/>
        <v>4.2356656948493683</v>
      </c>
      <c r="I246" s="4">
        <f>VLOOKUP(D246,'[1]DMO head'!$A$2:$D$49,4,FALSE)</f>
        <v>23.507213350404029</v>
      </c>
      <c r="J246" s="19">
        <f t="shared" si="38"/>
        <v>830.19047619047615</v>
      </c>
      <c r="L246" s="4">
        <f>VLOOKUP(A246,'[1]Carcass '!$C$10:$J$397,8,FALSE)</f>
        <v>0</v>
      </c>
      <c r="M246" s="4">
        <f t="shared" si="39"/>
        <v>0</v>
      </c>
      <c r="N246" s="4">
        <f t="shared" si="40"/>
        <v>0</v>
      </c>
      <c r="O246" s="4">
        <f t="shared" si="41"/>
        <v>0</v>
      </c>
      <c r="P246" s="4">
        <f t="shared" si="42"/>
        <v>0</v>
      </c>
      <c r="Q246" s="4">
        <f t="shared" si="43"/>
        <v>0</v>
      </c>
      <c r="R246" s="19">
        <f>VLOOKUP(A246,'[1]Carcass '!$C$107:$E$399,3,FALSE)</f>
        <v>15.5</v>
      </c>
      <c r="S246" s="4">
        <f>VLOOKUP(A246,'[1]Carcass '!$C$107:$F$399,4,FALSE)</f>
        <v>3.45</v>
      </c>
      <c r="T246" s="4">
        <f>VLOOKUP(A246,'[1]Carcass '!$C$10:$G$397,5, FALSE)</f>
        <v>0.59</v>
      </c>
    </row>
    <row r="247" spans="1:21" x14ac:dyDescent="0.2">
      <c r="A247" s="94">
        <v>4676</v>
      </c>
      <c r="B247" s="87">
        <f>VLOOKUP(A247,[1]Assign!$A:$D,4,FALSE)</f>
        <v>634</v>
      </c>
      <c r="C247" s="4">
        <v>2</v>
      </c>
      <c r="D247" s="4">
        <v>313</v>
      </c>
      <c r="E247" s="4" t="str">
        <f>VLOOKUP(A247,[1]Assign!$A:$I,9,FALSE)</f>
        <v>25% MDGS Variable</v>
      </c>
      <c r="F247" s="4">
        <f>VLOOKUP(A247,'[1]Carcass '!$C$105:$D$397,2,FALSE)</f>
        <v>886</v>
      </c>
      <c r="G247" s="4">
        <f t="shared" si="36"/>
        <v>1406.3492063492063</v>
      </c>
      <c r="H247" s="31">
        <f t="shared" si="37"/>
        <v>3.9405571752510524</v>
      </c>
      <c r="I247" s="4">
        <f>VLOOKUP(D247,'[1]DMO head'!$A$2:$D$49,4,FALSE)</f>
        <v>23.480892071111096</v>
      </c>
      <c r="J247" s="19">
        <f t="shared" si="38"/>
        <v>772.34920634920627</v>
      </c>
      <c r="L247" s="4">
        <f>VLOOKUP(A247,'[1]Carcass '!$C$10:$J$397,8,FALSE)</f>
        <v>0</v>
      </c>
      <c r="M247" s="4">
        <f t="shared" si="39"/>
        <v>0</v>
      </c>
      <c r="N247" s="4">
        <f t="shared" si="40"/>
        <v>0</v>
      </c>
      <c r="O247" s="4">
        <f t="shared" si="41"/>
        <v>0</v>
      </c>
      <c r="P247" s="4">
        <f t="shared" si="42"/>
        <v>0</v>
      </c>
      <c r="Q247" s="4">
        <f t="shared" si="43"/>
        <v>0</v>
      </c>
      <c r="R247" s="19">
        <f>VLOOKUP(A247,'[1]Carcass '!$C$107:$E$399,3,FALSE)</f>
        <v>13.96</v>
      </c>
      <c r="S247" s="4">
        <f>VLOOKUP(A247,'[1]Carcass '!$C$107:$F$399,4,FALSE)</f>
        <v>3.8</v>
      </c>
      <c r="T247" s="4">
        <f>VLOOKUP(A247,'[1]Carcass '!$C$10:$G$397,5, FALSE)</f>
        <v>0.77</v>
      </c>
      <c r="U247" s="4">
        <f>VLOOKUP(A247,'[1]Carcass '!$C$107:$I$399,7,FALSE)</f>
        <v>401</v>
      </c>
    </row>
    <row r="248" spans="1:21" x14ac:dyDescent="0.2">
      <c r="A248" s="94">
        <v>4470</v>
      </c>
      <c r="B248" s="87">
        <f>VLOOKUP(A248,[1]Assign!$A:$D,4,FALSE)</f>
        <v>640</v>
      </c>
      <c r="C248" s="4">
        <v>2</v>
      </c>
      <c r="D248" s="4">
        <v>314</v>
      </c>
      <c r="E248" s="4" t="str">
        <f>VLOOKUP(A248,[1]Assign!$A:$I,9,FALSE)</f>
        <v>25% MDGS Variable</v>
      </c>
      <c r="F248" s="4">
        <f>VLOOKUP(A248,'[1]Carcass '!$C$105:$D$397,2,FALSE)</f>
        <v>761</v>
      </c>
      <c r="G248" s="4" t="s">
        <v>43</v>
      </c>
      <c r="H248" s="31" t="s">
        <v>43</v>
      </c>
      <c r="I248" s="4">
        <f>VLOOKUP(D248,'[1]DMO head'!$A$2:$D$49,4,FALSE)</f>
        <v>23.926712488585853</v>
      </c>
      <c r="J248" s="19" t="s">
        <v>43</v>
      </c>
      <c r="L248" s="4" t="str">
        <f>VLOOKUP(A248,'[1]Carcass '!$C$10:$J$397,8,FALSE)</f>
        <v>A-</v>
      </c>
      <c r="M248" s="4">
        <f t="shared" si="39"/>
        <v>0</v>
      </c>
      <c r="N248" s="4">
        <f t="shared" si="40"/>
        <v>1</v>
      </c>
      <c r="O248" s="4">
        <f t="shared" si="41"/>
        <v>0</v>
      </c>
      <c r="P248" s="4">
        <f t="shared" si="42"/>
        <v>1</v>
      </c>
      <c r="Q248" s="4">
        <f t="shared" si="43"/>
        <v>0</v>
      </c>
      <c r="R248" s="19">
        <f>VLOOKUP(A248,'[1]Carcass '!$C$107:$E$399,3,FALSE)</f>
        <v>12.34</v>
      </c>
      <c r="S248" s="4">
        <f>VLOOKUP(A248,'[1]Carcass '!$C$107:$F$399,4,FALSE)</f>
        <v>3.64</v>
      </c>
    </row>
    <row r="249" spans="1:21" x14ac:dyDescent="0.2">
      <c r="A249" s="94">
        <v>4435</v>
      </c>
      <c r="B249" s="87">
        <f>VLOOKUP(A249,[1]Assign!$A:$D,4,FALSE)</f>
        <v>637</v>
      </c>
      <c r="C249" s="4">
        <v>2</v>
      </c>
      <c r="D249" s="4">
        <v>315</v>
      </c>
      <c r="E249" s="4" t="str">
        <f>VLOOKUP(A249,[1]Assign!$A:$I,9,FALSE)</f>
        <v xml:space="preserve">25% MDGS Constant </v>
      </c>
      <c r="F249" s="4">
        <f>VLOOKUP(A249,'[1]Carcass '!$C$105:$D$397,2,FALSE)</f>
        <v>913</v>
      </c>
      <c r="G249" s="4">
        <f t="shared" ref="G249:G282" si="44">F249/0.63</f>
        <v>1449.2063492063492</v>
      </c>
      <c r="H249" s="31">
        <f t="shared" si="37"/>
        <v>4.1439099449303525</v>
      </c>
      <c r="I249" s="4">
        <f>VLOOKUP(D249,'[1]DMO head'!$A$2:$D$49,4,FALSE)</f>
        <v>23.392790065062279</v>
      </c>
      <c r="J249" s="19">
        <f t="shared" si="38"/>
        <v>812.20634920634916</v>
      </c>
      <c r="L249" s="4">
        <f>VLOOKUP(A249,'[1]Carcass '!$C$10:$J$397,8,FALSE)</f>
        <v>0</v>
      </c>
      <c r="M249" s="4">
        <f t="shared" si="39"/>
        <v>0</v>
      </c>
      <c r="N249" s="4">
        <f t="shared" si="40"/>
        <v>0</v>
      </c>
      <c r="O249" s="4">
        <f t="shared" si="41"/>
        <v>0</v>
      </c>
      <c r="P249" s="4">
        <f t="shared" si="42"/>
        <v>0</v>
      </c>
      <c r="Q249" s="4">
        <f t="shared" si="43"/>
        <v>0</v>
      </c>
      <c r="R249" s="19">
        <f>VLOOKUP(A249,'[1]Carcass '!$C$107:$E$399,3,FALSE)</f>
        <v>16.8</v>
      </c>
      <c r="S249" s="4">
        <f>VLOOKUP(A249,'[1]Carcass '!$C$107:$F$399,4,FALSE)</f>
        <v>3.6</v>
      </c>
      <c r="T249" s="4">
        <f>VLOOKUP(A249,'[1]Carcass '!$C$10:$G$397,5, FALSE)</f>
        <v>0.63</v>
      </c>
      <c r="U249" s="4">
        <f>VLOOKUP(A249,'[1]Carcass '!$C$107:$I$399,7,FALSE)</f>
        <v>636</v>
      </c>
    </row>
    <row r="250" spans="1:21" x14ac:dyDescent="0.2">
      <c r="A250" s="94">
        <v>4643</v>
      </c>
      <c r="B250" s="87">
        <f>VLOOKUP(A250,[1]Assign!$A:$D,4,FALSE)</f>
        <v>638</v>
      </c>
      <c r="C250" s="4">
        <v>2</v>
      </c>
      <c r="D250" s="4">
        <v>316</v>
      </c>
      <c r="E250" s="4" t="str">
        <f>VLOOKUP(A250,[1]Assign!$A:$I,9,FALSE)</f>
        <v xml:space="preserve">10% MDGS Constant </v>
      </c>
      <c r="F250" s="4">
        <f>VLOOKUP(A250,'[1]Carcass '!$C$105:$D$397,2,FALSE)</f>
        <v>833</v>
      </c>
      <c r="G250" s="4">
        <f t="shared" si="44"/>
        <v>1322.2222222222222</v>
      </c>
      <c r="H250" s="31">
        <f t="shared" si="37"/>
        <v>3.4909297052154193</v>
      </c>
      <c r="I250" s="4">
        <f>VLOOKUP(D250,'[1]DMO head'!$A$2:$D$49,4,FALSE)</f>
        <v>23.276936370757571</v>
      </c>
      <c r="J250" s="19">
        <f t="shared" si="38"/>
        <v>684.22222222222217</v>
      </c>
      <c r="L250" s="4" t="str">
        <f>VLOOKUP(A250,'[1]Carcass '!$C$10:$J$397,8,FALSE)</f>
        <v>C</v>
      </c>
      <c r="M250" s="4">
        <f t="shared" si="39"/>
        <v>0</v>
      </c>
      <c r="N250" s="4">
        <f t="shared" si="40"/>
        <v>0</v>
      </c>
      <c r="O250" s="4">
        <f t="shared" si="41"/>
        <v>0</v>
      </c>
      <c r="P250" s="4">
        <f t="shared" si="42"/>
        <v>0</v>
      </c>
      <c r="Q250" s="4">
        <f t="shared" si="43"/>
        <v>1</v>
      </c>
      <c r="R250" s="19">
        <f>VLOOKUP(A250,'[1]Carcass '!$C$107:$E$399,3,FALSE)</f>
        <v>15.4</v>
      </c>
      <c r="S250" s="4">
        <f>VLOOKUP(A250,'[1]Carcass '!$C$107:$F$399,4,FALSE)</f>
        <v>3.2</v>
      </c>
      <c r="T250" s="4">
        <f>VLOOKUP(A250,'[1]Carcass '!$C$10:$G$397,5, FALSE)</f>
        <v>0.72</v>
      </c>
      <c r="U250" s="4">
        <f>VLOOKUP(A250,'[1]Carcass '!$C$107:$I$399,7,FALSE)</f>
        <v>446</v>
      </c>
    </row>
    <row r="251" spans="1:21" x14ac:dyDescent="0.2">
      <c r="A251" s="94">
        <v>4737</v>
      </c>
      <c r="B251" s="87">
        <f>VLOOKUP(A251,[1]Assign!$A:$D,4,FALSE)</f>
        <v>634</v>
      </c>
      <c r="C251" s="4">
        <v>2</v>
      </c>
      <c r="D251" s="4">
        <v>317</v>
      </c>
      <c r="E251" s="4" t="str">
        <f>VLOOKUP(A251,[1]Assign!$A:$I,9,FALSE)</f>
        <v>Control</v>
      </c>
      <c r="F251" s="4">
        <f>VLOOKUP(A251,'[1]Carcass '!$C$105:$D$397,2,FALSE)</f>
        <v>806</v>
      </c>
      <c r="G251" s="4">
        <f t="shared" si="44"/>
        <v>1279.3650793650793</v>
      </c>
      <c r="H251" s="31">
        <f t="shared" si="37"/>
        <v>3.2926789763524451</v>
      </c>
      <c r="I251" s="4">
        <f>VLOOKUP(D251,'[1]DMO head'!$A$2:$D$49,4,FALSE)</f>
        <v>23.188136258216968</v>
      </c>
      <c r="J251" s="19">
        <f t="shared" si="38"/>
        <v>645.36507936507928</v>
      </c>
      <c r="L251" s="4" t="str">
        <f>VLOOKUP(A251,'[1]Carcass '!$C$10:$J$397,8,FALSE)</f>
        <v>A+</v>
      </c>
      <c r="M251" s="4">
        <f t="shared" si="39"/>
        <v>0</v>
      </c>
      <c r="N251" s="4">
        <f t="shared" si="40"/>
        <v>0</v>
      </c>
      <c r="O251" s="4">
        <f t="shared" si="41"/>
        <v>1</v>
      </c>
      <c r="P251" s="4">
        <f t="shared" si="42"/>
        <v>1</v>
      </c>
      <c r="Q251" s="4">
        <f t="shared" si="43"/>
        <v>0</v>
      </c>
      <c r="R251" s="19">
        <f>VLOOKUP(A251,'[1]Carcass '!$C$107:$E$399,3,FALSE)</f>
        <v>13.85</v>
      </c>
      <c r="S251" s="4">
        <f>VLOOKUP(A251,'[1]Carcass '!$C$107:$F$399,4,FALSE)</f>
        <v>3.6</v>
      </c>
      <c r="T251" s="4">
        <f>VLOOKUP(A251,'[1]Carcass '!$C$10:$G$397,5, FALSE)</f>
        <v>0.68</v>
      </c>
      <c r="U251" s="4">
        <f>VLOOKUP(A251,'[1]Carcass '!$C$107:$I$399,7,FALSE)</f>
        <v>503</v>
      </c>
    </row>
    <row r="252" spans="1:21" x14ac:dyDescent="0.2">
      <c r="A252" s="94">
        <v>4579</v>
      </c>
      <c r="B252" s="87">
        <f>VLOOKUP(A252,[1]Assign!$A:$D,4,FALSE)</f>
        <v>638</v>
      </c>
      <c r="C252" s="4">
        <v>2</v>
      </c>
      <c r="D252" s="4">
        <v>318</v>
      </c>
      <c r="E252" s="4" t="str">
        <f>VLOOKUP(A252,[1]Assign!$A:$I,9,FALSE)</f>
        <v>10% MDGS Variable</v>
      </c>
      <c r="F252" s="4">
        <f>VLOOKUP(A252,'[1]Carcass '!$C$105:$D$397,2,FALSE)</f>
        <v>827</v>
      </c>
      <c r="G252" s="4">
        <f t="shared" si="44"/>
        <v>1312.6984126984128</v>
      </c>
      <c r="H252" s="31">
        <f t="shared" si="37"/>
        <v>3.4423388402980244</v>
      </c>
      <c r="I252" s="4">
        <f>VLOOKUP(D252,'[1]DMO head'!$A$2:$D$49,4,FALSE)</f>
        <v>23.479164833812241</v>
      </c>
      <c r="J252" s="19">
        <f t="shared" si="38"/>
        <v>674.69841269841277</v>
      </c>
      <c r="L252" s="4">
        <f>VLOOKUP(A252,'[1]Carcass '!$C$10:$J$397,8,FALSE)</f>
        <v>0</v>
      </c>
      <c r="M252" s="4">
        <f t="shared" si="39"/>
        <v>0</v>
      </c>
      <c r="N252" s="4">
        <f t="shared" si="40"/>
        <v>0</v>
      </c>
      <c r="O252" s="4">
        <f t="shared" si="41"/>
        <v>0</v>
      </c>
      <c r="P252" s="4">
        <f t="shared" si="42"/>
        <v>0</v>
      </c>
      <c r="Q252" s="4">
        <f t="shared" si="43"/>
        <v>0</v>
      </c>
      <c r="R252" s="19">
        <f>VLOOKUP(A252,'[1]Carcass '!$C$107:$E$399,3,FALSE)</f>
        <v>14.8</v>
      </c>
      <c r="S252" s="4">
        <f>VLOOKUP(A252,'[1]Carcass '!$C$107:$F$399,4,FALSE)</f>
        <v>3.5</v>
      </c>
      <c r="T252" s="4">
        <f>VLOOKUP(A252,'[1]Carcass '!$C$10:$G$397,5, FALSE)</f>
        <v>0.69</v>
      </c>
      <c r="U252" s="4">
        <f>VLOOKUP(A252,'[1]Carcass '!$C$107:$I$399,7,FALSE)</f>
        <v>483</v>
      </c>
    </row>
    <row r="253" spans="1:21" x14ac:dyDescent="0.2">
      <c r="A253" s="94">
        <v>4734</v>
      </c>
      <c r="B253" s="87">
        <f>VLOOKUP(A253,[1]Assign!$A:$D,4,FALSE)</f>
        <v>655</v>
      </c>
      <c r="C253" s="4">
        <v>2</v>
      </c>
      <c r="D253" s="4">
        <v>215</v>
      </c>
      <c r="E253" s="4" t="str">
        <f>VLOOKUP(A253,[1]Assign!$A:$I,9,FALSE)</f>
        <v>10% MDGS Variable</v>
      </c>
      <c r="F253" s="4">
        <f>VLOOKUP(A253,'[1]Carcass '!$C$105:$D$397,2,FALSE)</f>
        <v>826</v>
      </c>
      <c r="G253" s="4">
        <f t="shared" si="44"/>
        <v>1311.1111111111111</v>
      </c>
      <c r="H253" s="31">
        <f t="shared" si="37"/>
        <v>3.3475056689342404</v>
      </c>
      <c r="I253" s="4">
        <f>VLOOKUP(D253,'[1]DMO head'!$A$2:$D$49,4,FALSE)</f>
        <v>21.5797851350505</v>
      </c>
      <c r="J253" s="19">
        <f t="shared" si="38"/>
        <v>656.11111111111109</v>
      </c>
      <c r="L253" s="4" t="str">
        <f>VLOOKUP(A253,'[1]Carcass '!$C$10:$J$397,8,FALSE)</f>
        <v>A</v>
      </c>
      <c r="M253" s="4">
        <f t="shared" si="39"/>
        <v>1</v>
      </c>
      <c r="N253" s="4">
        <f t="shared" si="40"/>
        <v>0</v>
      </c>
      <c r="O253" s="4">
        <f t="shared" si="41"/>
        <v>0</v>
      </c>
      <c r="P253" s="4">
        <f t="shared" si="42"/>
        <v>1</v>
      </c>
      <c r="Q253" s="4">
        <f t="shared" si="43"/>
        <v>0</v>
      </c>
      <c r="R253" s="19" t="str">
        <f>VLOOKUP(A253,'[1]Carcass '!$C$107:$E$399,3,FALSE)</f>
        <v>.</v>
      </c>
      <c r="S253" s="4" t="str">
        <f>VLOOKUP(A253,'[1]Carcass '!$C$107:$F$399,4,FALSE)</f>
        <v>.</v>
      </c>
    </row>
    <row r="254" spans="1:21" x14ac:dyDescent="0.2">
      <c r="A254" s="94">
        <v>4658</v>
      </c>
      <c r="B254" s="87">
        <f>VLOOKUP(A254,[1]Assign!$A:$D,4,FALSE)</f>
        <v>652</v>
      </c>
      <c r="C254" s="4">
        <v>2</v>
      </c>
      <c r="D254" s="4">
        <v>216</v>
      </c>
      <c r="E254" s="4" t="str">
        <f>VLOOKUP(A254,[1]Assign!$A:$I,9,FALSE)</f>
        <v xml:space="preserve">10% MDGS Constant </v>
      </c>
      <c r="F254" s="4">
        <f>VLOOKUP(A254,'[1]Carcass '!$C$105:$D$397,2,FALSE)</f>
        <v>877</v>
      </c>
      <c r="G254" s="4">
        <f t="shared" si="44"/>
        <v>1392.063492063492</v>
      </c>
      <c r="H254" s="31">
        <f t="shared" si="37"/>
        <v>3.7758341431810818</v>
      </c>
      <c r="I254" s="4">
        <f>VLOOKUP(D254,'[1]DMO head'!$A$2:$D$49,4,FALSE)</f>
        <v>21.830062429040414</v>
      </c>
      <c r="J254" s="19">
        <f t="shared" si="38"/>
        <v>740.06349206349205</v>
      </c>
      <c r="L254" s="4" t="str">
        <f>VLOOKUP(A254,'[1]Carcass '!$C$10:$J$397,8,FALSE)</f>
        <v>C</v>
      </c>
      <c r="M254" s="4">
        <f t="shared" si="39"/>
        <v>0</v>
      </c>
      <c r="N254" s="4">
        <f t="shared" si="40"/>
        <v>0</v>
      </c>
      <c r="O254" s="4">
        <f t="shared" si="41"/>
        <v>0</v>
      </c>
      <c r="P254" s="4">
        <f t="shared" si="42"/>
        <v>0</v>
      </c>
      <c r="Q254" s="4">
        <f t="shared" si="43"/>
        <v>1</v>
      </c>
      <c r="R254" s="19">
        <f>VLOOKUP(A254,'[1]Carcass '!$C$107:$E$399,3,FALSE)</f>
        <v>15.3</v>
      </c>
      <c r="S254" s="4">
        <f>VLOOKUP(A254,'[1]Carcass '!$C$107:$F$399,4,FALSE)</f>
        <v>3.5</v>
      </c>
      <c r="T254" s="4">
        <f>VLOOKUP(A254,'[1]Carcass '!$C$10:$G$397,5, FALSE)</f>
        <v>0.62</v>
      </c>
      <c r="U254" s="4">
        <f>VLOOKUP(A254,'[1]Carcass '!$C$107:$I$399,7,FALSE)</f>
        <v>461</v>
      </c>
    </row>
    <row r="255" spans="1:21" x14ac:dyDescent="0.2">
      <c r="A255" s="94">
        <v>4615</v>
      </c>
      <c r="B255" s="87">
        <f>VLOOKUP(A255,[1]Assign!$A:$D,4,FALSE)</f>
        <v>658</v>
      </c>
      <c r="C255" s="4">
        <v>2</v>
      </c>
      <c r="D255" s="4">
        <v>301</v>
      </c>
      <c r="E255" s="4" t="str">
        <f>VLOOKUP(A255,[1]Assign!$A:$I,9,FALSE)</f>
        <v xml:space="preserve">25% MDGS Constant </v>
      </c>
      <c r="F255" s="4">
        <f>VLOOKUP(A255,'[1]Carcass '!$C$105:$D$397,2,FALSE)</f>
        <v>920</v>
      </c>
      <c r="G255" s="4">
        <f t="shared" si="44"/>
        <v>1460.3174603174602</v>
      </c>
      <c r="H255" s="31">
        <f t="shared" si="37"/>
        <v>4.0934564301911234</v>
      </c>
      <c r="I255" s="4">
        <f>VLOOKUP(D255,'[1]DMO head'!$A$2:$D$49,4,FALSE)</f>
        <v>22.630176042777777</v>
      </c>
      <c r="J255" s="19">
        <f t="shared" si="38"/>
        <v>802.31746031746025</v>
      </c>
      <c r="L255" s="4" t="str">
        <f>VLOOKUP(A255,'[1]Carcass '!$C$10:$J$397,8,FALSE)</f>
        <v>C</v>
      </c>
      <c r="M255" s="4">
        <f t="shared" si="39"/>
        <v>0</v>
      </c>
      <c r="N255" s="4">
        <f t="shared" si="40"/>
        <v>0</v>
      </c>
      <c r="O255" s="4">
        <f t="shared" si="41"/>
        <v>0</v>
      </c>
      <c r="P255" s="4">
        <f t="shared" si="42"/>
        <v>0</v>
      </c>
      <c r="Q255" s="4">
        <f t="shared" si="43"/>
        <v>1</v>
      </c>
      <c r="R255" s="19">
        <f>VLOOKUP(A255,'[1]Carcass '!$C$107:$E$399,3,FALSE)</f>
        <v>13.2</v>
      </c>
      <c r="S255" s="4">
        <f>VLOOKUP(A255,'[1]Carcass '!$C$107:$F$399,4,FALSE)</f>
        <v>3.65</v>
      </c>
      <c r="T255" s="4">
        <f>VLOOKUP(A255,'[1]Carcass '!$C$10:$G$397,5, FALSE)</f>
        <v>0.71</v>
      </c>
      <c r="U255" s="4">
        <f>VLOOKUP(A255,'[1]Carcass '!$C$107:$I$399,7,FALSE)</f>
        <v>760</v>
      </c>
    </row>
    <row r="256" spans="1:21" x14ac:dyDescent="0.2">
      <c r="A256" s="94">
        <v>4585</v>
      </c>
      <c r="B256" s="87">
        <f>VLOOKUP(A256,[1]Assign!$A:$D,4,FALSE)</f>
        <v>661</v>
      </c>
      <c r="C256" s="4">
        <v>2</v>
      </c>
      <c r="D256" s="4">
        <v>302</v>
      </c>
      <c r="E256" s="4" t="str">
        <f>VLOOKUP(A256,[1]Assign!$A:$I,9,FALSE)</f>
        <v>25% MDGS Variable</v>
      </c>
      <c r="F256" s="4">
        <f>VLOOKUP(A256,'[1]Carcass '!$C$105:$D$397,2,FALSE)</f>
        <v>833</v>
      </c>
      <c r="G256" s="4">
        <f t="shared" si="44"/>
        <v>1322.2222222222222</v>
      </c>
      <c r="H256" s="31">
        <f t="shared" si="37"/>
        <v>3.3735827664399092</v>
      </c>
      <c r="I256" s="4">
        <f>VLOOKUP(D256,'[1]DMO head'!$A$2:$D$49,4,FALSE)</f>
        <v>21.718133105510006</v>
      </c>
      <c r="J256" s="19">
        <f t="shared" si="38"/>
        <v>661.22222222222217</v>
      </c>
      <c r="L256" s="4" t="str">
        <f>VLOOKUP(A256,'[1]Carcass '!$C$10:$J$397,8,FALSE)</f>
        <v>A-</v>
      </c>
      <c r="M256" s="4">
        <f t="shared" si="39"/>
        <v>0</v>
      </c>
      <c r="N256" s="4">
        <f t="shared" si="40"/>
        <v>1</v>
      </c>
      <c r="O256" s="4">
        <f t="shared" si="41"/>
        <v>0</v>
      </c>
      <c r="P256" s="4">
        <f t="shared" si="42"/>
        <v>1</v>
      </c>
      <c r="Q256" s="4">
        <f t="shared" si="43"/>
        <v>0</v>
      </c>
      <c r="R256" s="19">
        <f>VLOOKUP(A256,'[1]Carcass '!$C$107:$E$399,3,FALSE)</f>
        <v>14.5</v>
      </c>
      <c r="S256" s="4">
        <f>VLOOKUP(A256,'[1]Carcass '!$C$107:$F$399,4,FALSE)</f>
        <v>3.84</v>
      </c>
      <c r="T256" s="4">
        <f>VLOOKUP(A256,'[1]Carcass '!$C$10:$G$397,5, FALSE)</f>
        <v>0.78400000000000003</v>
      </c>
      <c r="U256" s="4">
        <f>VLOOKUP(A256,'[1]Carcass '!$C$107:$I$399,7,FALSE)</f>
        <v>617</v>
      </c>
    </row>
    <row r="257" spans="1:21" x14ac:dyDescent="0.2">
      <c r="A257" s="94">
        <v>4652</v>
      </c>
      <c r="B257" s="87">
        <f>VLOOKUP(A257,[1]Assign!$A:$D,4,FALSE)</f>
        <v>636</v>
      </c>
      <c r="C257" s="4">
        <v>2</v>
      </c>
      <c r="D257" s="4">
        <v>303</v>
      </c>
      <c r="E257" s="4" t="str">
        <f>VLOOKUP(A257,[1]Assign!$A:$I,9,FALSE)</f>
        <v>Control</v>
      </c>
      <c r="F257" s="4">
        <f>VLOOKUP(A257,'[1]Carcass '!$C$105:$D$397,2,FALSE)</f>
        <v>880</v>
      </c>
      <c r="G257" s="4">
        <f t="shared" si="44"/>
        <v>1396.8253968253969</v>
      </c>
      <c r="H257" s="31">
        <f t="shared" si="37"/>
        <v>3.8817622287010045</v>
      </c>
      <c r="I257" s="4">
        <f>VLOOKUP(D257,'[1]DMO head'!$A$2:$D$49,4,FALSE)</f>
        <v>21.256780292032506</v>
      </c>
      <c r="J257" s="19">
        <f t="shared" si="38"/>
        <v>760.82539682539687</v>
      </c>
      <c r="L257" s="4">
        <f>VLOOKUP(A257,'[1]Carcass '!$C$10:$J$397,8,FALSE)</f>
        <v>0</v>
      </c>
      <c r="M257" s="4">
        <f t="shared" si="39"/>
        <v>0</v>
      </c>
      <c r="N257" s="4">
        <f t="shared" si="40"/>
        <v>0</v>
      </c>
      <c r="O257" s="4">
        <f t="shared" si="41"/>
        <v>0</v>
      </c>
      <c r="P257" s="4">
        <f t="shared" si="42"/>
        <v>0</v>
      </c>
      <c r="Q257" s="4">
        <f t="shared" si="43"/>
        <v>0</v>
      </c>
      <c r="R257" s="19">
        <f>VLOOKUP(A257,'[1]Carcass '!$C$107:$E$399,3,FALSE)</f>
        <v>13.5</v>
      </c>
      <c r="S257" s="4">
        <f>VLOOKUP(A257,'[1]Carcass '!$C$107:$F$399,4,FALSE)</f>
        <v>3.9</v>
      </c>
      <c r="T257" s="4">
        <f>VLOOKUP(A257,'[1]Carcass '!$C$10:$G$397,5, FALSE)</f>
        <v>0.76</v>
      </c>
      <c r="U257" s="4">
        <f>VLOOKUP(A257,'[1]Carcass '!$C$107:$I$399,7,FALSE)</f>
        <v>533</v>
      </c>
    </row>
    <row r="258" spans="1:21" x14ac:dyDescent="0.2">
      <c r="A258" s="94">
        <v>4631</v>
      </c>
      <c r="B258" s="87">
        <f>VLOOKUP(A258,[1]Assign!$A:$D,4,FALSE)</f>
        <v>657</v>
      </c>
      <c r="C258" s="4">
        <v>2</v>
      </c>
      <c r="D258" s="4">
        <v>304</v>
      </c>
      <c r="E258" s="4" t="str">
        <f>VLOOKUP(A258,[1]Assign!$A:$I,9,FALSE)</f>
        <v>10% MDGS Variable</v>
      </c>
      <c r="F258" s="4">
        <f>VLOOKUP(A258,'[1]Carcass '!$C$105:$D$397,2,FALSE)</f>
        <v>816</v>
      </c>
      <c r="G258" s="4">
        <f t="shared" si="44"/>
        <v>1295.2380952380952</v>
      </c>
      <c r="H258" s="31">
        <f t="shared" si="37"/>
        <v>3.2563168124392612</v>
      </c>
      <c r="I258" s="4">
        <f>VLOOKUP(D258,'[1]DMO head'!$A$2:$D$49,4,FALSE)</f>
        <v>21.282594490991229</v>
      </c>
      <c r="J258" s="19">
        <f t="shared" si="38"/>
        <v>638.23809523809518</v>
      </c>
      <c r="L258" s="4">
        <f>VLOOKUP(A258,'[1]Carcass '!$C$10:$J$397,8,FALSE)</f>
        <v>0</v>
      </c>
      <c r="M258" s="4">
        <f t="shared" si="39"/>
        <v>0</v>
      </c>
      <c r="N258" s="4">
        <f t="shared" si="40"/>
        <v>0</v>
      </c>
      <c r="O258" s="4">
        <f t="shared" si="41"/>
        <v>0</v>
      </c>
      <c r="P258" s="4">
        <f t="shared" si="42"/>
        <v>0</v>
      </c>
      <c r="Q258" s="4">
        <f t="shared" si="43"/>
        <v>0</v>
      </c>
      <c r="R258" s="19">
        <f>VLOOKUP(A258,'[1]Carcass '!$C$107:$E$399,3,FALSE)</f>
        <v>14.4</v>
      </c>
      <c r="S258" s="4">
        <f>VLOOKUP(A258,'[1]Carcass '!$C$107:$F$399,4,FALSE)</f>
        <v>3</v>
      </c>
      <c r="T258" s="4">
        <f>VLOOKUP(A258,'[1]Carcass '!$C$10:$G$397,5, FALSE)</f>
        <v>0.41</v>
      </c>
      <c r="U258" s="4">
        <f>VLOOKUP(A258,'[1]Carcass '!$C$107:$I$399,7,FALSE)</f>
        <v>397</v>
      </c>
    </row>
    <row r="259" spans="1:21" x14ac:dyDescent="0.2">
      <c r="A259" s="94">
        <v>4563</v>
      </c>
      <c r="B259" s="87">
        <f>VLOOKUP(A259,[1]Assign!$A:$D,4,FALSE)</f>
        <v>640</v>
      </c>
      <c r="C259" s="4">
        <v>2</v>
      </c>
      <c r="D259" s="4">
        <v>305</v>
      </c>
      <c r="E259" s="4" t="str">
        <f>VLOOKUP(A259,[1]Assign!$A:$I,9,FALSE)</f>
        <v xml:space="preserve">10% MDGS Constant </v>
      </c>
      <c r="F259" s="4">
        <f>VLOOKUP(A259,'[1]Carcass '!$C$105:$D$397,2,FALSE)</f>
        <v>788</v>
      </c>
      <c r="G259" s="4">
        <f t="shared" si="44"/>
        <v>1250.7936507936508</v>
      </c>
      <c r="H259" s="31">
        <f t="shared" ref="H259:H294" si="45">(G259-B259)/196</f>
        <v>3.1162941367023</v>
      </c>
      <c r="I259" s="4">
        <f>VLOOKUP(D259,'[1]DMO head'!$A$2:$D$49,4,FALSE)</f>
        <v>20.599573820131273</v>
      </c>
      <c r="J259" s="19">
        <f t="shared" ref="J259:J294" si="46">G259-B259</f>
        <v>610.79365079365084</v>
      </c>
      <c r="L259" s="4">
        <f>VLOOKUP(A259,'[1]Carcass '!$C$10:$J$397,8,FALSE)</f>
        <v>0</v>
      </c>
      <c r="M259" s="4">
        <f t="shared" ref="M259:M322" si="47">COUNTIF(L259,"A")</f>
        <v>0</v>
      </c>
      <c r="N259" s="4">
        <f t="shared" ref="N259:N322" si="48">COUNTIF(L259,"A-")</f>
        <v>0</v>
      </c>
      <c r="O259" s="4">
        <f t="shared" ref="O259:O322" si="49">COUNTIF(L259,"A+")</f>
        <v>0</v>
      </c>
      <c r="P259" s="4">
        <f t="shared" ref="P259:P322" si="50">SUM(M259:O259)</f>
        <v>0</v>
      </c>
      <c r="Q259" s="4">
        <f t="shared" ref="Q259:Q322" si="51">COUNTIF(L259,"C")</f>
        <v>0</v>
      </c>
      <c r="R259" s="19">
        <f>VLOOKUP(A259,'[1]Carcass '!$C$107:$E$399,3,FALSE)</f>
        <v>14.9</v>
      </c>
      <c r="S259" s="4">
        <f>VLOOKUP(A259,'[1]Carcass '!$C$107:$F$399,4,FALSE)</f>
        <v>3.2</v>
      </c>
      <c r="T259" s="4">
        <f>VLOOKUP(A259,'[1]Carcass '!$C$10:$G$397,5, FALSE)</f>
        <v>0.58399999999999996</v>
      </c>
    </row>
    <row r="260" spans="1:21" x14ac:dyDescent="0.2">
      <c r="A260" s="94">
        <v>4607</v>
      </c>
      <c r="B260" s="87">
        <f>VLOOKUP(A260,[1]Assign!$A:$D,4,FALSE)</f>
        <v>648</v>
      </c>
      <c r="C260" s="4">
        <v>2</v>
      </c>
      <c r="D260" s="4">
        <v>306</v>
      </c>
      <c r="E260" s="4" t="str">
        <f>VLOOKUP(A260,[1]Assign!$A:$I,9,FALSE)</f>
        <v>Control</v>
      </c>
      <c r="F260" s="4">
        <f>VLOOKUP(A260,'[1]Carcass '!$C$105:$D$397,2,FALSE)</f>
        <v>846</v>
      </c>
      <c r="G260" s="4">
        <f t="shared" si="44"/>
        <v>1342.8571428571429</v>
      </c>
      <c r="H260" s="31">
        <f t="shared" si="45"/>
        <v>3.545189504373178</v>
      </c>
      <c r="I260" s="4">
        <f>VLOOKUP(D260,'[1]DMO head'!$A$2:$D$49,4,FALSE)</f>
        <v>23.243543323568986</v>
      </c>
      <c r="J260" s="19">
        <f t="shared" si="46"/>
        <v>694.85714285714289</v>
      </c>
      <c r="L260" s="4">
        <f>VLOOKUP(A260,'[1]Carcass '!$C$10:$J$397,8,FALSE)</f>
        <v>0</v>
      </c>
      <c r="M260" s="4">
        <f t="shared" si="47"/>
        <v>0</v>
      </c>
      <c r="N260" s="4">
        <f t="shared" si="48"/>
        <v>0</v>
      </c>
      <c r="O260" s="4">
        <f t="shared" si="49"/>
        <v>0</v>
      </c>
      <c r="P260" s="4">
        <f t="shared" si="50"/>
        <v>0</v>
      </c>
      <c r="Q260" s="4">
        <f t="shared" si="51"/>
        <v>0</v>
      </c>
      <c r="R260" s="19">
        <f>VLOOKUP(A260,'[1]Carcass '!$C$107:$E$399,3,FALSE)</f>
        <v>12.9</v>
      </c>
      <c r="S260" s="4">
        <f>VLOOKUP(A260,'[1]Carcass '!$C$107:$F$399,4,FALSE)</f>
        <v>3.8</v>
      </c>
      <c r="T260" s="4">
        <f>VLOOKUP(A260,'[1]Carcass '!$C$10:$G$397,5, FALSE)</f>
        <v>0.84</v>
      </c>
      <c r="U260" s="4">
        <f>VLOOKUP(A260,'[1]Carcass '!$C$107:$I$399,7,FALSE)</f>
        <v>543</v>
      </c>
    </row>
    <row r="261" spans="1:21" x14ac:dyDescent="0.2">
      <c r="A261" s="94">
        <v>4484</v>
      </c>
      <c r="B261" s="87">
        <f>VLOOKUP(A261,[1]Assign!$A:$D,4,FALSE)</f>
        <v>646</v>
      </c>
      <c r="C261" s="4">
        <v>2</v>
      </c>
      <c r="D261" s="4">
        <v>307</v>
      </c>
      <c r="E261" s="4" t="str">
        <f>VLOOKUP(A261,[1]Assign!$A:$I,9,FALSE)</f>
        <v>25% MDGS Variable</v>
      </c>
      <c r="F261" s="4">
        <f>VLOOKUP(A261,'[1]Carcass '!$C$105:$D$397,2,FALSE)</f>
        <v>891</v>
      </c>
      <c r="G261" s="4">
        <f t="shared" si="44"/>
        <v>1414.2857142857142</v>
      </c>
      <c r="H261" s="31">
        <f t="shared" si="45"/>
        <v>3.9198250728862969</v>
      </c>
      <c r="I261" s="4">
        <f>VLOOKUP(D261,'[1]DMO head'!$A$2:$D$49,4,FALSE)</f>
        <v>21.697158876111111</v>
      </c>
      <c r="J261" s="19">
        <f t="shared" si="46"/>
        <v>768.28571428571422</v>
      </c>
      <c r="L261" s="4" t="str">
        <f>VLOOKUP(A261,'[1]Carcass '!$C$10:$J$397,8,FALSE)</f>
        <v>A-</v>
      </c>
      <c r="M261" s="4">
        <f t="shared" si="47"/>
        <v>0</v>
      </c>
      <c r="N261" s="4">
        <f t="shared" si="48"/>
        <v>1</v>
      </c>
      <c r="O261" s="4">
        <f t="shared" si="49"/>
        <v>0</v>
      </c>
      <c r="P261" s="4">
        <f t="shared" si="50"/>
        <v>1</v>
      </c>
      <c r="Q261" s="4">
        <f t="shared" si="51"/>
        <v>0</v>
      </c>
      <c r="R261" s="19">
        <f>VLOOKUP(A261,'[1]Carcass '!$C$107:$E$399,3,FALSE)</f>
        <v>15.1</v>
      </c>
      <c r="S261" s="4">
        <f>VLOOKUP(A261,'[1]Carcass '!$C$107:$F$399,4,FALSE)</f>
        <v>3.8</v>
      </c>
      <c r="T261" s="4">
        <f>VLOOKUP(A261,'[1]Carcass '!$C$10:$G$397,5, FALSE)</f>
        <v>0.76</v>
      </c>
      <c r="U261" s="4">
        <f>VLOOKUP(A261,'[1]Carcass '!$C$107:$I$399,7,FALSE)</f>
        <v>664</v>
      </c>
    </row>
    <row r="262" spans="1:21" x14ac:dyDescent="0.2">
      <c r="A262" s="94">
        <v>4574</v>
      </c>
      <c r="B262" s="87">
        <f>VLOOKUP(A262,[1]Assign!$A:$D,4,FALSE)</f>
        <v>643</v>
      </c>
      <c r="C262" s="4">
        <v>2</v>
      </c>
      <c r="D262" s="4">
        <v>308</v>
      </c>
      <c r="E262" s="4" t="str">
        <f>VLOOKUP(A262,[1]Assign!$A:$I,9,FALSE)</f>
        <v xml:space="preserve">25% MDGS Constant </v>
      </c>
      <c r="F262" s="4">
        <f>VLOOKUP(A262,'[1]Carcass '!$C$105:$D$397,2,FALSE)</f>
        <v>906</v>
      </c>
      <c r="G262" s="4">
        <f t="shared" si="44"/>
        <v>1438.0952380952381</v>
      </c>
      <c r="H262" s="31">
        <f t="shared" si="45"/>
        <v>4.0566083576287655</v>
      </c>
      <c r="I262" s="4">
        <f>VLOOKUP(D262,'[1]DMO head'!$A$2:$D$49,4,FALSE)</f>
        <v>23.183092460704504</v>
      </c>
      <c r="J262" s="19">
        <f t="shared" si="46"/>
        <v>795.09523809523807</v>
      </c>
      <c r="L262" s="4">
        <f>VLOOKUP(A262,'[1]Carcass '!$C$10:$J$397,8,FALSE)</f>
        <v>0</v>
      </c>
      <c r="M262" s="4">
        <f t="shared" si="47"/>
        <v>0</v>
      </c>
      <c r="N262" s="4">
        <f t="shared" si="48"/>
        <v>0</v>
      </c>
      <c r="O262" s="4">
        <f t="shared" si="49"/>
        <v>0</v>
      </c>
      <c r="P262" s="4">
        <f t="shared" si="50"/>
        <v>0</v>
      </c>
      <c r="Q262" s="4">
        <f t="shared" si="51"/>
        <v>0</v>
      </c>
      <c r="R262" s="19">
        <f>VLOOKUP(A262,'[1]Carcass '!$C$107:$E$399,3,FALSE)</f>
        <v>13</v>
      </c>
      <c r="S262" s="4">
        <f>VLOOKUP(A262,'[1]Carcass '!$C$107:$F$399,4,FALSE)</f>
        <v>4.2</v>
      </c>
      <c r="T262" s="4">
        <f>VLOOKUP(A262,'[1]Carcass '!$C$10:$G$397,5, FALSE)</f>
        <v>0.92</v>
      </c>
      <c r="U262" s="4">
        <f>VLOOKUP(A262,'[1]Carcass '!$C$107:$I$399,7,FALSE)</f>
        <v>684</v>
      </c>
    </row>
    <row r="263" spans="1:21" x14ac:dyDescent="0.2">
      <c r="A263" s="94">
        <v>4509</v>
      </c>
      <c r="B263" s="87">
        <f>VLOOKUP(A263,[1]Assign!$A:$D,4,FALSE)</f>
        <v>641</v>
      </c>
      <c r="C263" s="4">
        <v>2</v>
      </c>
      <c r="D263" s="4">
        <v>309</v>
      </c>
      <c r="E263" s="4" t="str">
        <f>VLOOKUP(A263,[1]Assign!$A:$I,9,FALSE)</f>
        <v>Control</v>
      </c>
      <c r="F263" s="4">
        <f>VLOOKUP(A263,'[1]Carcass '!$C$105:$D$397,2,FALSE)</f>
        <v>863</v>
      </c>
      <c r="G263" s="4">
        <f t="shared" si="44"/>
        <v>1369.8412698412699</v>
      </c>
      <c r="H263" s="31">
        <f t="shared" si="45"/>
        <v>3.7185779073534175</v>
      </c>
      <c r="I263" s="4">
        <f>VLOOKUP(D263,'[1]DMO head'!$A$2:$D$49,4,FALSE)</f>
        <v>22.382749735000004</v>
      </c>
      <c r="J263" s="19">
        <f t="shared" si="46"/>
        <v>728.84126984126988</v>
      </c>
      <c r="L263" s="4">
        <f>VLOOKUP(A263,'[1]Carcass '!$C$10:$J$397,8,FALSE)</f>
        <v>0</v>
      </c>
      <c r="M263" s="4">
        <f t="shared" si="47"/>
        <v>0</v>
      </c>
      <c r="N263" s="4">
        <f t="shared" si="48"/>
        <v>0</v>
      </c>
      <c r="O263" s="4">
        <f t="shared" si="49"/>
        <v>0</v>
      </c>
      <c r="P263" s="4">
        <f t="shared" si="50"/>
        <v>0</v>
      </c>
      <c r="Q263" s="4">
        <f t="shared" si="51"/>
        <v>0</v>
      </c>
      <c r="R263" s="19">
        <f>VLOOKUP(A263,'[1]Carcass '!$C$107:$E$399,3,FALSE)</f>
        <v>13.3</v>
      </c>
      <c r="S263" s="4">
        <f>VLOOKUP(A263,'[1]Carcass '!$C$107:$F$399,4,FALSE)</f>
        <v>3.42</v>
      </c>
      <c r="T263" s="4">
        <f>VLOOKUP(A263,'[1]Carcass '!$C$10:$G$397,5, FALSE)</f>
        <v>0.57999999999999996</v>
      </c>
      <c r="U263" s="4">
        <f>VLOOKUP(A263,'[1]Carcass '!$C$107:$I$399,7,FALSE)</f>
        <v>566</v>
      </c>
    </row>
    <row r="264" spans="1:21" x14ac:dyDescent="0.2">
      <c r="A264" s="94">
        <v>4715</v>
      </c>
      <c r="B264" s="87">
        <f>VLOOKUP(A264,[1]Assign!$A:$D,4,FALSE)</f>
        <v>646</v>
      </c>
      <c r="C264" s="4">
        <v>2</v>
      </c>
      <c r="D264" s="4">
        <v>310</v>
      </c>
      <c r="E264" s="4" t="str">
        <f>VLOOKUP(A264,[1]Assign!$A:$I,9,FALSE)</f>
        <v>10% MDGS Variable</v>
      </c>
      <c r="F264" s="4">
        <f>VLOOKUP(A264,'[1]Carcass '!$C$105:$D$397,2,FALSE)</f>
        <v>938</v>
      </c>
      <c r="G264" s="4">
        <f t="shared" si="44"/>
        <v>1488.8888888888889</v>
      </c>
      <c r="H264" s="31">
        <f t="shared" si="45"/>
        <v>4.3004535147392291</v>
      </c>
      <c r="I264" s="4">
        <f>VLOOKUP(D264,'[1]DMO head'!$A$2:$D$49,4,FALSE)</f>
        <v>23.18107161691918</v>
      </c>
      <c r="J264" s="19">
        <f t="shared" si="46"/>
        <v>842.88888888888891</v>
      </c>
      <c r="L264" s="4">
        <f>VLOOKUP(A264,'[1]Carcass '!$C$10:$J$397,8,FALSE)</f>
        <v>0</v>
      </c>
      <c r="M264" s="4">
        <f t="shared" si="47"/>
        <v>0</v>
      </c>
      <c r="N264" s="4">
        <f t="shared" si="48"/>
        <v>0</v>
      </c>
      <c r="O264" s="4">
        <f t="shared" si="49"/>
        <v>0</v>
      </c>
      <c r="P264" s="4">
        <f t="shared" si="50"/>
        <v>0</v>
      </c>
      <c r="Q264" s="4">
        <f t="shared" si="51"/>
        <v>0</v>
      </c>
      <c r="R264" s="19">
        <f>VLOOKUP(A264,'[1]Carcass '!$C$107:$E$399,3,FALSE)</f>
        <v>13.9</v>
      </c>
      <c r="S264" s="4">
        <f>VLOOKUP(A264,'[1]Carcass '!$C$107:$F$399,4,FALSE)</f>
        <v>3.5</v>
      </c>
      <c r="T264" s="4">
        <f>VLOOKUP(A264,'[1]Carcass '!$C$10:$G$397,5, FALSE)</f>
        <v>0.6</v>
      </c>
      <c r="U264" s="4">
        <f>VLOOKUP(A264,'[1]Carcass '!$C$107:$I$399,7,FALSE)</f>
        <v>595</v>
      </c>
    </row>
    <row r="265" spans="1:21" x14ac:dyDescent="0.2">
      <c r="A265" s="94">
        <v>4448</v>
      </c>
      <c r="B265" s="87">
        <f>VLOOKUP(A265,[1]Assign!$A:$D,4,FALSE)</f>
        <v>652</v>
      </c>
      <c r="C265" s="4">
        <v>2</v>
      </c>
      <c r="D265" s="4">
        <v>311</v>
      </c>
      <c r="E265" s="4" t="str">
        <f>VLOOKUP(A265,[1]Assign!$A:$I,9,FALSE)</f>
        <v xml:space="preserve">10% MDGS Constant </v>
      </c>
      <c r="F265" s="4">
        <f>VLOOKUP(A265,'[1]Carcass '!$C$105:$D$397,2,FALSE)</f>
        <v>813</v>
      </c>
      <c r="G265" s="4">
        <f t="shared" si="44"/>
        <v>1290.4761904761904</v>
      </c>
      <c r="H265" s="31">
        <f t="shared" si="45"/>
        <v>3.2575315840621957</v>
      </c>
      <c r="I265" s="4">
        <f>VLOOKUP(D265,'[1]DMO head'!$A$2:$D$49,4,FALSE)</f>
        <v>23.779243605703989</v>
      </c>
      <c r="J265" s="19">
        <f t="shared" si="46"/>
        <v>638.47619047619037</v>
      </c>
      <c r="L265" s="4">
        <f>VLOOKUP(A265,'[1]Carcass '!$C$10:$J$397,8,FALSE)</f>
        <v>0</v>
      </c>
      <c r="M265" s="4">
        <f t="shared" si="47"/>
        <v>0</v>
      </c>
      <c r="N265" s="4">
        <f t="shared" si="48"/>
        <v>0</v>
      </c>
      <c r="O265" s="4">
        <f t="shared" si="49"/>
        <v>0</v>
      </c>
      <c r="P265" s="4">
        <f t="shared" si="50"/>
        <v>0</v>
      </c>
      <c r="Q265" s="4">
        <f t="shared" si="51"/>
        <v>0</v>
      </c>
      <c r="R265" s="19">
        <f>VLOOKUP(A265,'[1]Carcass '!$C$107:$E$399,3,FALSE)</f>
        <v>12.6</v>
      </c>
      <c r="S265" s="4">
        <f>VLOOKUP(A265,'[1]Carcass '!$C$107:$F$399,4,FALSE)</f>
        <v>3.5</v>
      </c>
      <c r="T265" s="4">
        <f>VLOOKUP(A265,'[1]Carcass '!$C$10:$G$397,5, FALSE)</f>
        <v>0.68</v>
      </c>
      <c r="U265" s="4">
        <f>VLOOKUP(A265,'[1]Carcass '!$C$107:$I$399,7,FALSE)</f>
        <v>714</v>
      </c>
    </row>
    <row r="266" spans="1:21" x14ac:dyDescent="0.2">
      <c r="A266" s="94">
        <v>4573</v>
      </c>
      <c r="B266" s="87">
        <f>VLOOKUP(A266,[1]Assign!$A:$D,4,FALSE)</f>
        <v>650</v>
      </c>
      <c r="C266" s="4">
        <v>2</v>
      </c>
      <c r="D266" s="4">
        <v>312</v>
      </c>
      <c r="E266" s="4" t="str">
        <f>VLOOKUP(A266,[1]Assign!$A:$I,9,FALSE)</f>
        <v xml:space="preserve">25% MDGS Constant </v>
      </c>
      <c r="F266" s="4">
        <f>VLOOKUP(A266,'[1]Carcass '!$C$105:$D$397,2,FALSE)</f>
        <v>833</v>
      </c>
      <c r="G266" s="4">
        <f t="shared" si="44"/>
        <v>1322.2222222222222</v>
      </c>
      <c r="H266" s="31">
        <f t="shared" si="45"/>
        <v>3.4297052154195007</v>
      </c>
      <c r="I266" s="4">
        <f>VLOOKUP(D266,'[1]DMO head'!$A$2:$D$49,4,FALSE)</f>
        <v>23.507213350404029</v>
      </c>
      <c r="J266" s="19">
        <f t="shared" si="46"/>
        <v>672.22222222222217</v>
      </c>
      <c r="L266" s="4" t="str">
        <f>VLOOKUP(A266,'[1]Carcass '!$C$10:$J$397,8,FALSE)</f>
        <v>A+</v>
      </c>
      <c r="M266" s="4">
        <f t="shared" si="47"/>
        <v>0</v>
      </c>
      <c r="N266" s="4">
        <f t="shared" si="48"/>
        <v>0</v>
      </c>
      <c r="O266" s="4">
        <f t="shared" si="49"/>
        <v>1</v>
      </c>
      <c r="P266" s="4">
        <f t="shared" si="50"/>
        <v>1</v>
      </c>
      <c r="Q266" s="4">
        <f t="shared" si="51"/>
        <v>0</v>
      </c>
      <c r="R266" s="19">
        <f>VLOOKUP(A266,'[1]Carcass '!$C$107:$E$399,3,FALSE)</f>
        <v>13.76</v>
      </c>
      <c r="S266" s="4">
        <f>VLOOKUP(A266,'[1]Carcass '!$C$107:$F$399,4,FALSE)</f>
        <v>3.86</v>
      </c>
      <c r="T266" s="4">
        <f>VLOOKUP(A266,'[1]Carcass '!$C$10:$G$397,5, FALSE)</f>
        <v>0.88</v>
      </c>
      <c r="U266" s="4">
        <f>VLOOKUP(A266,'[1]Carcass '!$C$107:$I$399,7,FALSE)</f>
        <v>592</v>
      </c>
    </row>
    <row r="267" spans="1:21" x14ac:dyDescent="0.2">
      <c r="A267" s="94">
        <v>4510</v>
      </c>
      <c r="B267" s="87">
        <f>VLOOKUP(A267,[1]Assign!$A:$D,4,FALSE)</f>
        <v>646</v>
      </c>
      <c r="C267" s="4">
        <v>2</v>
      </c>
      <c r="D267" s="4">
        <v>313</v>
      </c>
      <c r="E267" s="4" t="str">
        <f>VLOOKUP(A267,[1]Assign!$A:$I,9,FALSE)</f>
        <v>25% MDGS Variable</v>
      </c>
      <c r="F267" s="4">
        <f>VLOOKUP(A267,'[1]Carcass '!$C$105:$D$397,2,FALSE)</f>
        <v>924</v>
      </c>
      <c r="G267" s="4">
        <f t="shared" si="44"/>
        <v>1466.6666666666667</v>
      </c>
      <c r="H267" s="31">
        <f t="shared" si="45"/>
        <v>4.1870748299319729</v>
      </c>
      <c r="I267" s="4">
        <f>VLOOKUP(D267,'[1]DMO head'!$A$2:$D$49,4,FALSE)</f>
        <v>23.480892071111096</v>
      </c>
      <c r="J267" s="19">
        <f t="shared" si="46"/>
        <v>820.66666666666674</v>
      </c>
      <c r="L267" s="4" t="str">
        <f>VLOOKUP(A267,'[1]Carcass '!$C$10:$J$397,8,FALSE)</f>
        <v>A</v>
      </c>
      <c r="M267" s="4">
        <f t="shared" si="47"/>
        <v>1</v>
      </c>
      <c r="N267" s="4">
        <f t="shared" si="48"/>
        <v>0</v>
      </c>
      <c r="O267" s="4">
        <f t="shared" si="49"/>
        <v>0</v>
      </c>
      <c r="P267" s="4">
        <f t="shared" si="50"/>
        <v>1</v>
      </c>
      <c r="Q267" s="4">
        <f t="shared" si="51"/>
        <v>0</v>
      </c>
      <c r="R267" s="19">
        <f>VLOOKUP(A267,'[1]Carcass '!$C$107:$E$399,3,FALSE)</f>
        <v>13.4</v>
      </c>
      <c r="S267" s="4">
        <f>VLOOKUP(A267,'[1]Carcass '!$C$107:$F$399,4,FALSE)</f>
        <v>3.9</v>
      </c>
      <c r="T267" s="4">
        <f>VLOOKUP(A267,'[1]Carcass '!$C$10:$G$397,5, FALSE)</f>
        <v>0.76</v>
      </c>
      <c r="U267" s="4">
        <f>VLOOKUP(A267,'[1]Carcass '!$C$107:$I$399,7,FALSE)</f>
        <v>710</v>
      </c>
    </row>
    <row r="268" spans="1:21" x14ac:dyDescent="0.2">
      <c r="A268" s="94">
        <v>4758</v>
      </c>
      <c r="B268" s="87">
        <f>VLOOKUP(A268,[1]Assign!$A:$D,4,FALSE)</f>
        <v>656</v>
      </c>
      <c r="C268" s="4">
        <v>2</v>
      </c>
      <c r="D268" s="4">
        <v>314</v>
      </c>
      <c r="E268" s="4" t="str">
        <f>VLOOKUP(A268,[1]Assign!$A:$I,9,FALSE)</f>
        <v>25% MDGS Variable</v>
      </c>
      <c r="F268" s="4">
        <f>VLOOKUP(A268,'[1]Carcass '!$C$105:$D$397,2,FALSE)</f>
        <v>907</v>
      </c>
      <c r="G268" s="4">
        <f t="shared" si="44"/>
        <v>1439.6825396825398</v>
      </c>
      <c r="H268" s="31">
        <f t="shared" si="45"/>
        <v>3.9983803045027537</v>
      </c>
      <c r="I268" s="4">
        <f>VLOOKUP(D268,'[1]DMO head'!$A$2:$D$49,4,FALSE)</f>
        <v>23.926712488585853</v>
      </c>
      <c r="J268" s="19">
        <f t="shared" si="46"/>
        <v>783.68253968253975</v>
      </c>
      <c r="L268" s="4">
        <f>VLOOKUP(A268,'[1]Carcass '!$C$10:$J$397,8,FALSE)</f>
        <v>0</v>
      </c>
      <c r="M268" s="4">
        <f t="shared" si="47"/>
        <v>0</v>
      </c>
      <c r="N268" s="4">
        <f t="shared" si="48"/>
        <v>0</v>
      </c>
      <c r="O268" s="4">
        <f t="shared" si="49"/>
        <v>0</v>
      </c>
      <c r="P268" s="4">
        <f t="shared" si="50"/>
        <v>0</v>
      </c>
      <c r="Q268" s="4">
        <f t="shared" si="51"/>
        <v>0</v>
      </c>
      <c r="R268" s="19">
        <f>VLOOKUP(A268,'[1]Carcass '!$C$107:$E$399,3,FALSE)</f>
        <v>15.67</v>
      </c>
      <c r="S268" s="4">
        <f>VLOOKUP(A268,'[1]Carcass '!$C$107:$F$399,4,FALSE)</f>
        <v>3.6</v>
      </c>
      <c r="T268" s="4">
        <f>VLOOKUP(A268,'[1]Carcass '!$C$10:$G$397,5, FALSE)</f>
        <v>0.72</v>
      </c>
      <c r="U268" s="4">
        <f>VLOOKUP(A268,'[1]Carcass '!$C$107:$I$399,7,FALSE)</f>
        <v>476</v>
      </c>
    </row>
    <row r="269" spans="1:21" x14ac:dyDescent="0.2">
      <c r="A269" s="94">
        <v>4388</v>
      </c>
      <c r="B269" s="87">
        <f>VLOOKUP(A269,[1]Assign!$A:$D,4,FALSE)</f>
        <v>644</v>
      </c>
      <c r="C269" s="4">
        <v>2</v>
      </c>
      <c r="D269" s="4">
        <v>315</v>
      </c>
      <c r="E269" s="4" t="str">
        <f>VLOOKUP(A269,[1]Assign!$A:$I,9,FALSE)</f>
        <v xml:space="preserve">25% MDGS Constant </v>
      </c>
      <c r="F269" s="4">
        <f>VLOOKUP(A269,'[1]Carcass '!$C$105:$D$397,2,FALSE)</f>
        <v>883</v>
      </c>
      <c r="G269" s="4">
        <f t="shared" si="44"/>
        <v>1401.5873015873017</v>
      </c>
      <c r="H269" s="31">
        <f t="shared" si="45"/>
        <v>3.8652413346290904</v>
      </c>
      <c r="I269" s="4">
        <f>VLOOKUP(D269,'[1]DMO head'!$A$2:$D$49,4,FALSE)</f>
        <v>23.392790065062279</v>
      </c>
      <c r="J269" s="19">
        <f t="shared" si="46"/>
        <v>757.58730158730168</v>
      </c>
      <c r="L269" s="4" t="str">
        <f>VLOOKUP(A269,'[1]Carcass '!$C$10:$J$397,8,FALSE)</f>
        <v>A+</v>
      </c>
      <c r="M269" s="4">
        <f t="shared" si="47"/>
        <v>0</v>
      </c>
      <c r="N269" s="4">
        <f t="shared" si="48"/>
        <v>0</v>
      </c>
      <c r="O269" s="4">
        <f t="shared" si="49"/>
        <v>1</v>
      </c>
      <c r="P269" s="4">
        <f t="shared" si="50"/>
        <v>1</v>
      </c>
      <c r="Q269" s="4">
        <f t="shared" si="51"/>
        <v>0</v>
      </c>
      <c r="R269" s="19">
        <f>VLOOKUP(A269,'[1]Carcass '!$C$107:$E$399,3,FALSE)</f>
        <v>15.1</v>
      </c>
      <c r="S269" s="4">
        <f>VLOOKUP(A269,'[1]Carcass '!$C$107:$F$399,4,FALSE)</f>
        <v>3.5</v>
      </c>
      <c r="T269" s="4">
        <f>VLOOKUP(A269,'[1]Carcass '!$C$10:$G$397,5, FALSE)</f>
        <v>0.63</v>
      </c>
      <c r="U269" s="4">
        <f>VLOOKUP(A269,'[1]Carcass '!$C$107:$I$399,7,FALSE)</f>
        <v>495</v>
      </c>
    </row>
    <row r="270" spans="1:21" x14ac:dyDescent="0.2">
      <c r="A270" s="94">
        <v>4692</v>
      </c>
      <c r="B270" s="87">
        <f>VLOOKUP(A270,[1]Assign!$A:$D,4,FALSE)</f>
        <v>646</v>
      </c>
      <c r="C270" s="4">
        <v>2</v>
      </c>
      <c r="D270" s="4">
        <v>316</v>
      </c>
      <c r="E270" s="4" t="str">
        <f>VLOOKUP(A270,[1]Assign!$A:$I,9,FALSE)</f>
        <v xml:space="preserve">10% MDGS Constant </v>
      </c>
      <c r="F270" s="4">
        <f>VLOOKUP(A270,'[1]Carcass '!$C$105:$D$397,2,FALSE)</f>
        <v>894</v>
      </c>
      <c r="G270" s="4">
        <f t="shared" si="44"/>
        <v>1419.047619047619</v>
      </c>
      <c r="H270" s="31">
        <f t="shared" si="45"/>
        <v>3.944120505344995</v>
      </c>
      <c r="I270" s="4">
        <f>VLOOKUP(D270,'[1]DMO head'!$A$2:$D$49,4,FALSE)</f>
        <v>23.276936370757571</v>
      </c>
      <c r="J270" s="19">
        <f t="shared" si="46"/>
        <v>773.04761904761904</v>
      </c>
      <c r="L270" s="4" t="str">
        <f>VLOOKUP(A270,'[1]Carcass '!$C$10:$J$397,8,FALSE)</f>
        <v>A-</v>
      </c>
      <c r="M270" s="4">
        <f t="shared" si="47"/>
        <v>0</v>
      </c>
      <c r="N270" s="4">
        <f t="shared" si="48"/>
        <v>1</v>
      </c>
      <c r="O270" s="4">
        <f t="shared" si="49"/>
        <v>0</v>
      </c>
      <c r="P270" s="4">
        <f t="shared" si="50"/>
        <v>1</v>
      </c>
      <c r="Q270" s="4">
        <f t="shared" si="51"/>
        <v>0</v>
      </c>
      <c r="R270" s="19">
        <f>VLOOKUP(A270,'[1]Carcass '!$C$107:$E$399,3,FALSE)</f>
        <v>15.1</v>
      </c>
      <c r="S270" s="4">
        <f>VLOOKUP(A270,'[1]Carcass '!$C$107:$F$399,4,FALSE)</f>
        <v>2.5</v>
      </c>
      <c r="T270" s="4">
        <f>VLOOKUP(A270,'[1]Carcass '!$C$10:$G$397,5, FALSE)</f>
        <v>0.3</v>
      </c>
      <c r="U270" s="4">
        <f>VLOOKUP(A270,'[1]Carcass '!$C$107:$I$399,7,FALSE)</f>
        <v>526</v>
      </c>
    </row>
    <row r="271" spans="1:21" x14ac:dyDescent="0.2">
      <c r="A271" s="94">
        <v>4632</v>
      </c>
      <c r="B271" s="87">
        <f>VLOOKUP(A271,[1]Assign!$A:$D,4,FALSE)</f>
        <v>650</v>
      </c>
      <c r="C271" s="4">
        <v>2</v>
      </c>
      <c r="D271" s="4">
        <v>317</v>
      </c>
      <c r="E271" s="4" t="str">
        <f>VLOOKUP(A271,[1]Assign!$A:$I,9,FALSE)</f>
        <v>Control</v>
      </c>
      <c r="F271" s="4">
        <f>VLOOKUP(A271,'[1]Carcass '!$C$105:$D$397,2,FALSE)</f>
        <v>903</v>
      </c>
      <c r="G271" s="4">
        <f t="shared" si="44"/>
        <v>1433.3333333333333</v>
      </c>
      <c r="H271" s="31">
        <f t="shared" si="45"/>
        <v>3.9965986394557818</v>
      </c>
      <c r="I271" s="4">
        <f>VLOOKUP(D271,'[1]DMO head'!$A$2:$D$49,4,FALSE)</f>
        <v>23.188136258216968</v>
      </c>
      <c r="J271" s="19">
        <f t="shared" si="46"/>
        <v>783.33333333333326</v>
      </c>
      <c r="L271" s="4" t="str">
        <f>VLOOKUP(A271,'[1]Carcass '!$C$10:$J$397,8,FALSE)</f>
        <v>A+</v>
      </c>
      <c r="M271" s="4">
        <f t="shared" si="47"/>
        <v>0</v>
      </c>
      <c r="N271" s="4">
        <f t="shared" si="48"/>
        <v>0</v>
      </c>
      <c r="O271" s="4">
        <f t="shared" si="49"/>
        <v>1</v>
      </c>
      <c r="P271" s="4">
        <f t="shared" si="50"/>
        <v>1</v>
      </c>
      <c r="Q271" s="4">
        <f t="shared" si="51"/>
        <v>0</v>
      </c>
      <c r="R271" s="19">
        <f>VLOOKUP(A271,'[1]Carcass '!$C$107:$E$399,3,FALSE)</f>
        <v>13.5</v>
      </c>
      <c r="S271" s="4">
        <f>VLOOKUP(A271,'[1]Carcass '!$C$107:$F$399,4,FALSE)</f>
        <v>3.1</v>
      </c>
      <c r="T271" s="4">
        <f>VLOOKUP(A271,'[1]Carcass '!$C$10:$G$397,5, FALSE)</f>
        <v>0.68</v>
      </c>
      <c r="U271" s="4">
        <f>VLOOKUP(A271,'[1]Carcass '!$C$107:$I$399,7,FALSE)</f>
        <v>513</v>
      </c>
    </row>
    <row r="272" spans="1:21" x14ac:dyDescent="0.2">
      <c r="A272" s="94">
        <v>4768</v>
      </c>
      <c r="B272" s="87">
        <f>VLOOKUP(A272,[1]Assign!$A:$D,4,FALSE)</f>
        <v>639</v>
      </c>
      <c r="C272" s="4">
        <v>2</v>
      </c>
      <c r="D272" s="4">
        <v>318</v>
      </c>
      <c r="E272" s="4" t="str">
        <f>VLOOKUP(A272,[1]Assign!$A:$I,9,FALSE)</f>
        <v>10% MDGS Variable</v>
      </c>
      <c r="F272" s="4">
        <f>VLOOKUP(A272,'[1]Carcass '!$C$105:$D$397,2,FALSE)</f>
        <v>805</v>
      </c>
      <c r="G272" s="4">
        <f t="shared" si="44"/>
        <v>1277.7777777777778</v>
      </c>
      <c r="H272" s="31">
        <f t="shared" si="45"/>
        <v>3.2590702947845807</v>
      </c>
      <c r="I272" s="4">
        <f>VLOOKUP(D272,'[1]DMO head'!$A$2:$D$49,4,FALSE)</f>
        <v>23.479164833812241</v>
      </c>
      <c r="J272" s="19">
        <f t="shared" si="46"/>
        <v>638.77777777777783</v>
      </c>
      <c r="L272" s="4" t="str">
        <f>VLOOKUP(A272,'[1]Carcass '!$C$10:$J$397,8,FALSE)</f>
        <v>A-</v>
      </c>
      <c r="M272" s="4">
        <f t="shared" si="47"/>
        <v>0</v>
      </c>
      <c r="N272" s="4">
        <f t="shared" si="48"/>
        <v>1</v>
      </c>
      <c r="O272" s="4">
        <f t="shared" si="49"/>
        <v>0</v>
      </c>
      <c r="P272" s="4">
        <f t="shared" si="50"/>
        <v>1</v>
      </c>
      <c r="Q272" s="4">
        <f t="shared" si="51"/>
        <v>0</v>
      </c>
      <c r="R272" s="19">
        <f>VLOOKUP(A272,'[1]Carcass '!$C$107:$E$399,3,FALSE)</f>
        <v>13.5</v>
      </c>
      <c r="S272" s="4">
        <f>VLOOKUP(A272,'[1]Carcass '!$C$107:$F$399,4,FALSE)</f>
        <v>3.5</v>
      </c>
      <c r="T272" s="4">
        <f>VLOOKUP(A272,'[1]Carcass '!$C$10:$G$397,5, FALSE)</f>
        <v>0.66</v>
      </c>
      <c r="U272" s="4">
        <f>VLOOKUP(A272,'[1]Carcass '!$C$107:$I$399,7,FALSE)</f>
        <v>583</v>
      </c>
    </row>
    <row r="273" spans="1:21" x14ac:dyDescent="0.2">
      <c r="A273" s="94">
        <v>4494</v>
      </c>
      <c r="B273" s="87">
        <f>VLOOKUP(A273,[1]Assign!$A:$D,4,FALSE)</f>
        <v>658</v>
      </c>
      <c r="C273" s="4">
        <v>2</v>
      </c>
      <c r="D273" s="4">
        <v>215</v>
      </c>
      <c r="E273" s="4" t="str">
        <f>VLOOKUP(A273,[1]Assign!$A:$I,9,FALSE)</f>
        <v>10% MDGS Variable</v>
      </c>
      <c r="F273" s="4">
        <f>VLOOKUP(A273,'[1]Carcass '!$C$105:$D$397,2,FALSE)</f>
        <v>831</v>
      </c>
      <c r="G273" s="4">
        <f t="shared" si="44"/>
        <v>1319.047619047619</v>
      </c>
      <c r="H273" s="31">
        <f t="shared" si="45"/>
        <v>3.3726919339164239</v>
      </c>
      <c r="I273" s="4">
        <f>VLOOKUP(D273,'[1]DMO head'!$A$2:$D$49,4,FALSE)</f>
        <v>21.5797851350505</v>
      </c>
      <c r="J273" s="19">
        <f t="shared" si="46"/>
        <v>661.04761904761904</v>
      </c>
      <c r="L273" s="4" t="str">
        <f>VLOOKUP(A273,'[1]Carcass '!$C$10:$J$397,8,FALSE)</f>
        <v>A+</v>
      </c>
      <c r="M273" s="4">
        <f t="shared" si="47"/>
        <v>0</v>
      </c>
      <c r="N273" s="4">
        <f t="shared" si="48"/>
        <v>0</v>
      </c>
      <c r="O273" s="4">
        <f t="shared" si="49"/>
        <v>1</v>
      </c>
      <c r="P273" s="4">
        <f t="shared" si="50"/>
        <v>1</v>
      </c>
      <c r="Q273" s="4">
        <f t="shared" si="51"/>
        <v>0</v>
      </c>
      <c r="R273" s="19">
        <f>VLOOKUP(A273,'[1]Carcass '!$C$107:$E$399,3,FALSE)</f>
        <v>13.7</v>
      </c>
      <c r="S273" s="4">
        <f>VLOOKUP(A273,'[1]Carcass '!$C$107:$F$399,4,FALSE)</f>
        <v>2.5</v>
      </c>
      <c r="T273" s="4">
        <f>VLOOKUP(A273,'[1]Carcass '!$C$10:$G$397,5, FALSE)</f>
        <v>0.38</v>
      </c>
      <c r="U273" s="4">
        <f>VLOOKUP(A273,'[1]Carcass '!$C$107:$I$399,7,FALSE)</f>
        <v>417</v>
      </c>
    </row>
    <row r="274" spans="1:21" x14ac:dyDescent="0.2">
      <c r="A274" s="94">
        <v>4554</v>
      </c>
      <c r="B274" s="87">
        <f>VLOOKUP(A274,[1]Assign!$A:$D,4,FALSE)</f>
        <v>656</v>
      </c>
      <c r="C274" s="4">
        <v>2</v>
      </c>
      <c r="D274" s="4">
        <v>216</v>
      </c>
      <c r="E274" s="4" t="str">
        <f>VLOOKUP(A274,[1]Assign!$A:$I,9,FALSE)</f>
        <v xml:space="preserve">10% MDGS Constant </v>
      </c>
      <c r="F274" s="4">
        <f>VLOOKUP(A274,'[1]Carcass '!$C$105:$D$397,2,FALSE)</f>
        <v>677</v>
      </c>
      <c r="G274" s="4">
        <f t="shared" si="44"/>
        <v>1074.6031746031747</v>
      </c>
      <c r="H274" s="31">
        <f t="shared" si="45"/>
        <v>2.1357304826692585</v>
      </c>
      <c r="I274" s="4">
        <f>VLOOKUP(D274,'[1]DMO head'!$A$2:$D$49,4,FALSE)</f>
        <v>21.830062429040414</v>
      </c>
      <c r="J274" s="19">
        <f t="shared" si="46"/>
        <v>418.60317460317469</v>
      </c>
      <c r="L274" s="4" t="str">
        <f>VLOOKUP(A274,'[1]Carcass '!$C$10:$J$397,8,FALSE)</f>
        <v>A</v>
      </c>
      <c r="M274" s="4">
        <f t="shared" si="47"/>
        <v>1</v>
      </c>
      <c r="N274" s="4">
        <f t="shared" si="48"/>
        <v>0</v>
      </c>
      <c r="O274" s="4">
        <f t="shared" si="49"/>
        <v>0</v>
      </c>
      <c r="P274" s="4">
        <f t="shared" si="50"/>
        <v>1</v>
      </c>
      <c r="Q274" s="4">
        <f t="shared" si="51"/>
        <v>0</v>
      </c>
      <c r="R274" s="19">
        <f>VLOOKUP(A274,'[1]Carcass '!$C$107:$E$399,3,FALSE)</f>
        <v>13.9</v>
      </c>
      <c r="S274" s="4">
        <f>VLOOKUP(A274,'[1]Carcass '!$C$107:$F$399,4,FALSE)</f>
        <v>2.7</v>
      </c>
      <c r="T274" s="4">
        <f>VLOOKUP(A274,'[1]Carcass '!$C$10:$G$397,5, FALSE)</f>
        <v>0.48399999999999999</v>
      </c>
      <c r="U274" s="4">
        <f>VLOOKUP(A274,'[1]Carcass '!$C$107:$I$399,7,FALSE)</f>
        <v>488</v>
      </c>
    </row>
    <row r="275" spans="1:21" x14ac:dyDescent="0.2">
      <c r="A275" s="94">
        <v>4733</v>
      </c>
      <c r="B275" s="87">
        <f>VLOOKUP(A275,[1]Assign!$A:$D,4,FALSE)</f>
        <v>658</v>
      </c>
      <c r="C275" s="4">
        <v>2</v>
      </c>
      <c r="D275" s="4">
        <v>301</v>
      </c>
      <c r="E275" s="4" t="str">
        <f>VLOOKUP(A275,[1]Assign!$A:$I,9,FALSE)</f>
        <v xml:space="preserve">25% MDGS Constant </v>
      </c>
      <c r="F275" s="4">
        <f>VLOOKUP(A275,'[1]Carcass '!$C$105:$D$397,2,FALSE)</f>
        <v>919</v>
      </c>
      <c r="G275" s="4">
        <f t="shared" si="44"/>
        <v>1458.7301587301588</v>
      </c>
      <c r="H275" s="31">
        <f t="shared" si="45"/>
        <v>4.085357952704892</v>
      </c>
      <c r="I275" s="4">
        <f>VLOOKUP(D275,'[1]DMO head'!$A$2:$D$49,4,FALSE)</f>
        <v>22.630176042777777</v>
      </c>
      <c r="J275" s="19">
        <f t="shared" si="46"/>
        <v>800.73015873015879</v>
      </c>
      <c r="L275" s="4" t="str">
        <f>VLOOKUP(A275,'[1]Carcass '!$C$10:$J$397,8,FALSE)</f>
        <v>C</v>
      </c>
      <c r="M275" s="4">
        <f t="shared" si="47"/>
        <v>0</v>
      </c>
      <c r="N275" s="4">
        <f t="shared" si="48"/>
        <v>0</v>
      </c>
      <c r="O275" s="4">
        <f t="shared" si="49"/>
        <v>0</v>
      </c>
      <c r="P275" s="4">
        <f t="shared" si="50"/>
        <v>0</v>
      </c>
      <c r="Q275" s="4">
        <f t="shared" si="51"/>
        <v>1</v>
      </c>
      <c r="R275" s="19">
        <f>VLOOKUP(A275,'[1]Carcass '!$C$107:$E$399,3,FALSE)</f>
        <v>13.5</v>
      </c>
      <c r="S275" s="4">
        <f>VLOOKUP(A275,'[1]Carcass '!$C$107:$F$399,4,FALSE)</f>
        <v>3.7</v>
      </c>
      <c r="T275" s="4">
        <f>VLOOKUP(A275,'[1]Carcass '!$C$10:$G$397,5, FALSE)</f>
        <v>0.82399999999999995</v>
      </c>
    </row>
    <row r="276" spans="1:21" x14ac:dyDescent="0.2">
      <c r="A276" s="94">
        <v>4706</v>
      </c>
      <c r="B276" s="87">
        <f>VLOOKUP(A276,[1]Assign!$A:$D,4,FALSE)</f>
        <v>670</v>
      </c>
      <c r="C276" s="4">
        <v>2</v>
      </c>
      <c r="D276" s="4">
        <v>302</v>
      </c>
      <c r="E276" s="4" t="str">
        <f>VLOOKUP(A276,[1]Assign!$A:$I,9,FALSE)</f>
        <v>25% MDGS Variable</v>
      </c>
      <c r="F276" s="4">
        <f>VLOOKUP(A276,'[1]Carcass '!$C$105:$D$397,2,FALSE)</f>
        <v>974</v>
      </c>
      <c r="G276" s="4">
        <f t="shared" si="44"/>
        <v>1546.031746031746</v>
      </c>
      <c r="H276" s="31">
        <f t="shared" si="45"/>
        <v>4.469549724651765</v>
      </c>
      <c r="I276" s="4">
        <f>VLOOKUP(D276,'[1]DMO head'!$A$2:$D$49,4,FALSE)</f>
        <v>21.718133105510006</v>
      </c>
      <c r="J276" s="19">
        <f t="shared" si="46"/>
        <v>876.03174603174602</v>
      </c>
      <c r="L276" s="4" t="str">
        <f>VLOOKUP(A276,'[1]Carcass '!$C$10:$J$397,8,FALSE)</f>
        <v>A-</v>
      </c>
      <c r="M276" s="4">
        <f t="shared" si="47"/>
        <v>0</v>
      </c>
      <c r="N276" s="4">
        <f t="shared" si="48"/>
        <v>1</v>
      </c>
      <c r="O276" s="4">
        <f t="shared" si="49"/>
        <v>0</v>
      </c>
      <c r="P276" s="4">
        <f t="shared" si="50"/>
        <v>1</v>
      </c>
      <c r="Q276" s="4">
        <f t="shared" si="51"/>
        <v>0</v>
      </c>
      <c r="R276" s="19">
        <f>VLOOKUP(A276,'[1]Carcass '!$C$107:$E$399,3,FALSE)</f>
        <v>15.1</v>
      </c>
      <c r="S276" s="4">
        <f>VLOOKUP(A276,'[1]Carcass '!$C$107:$F$399,4,FALSE)</f>
        <v>3.4</v>
      </c>
      <c r="T276" s="4">
        <f>VLOOKUP(A276,'[1]Carcass '!$C$10:$G$397,5, FALSE)</f>
        <v>0.63</v>
      </c>
      <c r="U276" s="4">
        <f>VLOOKUP(A276,'[1]Carcass '!$C$107:$I$399,7,FALSE)</f>
        <v>522</v>
      </c>
    </row>
    <row r="277" spans="1:21" x14ac:dyDescent="0.2">
      <c r="A277" s="94">
        <v>4684</v>
      </c>
      <c r="B277" s="87">
        <f>VLOOKUP(A277,[1]Assign!$A:$D,4,FALSE)</f>
        <v>662</v>
      </c>
      <c r="C277" s="4">
        <v>2</v>
      </c>
      <c r="D277" s="4">
        <v>303</v>
      </c>
      <c r="E277" s="4" t="str">
        <f>VLOOKUP(A277,[1]Assign!$A:$I,9,FALSE)</f>
        <v>Control</v>
      </c>
      <c r="F277" s="4">
        <f>VLOOKUP(A277,'[1]Carcass '!$C$105:$D$397,2,FALSE)</f>
        <v>876</v>
      </c>
      <c r="G277" s="4">
        <f t="shared" si="44"/>
        <v>1390.4761904761904</v>
      </c>
      <c r="H277" s="31">
        <f t="shared" si="45"/>
        <v>3.7167152575315834</v>
      </c>
      <c r="I277" s="4">
        <f>VLOOKUP(D277,'[1]DMO head'!$A$2:$D$49,4,FALSE)</f>
        <v>21.256780292032506</v>
      </c>
      <c r="J277" s="19">
        <f t="shared" si="46"/>
        <v>728.47619047619037</v>
      </c>
      <c r="L277" s="4">
        <f>VLOOKUP(A277,'[1]Carcass '!$C$10:$J$397,8,FALSE)</f>
        <v>0</v>
      </c>
      <c r="M277" s="4">
        <f t="shared" si="47"/>
        <v>0</v>
      </c>
      <c r="N277" s="4">
        <f t="shared" si="48"/>
        <v>0</v>
      </c>
      <c r="O277" s="4">
        <f t="shared" si="49"/>
        <v>0</v>
      </c>
      <c r="P277" s="4">
        <f t="shared" si="50"/>
        <v>0</v>
      </c>
      <c r="Q277" s="4">
        <f t="shared" si="51"/>
        <v>0</v>
      </c>
      <c r="R277" s="19">
        <f>VLOOKUP(A277,'[1]Carcass '!$C$107:$E$399,3,FALSE)</f>
        <v>14.6</v>
      </c>
      <c r="S277" s="4">
        <f>VLOOKUP(A277,'[1]Carcass '!$C$107:$F$399,4,FALSE)</f>
        <v>3</v>
      </c>
      <c r="T277" s="4">
        <f>VLOOKUP(A277,'[1]Carcass '!$C$10:$G$397,5, FALSE)</f>
        <v>0.52400000000000002</v>
      </c>
      <c r="U277" s="4">
        <f>VLOOKUP(A277,'[1]Carcass '!$C$107:$I$399,7,FALSE)</f>
        <v>463</v>
      </c>
    </row>
    <row r="278" spans="1:21" x14ac:dyDescent="0.2">
      <c r="A278" s="94">
        <v>4312</v>
      </c>
      <c r="B278" s="87">
        <f>VLOOKUP(A278,[1]Assign!$A:$D,4,FALSE)</f>
        <v>652</v>
      </c>
      <c r="C278" s="4">
        <v>2</v>
      </c>
      <c r="D278" s="4">
        <v>304</v>
      </c>
      <c r="E278" s="4" t="str">
        <f>VLOOKUP(A278,[1]Assign!$A:$I,9,FALSE)</f>
        <v>10% MDGS Variable</v>
      </c>
      <c r="F278" s="4">
        <f>VLOOKUP(A278,'[1]Carcass '!$C$105:$D$397,2,FALSE)</f>
        <v>802</v>
      </c>
      <c r="G278" s="4">
        <f t="shared" si="44"/>
        <v>1273.015873015873</v>
      </c>
      <c r="H278" s="31">
        <f t="shared" si="45"/>
        <v>3.1684483317136376</v>
      </c>
      <c r="I278" s="4">
        <f>VLOOKUP(D278,'[1]DMO head'!$A$2:$D$49,4,FALSE)</f>
        <v>21.282594490991229</v>
      </c>
      <c r="J278" s="19">
        <f t="shared" si="46"/>
        <v>621.01587301587301</v>
      </c>
      <c r="L278" s="4" t="str">
        <f>VLOOKUP(A278,'[1]Carcass '!$C$10:$J$397,8,FALSE)</f>
        <v>A</v>
      </c>
      <c r="M278" s="4">
        <f t="shared" si="47"/>
        <v>1</v>
      </c>
      <c r="N278" s="4">
        <f t="shared" si="48"/>
        <v>0</v>
      </c>
      <c r="O278" s="4">
        <f t="shared" si="49"/>
        <v>0</v>
      </c>
      <c r="P278" s="4">
        <f t="shared" si="50"/>
        <v>1</v>
      </c>
      <c r="Q278" s="4">
        <f t="shared" si="51"/>
        <v>0</v>
      </c>
      <c r="R278" s="19">
        <f>VLOOKUP(A278,'[1]Carcass '!$C$107:$E$399,3,FALSE)</f>
        <v>11.7</v>
      </c>
      <c r="S278" s="4">
        <f>VLOOKUP(A278,'[1]Carcass '!$C$107:$F$399,4,FALSE)</f>
        <v>3.3</v>
      </c>
      <c r="T278" s="4">
        <f>VLOOKUP(A278,'[1]Carcass '!$C$10:$G$397,5, FALSE)</f>
        <v>0.72</v>
      </c>
      <c r="U278" s="4">
        <f>VLOOKUP(A278,'[1]Carcass '!$C$107:$I$399,7,FALSE)</f>
        <v>714</v>
      </c>
    </row>
    <row r="279" spans="1:21" x14ac:dyDescent="0.2">
      <c r="A279" s="94">
        <v>4595</v>
      </c>
      <c r="B279" s="87">
        <f>VLOOKUP(A279,[1]Assign!$A:$D,4,FALSE)</f>
        <v>654</v>
      </c>
      <c r="C279" s="4">
        <v>2</v>
      </c>
      <c r="D279" s="4">
        <v>305</v>
      </c>
      <c r="E279" s="4" t="str">
        <f>VLOOKUP(A279,[1]Assign!$A:$I,9,FALSE)</f>
        <v xml:space="preserve">10% MDGS Constant </v>
      </c>
      <c r="F279" s="4">
        <f>VLOOKUP(A279,'[1]Carcass '!$C$105:$D$397,2,FALSE)</f>
        <v>855</v>
      </c>
      <c r="G279" s="4">
        <f t="shared" si="44"/>
        <v>1357.1428571428571</v>
      </c>
      <c r="H279" s="31">
        <f t="shared" si="45"/>
        <v>3.5874635568513118</v>
      </c>
      <c r="I279" s="4">
        <f>VLOOKUP(D279,'[1]DMO head'!$A$2:$D$49,4,FALSE)</f>
        <v>20.599573820131273</v>
      </c>
      <c r="J279" s="19">
        <f t="shared" si="46"/>
        <v>703.14285714285711</v>
      </c>
      <c r="L279" s="4">
        <f>VLOOKUP(A279,'[1]Carcass '!$C$10:$J$397,8,FALSE)</f>
        <v>0</v>
      </c>
      <c r="M279" s="4">
        <f t="shared" si="47"/>
        <v>0</v>
      </c>
      <c r="N279" s="4">
        <f t="shared" si="48"/>
        <v>0</v>
      </c>
      <c r="O279" s="4">
        <f t="shared" si="49"/>
        <v>0</v>
      </c>
      <c r="P279" s="4">
        <f t="shared" si="50"/>
        <v>0</v>
      </c>
      <c r="Q279" s="4">
        <f t="shared" si="51"/>
        <v>0</v>
      </c>
      <c r="R279" s="19">
        <f>VLOOKUP(A279,'[1]Carcass '!$C$107:$E$399,3,FALSE)</f>
        <v>15.5</v>
      </c>
      <c r="S279" s="4">
        <f>VLOOKUP(A279,'[1]Carcass '!$C$107:$F$399,4,FALSE)</f>
        <v>2.9</v>
      </c>
      <c r="T279" s="4">
        <f>VLOOKUP(A279,'[1]Carcass '!$C$10:$G$397,5, FALSE)</f>
        <v>0.41199999999999998</v>
      </c>
      <c r="U279" s="4">
        <f>VLOOKUP(A279,'[1]Carcass '!$C$107:$I$399,7,FALSE)</f>
        <v>511</v>
      </c>
    </row>
    <row r="280" spans="1:21" x14ac:dyDescent="0.2">
      <c r="A280" s="94">
        <v>4590</v>
      </c>
      <c r="B280" s="87">
        <f>VLOOKUP(A280,[1]Assign!$A:$D,4,FALSE)</f>
        <v>654</v>
      </c>
      <c r="C280" s="4">
        <v>2</v>
      </c>
      <c r="D280" s="4">
        <v>306</v>
      </c>
      <c r="E280" s="4" t="str">
        <f>VLOOKUP(A280,[1]Assign!$A:$I,9,FALSE)</f>
        <v>Control</v>
      </c>
      <c r="F280" s="4">
        <f>VLOOKUP(A280,'[1]Carcass '!$C$105:$D$397,2,FALSE)</f>
        <v>861</v>
      </c>
      <c r="G280" s="4">
        <f t="shared" si="44"/>
        <v>1366.6666666666667</v>
      </c>
      <c r="H280" s="31">
        <f t="shared" si="45"/>
        <v>3.6360544217687081</v>
      </c>
      <c r="I280" s="4">
        <f>VLOOKUP(D280,'[1]DMO head'!$A$2:$D$49,4,FALSE)</f>
        <v>23.243543323568986</v>
      </c>
      <c r="J280" s="19">
        <f t="shared" si="46"/>
        <v>712.66666666666674</v>
      </c>
      <c r="L280" s="4">
        <f>VLOOKUP(A280,'[1]Carcass '!$C$10:$J$397,8,FALSE)</f>
        <v>0</v>
      </c>
      <c r="M280" s="4">
        <f t="shared" si="47"/>
        <v>0</v>
      </c>
      <c r="N280" s="4">
        <f t="shared" si="48"/>
        <v>0</v>
      </c>
      <c r="O280" s="4">
        <f t="shared" si="49"/>
        <v>0</v>
      </c>
      <c r="P280" s="4">
        <f t="shared" si="50"/>
        <v>0</v>
      </c>
      <c r="Q280" s="4">
        <f t="shared" si="51"/>
        <v>0</v>
      </c>
      <c r="R280" s="19">
        <f>VLOOKUP(A280,'[1]Carcass '!$C$107:$E$399,3,FALSE)</f>
        <v>14</v>
      </c>
      <c r="S280" s="4">
        <f>VLOOKUP(A280,'[1]Carcass '!$C$107:$F$399,4,FALSE)</f>
        <v>3.3</v>
      </c>
      <c r="T280" s="4">
        <f>VLOOKUP(A280,'[1]Carcass '!$C$10:$G$397,5, FALSE)</f>
        <v>0.59</v>
      </c>
      <c r="U280" s="4">
        <f>VLOOKUP(A280,'[1]Carcass '!$C$107:$I$399,7,FALSE)</f>
        <v>558</v>
      </c>
    </row>
    <row r="281" spans="1:21" x14ac:dyDescent="0.2">
      <c r="A281" s="94">
        <v>4330</v>
      </c>
      <c r="B281" s="87">
        <f>VLOOKUP(A281,[1]Assign!$A:$D,4,FALSE)</f>
        <v>669</v>
      </c>
      <c r="C281" s="4">
        <v>2</v>
      </c>
      <c r="D281" s="4">
        <v>307</v>
      </c>
      <c r="E281" s="4" t="str">
        <f>VLOOKUP(A281,[1]Assign!$A:$I,9,FALSE)</f>
        <v>25% MDGS Variable</v>
      </c>
      <c r="F281" s="4">
        <f>VLOOKUP(A281,'[1]Carcass '!$C$105:$D$397,2,FALSE)</f>
        <v>846</v>
      </c>
      <c r="G281" s="4">
        <f t="shared" si="44"/>
        <v>1342.8571428571429</v>
      </c>
      <c r="H281" s="31">
        <f t="shared" si="45"/>
        <v>3.4380466472303208</v>
      </c>
      <c r="I281" s="4">
        <f>VLOOKUP(D281,'[1]DMO head'!$A$2:$D$49,4,FALSE)</f>
        <v>21.697158876111111</v>
      </c>
      <c r="J281" s="19">
        <f t="shared" si="46"/>
        <v>673.85714285714289</v>
      </c>
      <c r="L281" s="4" t="str">
        <f>VLOOKUP(A281,'[1]Carcass '!$C$10:$J$397,8,FALSE)</f>
        <v>A+</v>
      </c>
      <c r="M281" s="4">
        <f t="shared" si="47"/>
        <v>0</v>
      </c>
      <c r="N281" s="4">
        <f t="shared" si="48"/>
        <v>0</v>
      </c>
      <c r="O281" s="4">
        <f t="shared" si="49"/>
        <v>1</v>
      </c>
      <c r="P281" s="4">
        <f t="shared" si="50"/>
        <v>1</v>
      </c>
      <c r="Q281" s="4">
        <f t="shared" si="51"/>
        <v>0</v>
      </c>
      <c r="R281" s="19">
        <f>VLOOKUP(A281,'[1]Carcass '!$C$107:$E$399,3,FALSE)</f>
        <v>13</v>
      </c>
      <c r="S281" s="4">
        <f>VLOOKUP(A281,'[1]Carcass '!$C$107:$F$399,4,FALSE)</f>
        <v>3.3</v>
      </c>
      <c r="T281" s="4">
        <f>VLOOKUP(A281,'[1]Carcass '!$C$10:$G$397,5, FALSE)</f>
        <v>0.66</v>
      </c>
      <c r="U281" s="4">
        <f>VLOOKUP(A281,'[1]Carcass '!$C$107:$I$399,7,FALSE)</f>
        <v>648</v>
      </c>
    </row>
    <row r="282" spans="1:21" x14ac:dyDescent="0.2">
      <c r="A282" s="94">
        <v>4689</v>
      </c>
      <c r="B282" s="87">
        <f>VLOOKUP(A282,[1]Assign!$A:$D,4,FALSE)</f>
        <v>664</v>
      </c>
      <c r="C282" s="4">
        <v>2</v>
      </c>
      <c r="D282" s="4">
        <v>308</v>
      </c>
      <c r="E282" s="4" t="str">
        <f>VLOOKUP(A282,[1]Assign!$A:$I,9,FALSE)</f>
        <v xml:space="preserve">25% MDGS Constant </v>
      </c>
      <c r="F282" s="4">
        <f>VLOOKUP(A282,'[1]Carcass '!$C$105:$D$397,2,FALSE)</f>
        <v>999</v>
      </c>
      <c r="G282" s="4">
        <f t="shared" si="44"/>
        <v>1585.7142857142858</v>
      </c>
      <c r="H282" s="31">
        <f t="shared" si="45"/>
        <v>4.70262390670554</v>
      </c>
      <c r="I282" s="4">
        <f>VLOOKUP(D282,'[1]DMO head'!$A$2:$D$49,4,FALSE)</f>
        <v>23.183092460704504</v>
      </c>
      <c r="J282" s="19">
        <f t="shared" si="46"/>
        <v>921.71428571428578</v>
      </c>
      <c r="L282" s="4" t="str">
        <f>VLOOKUP(A282,'[1]Carcass '!$C$10:$J$397,8,FALSE)</f>
        <v>C</v>
      </c>
      <c r="M282" s="4">
        <f t="shared" si="47"/>
        <v>0</v>
      </c>
      <c r="N282" s="4">
        <f t="shared" si="48"/>
        <v>0</v>
      </c>
      <c r="O282" s="4">
        <f t="shared" si="49"/>
        <v>0</v>
      </c>
      <c r="P282" s="4">
        <f t="shared" si="50"/>
        <v>0</v>
      </c>
      <c r="Q282" s="4">
        <f t="shared" si="51"/>
        <v>1</v>
      </c>
      <c r="R282" s="19">
        <f>VLOOKUP(A282,'[1]Carcass '!$C$107:$E$399,3,FALSE)</f>
        <v>13.7</v>
      </c>
      <c r="S282" s="4">
        <f>VLOOKUP(A282,'[1]Carcass '!$C$107:$F$399,4,FALSE)</f>
        <v>4.5999999999999996</v>
      </c>
      <c r="T282" s="4">
        <f>VLOOKUP(A282,'[1]Carcass '!$C$10:$G$397,5, FALSE)</f>
        <v>1.1299999999999999</v>
      </c>
      <c r="U282" s="4">
        <f>VLOOKUP(A282,'[1]Carcass '!$C$107:$I$399,7,FALSE)</f>
        <v>789</v>
      </c>
    </row>
    <row r="283" spans="1:21" x14ac:dyDescent="0.2">
      <c r="A283" s="94">
        <v>4491</v>
      </c>
      <c r="B283" s="87">
        <f>VLOOKUP(A283,[1]Assign!$A:$D,4,FALSE)</f>
        <v>653</v>
      </c>
      <c r="C283" s="4">
        <v>2</v>
      </c>
      <c r="D283" s="4">
        <v>309</v>
      </c>
      <c r="E283" s="4" t="str">
        <f>VLOOKUP(A283,[1]Assign!$A:$I,9,FALSE)</f>
        <v>Control</v>
      </c>
      <c r="F283" s="4">
        <f>VLOOKUP(A283,'[1]Carcass '!$C$105:$D$397,2,FALSE)</f>
        <v>839</v>
      </c>
      <c r="G283" s="4">
        <f>F283/0.63</f>
        <v>1331.7460317460318</v>
      </c>
      <c r="H283" s="31">
        <f t="shared" si="45"/>
        <v>3.4629899578879173</v>
      </c>
      <c r="I283" s="4">
        <f>VLOOKUP(D283,'[1]DMO head'!$A$2:$D$49,4,FALSE)</f>
        <v>22.382749735000004</v>
      </c>
      <c r="J283" s="19">
        <f t="shared" si="46"/>
        <v>678.7460317460318</v>
      </c>
      <c r="L283" s="4">
        <f>VLOOKUP(A283,'[1]Carcass '!$C$10:$J$397,8,FALSE)</f>
        <v>0</v>
      </c>
      <c r="M283" s="4">
        <f t="shared" si="47"/>
        <v>0</v>
      </c>
      <c r="N283" s="4">
        <f t="shared" si="48"/>
        <v>0</v>
      </c>
      <c r="O283" s="4">
        <f t="shared" si="49"/>
        <v>0</v>
      </c>
      <c r="P283" s="4">
        <f t="shared" si="50"/>
        <v>0</v>
      </c>
      <c r="Q283" s="4">
        <f t="shared" si="51"/>
        <v>0</v>
      </c>
      <c r="R283" s="19">
        <f>VLOOKUP(A283,'[1]Carcass '!$C$107:$E$399,3,FALSE)</f>
        <v>14.7</v>
      </c>
      <c r="S283" s="4">
        <f>VLOOKUP(A283,'[1]Carcass '!$C$107:$F$399,4,FALSE)</f>
        <v>3.3</v>
      </c>
      <c r="T283" s="4">
        <f>VLOOKUP(A283,'[1]Carcass '!$C$10:$G$397,5, FALSE)</f>
        <v>0.53</v>
      </c>
      <c r="U283" s="4">
        <f>VLOOKUP(A283,'[1]Carcass '!$C$107:$I$399,7,FALSE)</f>
        <v>516</v>
      </c>
    </row>
    <row r="284" spans="1:21" x14ac:dyDescent="0.2">
      <c r="A284" s="94">
        <v>4763</v>
      </c>
      <c r="B284" s="87">
        <f>VLOOKUP(A284,[1]Assign!$A:$D,4,FALSE)</f>
        <v>659</v>
      </c>
      <c r="C284" s="4">
        <v>2</v>
      </c>
      <c r="D284" s="4">
        <v>310</v>
      </c>
      <c r="E284" s="4" t="str">
        <f>VLOOKUP(A284,[1]Assign!$A:$I,9,FALSE)</f>
        <v>10% MDGS Variable</v>
      </c>
      <c r="F284" s="4">
        <f>VLOOKUP(A284,'[1]Carcass '!$C$105:$D$397,2,FALSE)</f>
        <v>809</v>
      </c>
      <c r="G284" s="4">
        <f t="shared" ref="G284:G347" si="52">F284/0.63</f>
        <v>1284.1269841269841</v>
      </c>
      <c r="H284" s="31">
        <f t="shared" si="45"/>
        <v>3.1894233884029801</v>
      </c>
      <c r="I284" s="4">
        <f>VLOOKUP(D284,'[1]DMO head'!$A$2:$D$49,4,FALSE)</f>
        <v>23.18107161691918</v>
      </c>
      <c r="J284" s="19">
        <f t="shared" si="46"/>
        <v>625.1269841269841</v>
      </c>
      <c r="L284" s="4" t="str">
        <f>VLOOKUP(A284,'[1]Carcass '!$C$10:$J$397,8,FALSE)</f>
        <v>A+</v>
      </c>
      <c r="M284" s="4">
        <f t="shared" si="47"/>
        <v>0</v>
      </c>
      <c r="N284" s="4">
        <f t="shared" si="48"/>
        <v>0</v>
      </c>
      <c r="O284" s="4">
        <f t="shared" si="49"/>
        <v>1</v>
      </c>
      <c r="P284" s="4">
        <f t="shared" si="50"/>
        <v>1</v>
      </c>
      <c r="Q284" s="4">
        <f t="shared" si="51"/>
        <v>0</v>
      </c>
      <c r="R284" s="19">
        <f>VLOOKUP(A284,'[1]Carcass '!$C$107:$E$399,3,FALSE)</f>
        <v>12.6</v>
      </c>
      <c r="S284" s="4">
        <f>VLOOKUP(A284,'[1]Carcass '!$C$107:$F$399,4,FALSE)</f>
        <v>3.6</v>
      </c>
      <c r="T284" s="4">
        <f>VLOOKUP(A284,'[1]Carcass '!$C$10:$G$397,5, FALSE)</f>
        <v>0.68</v>
      </c>
      <c r="U284" s="4">
        <f>VLOOKUP(A284,'[1]Carcass '!$C$107:$I$399,7,FALSE)</f>
        <v>774</v>
      </c>
    </row>
    <row r="285" spans="1:21" x14ac:dyDescent="0.2">
      <c r="A285" s="94">
        <v>4771</v>
      </c>
      <c r="B285" s="87">
        <f>VLOOKUP(A285,[1]Assign!$A:$D,4,FALSE)</f>
        <v>661</v>
      </c>
      <c r="C285" s="4">
        <v>2</v>
      </c>
      <c r="D285" s="4">
        <v>311</v>
      </c>
      <c r="E285" s="4" t="str">
        <f>VLOOKUP(A285,[1]Assign!$A:$I,9,FALSE)</f>
        <v xml:space="preserve">10% MDGS Constant </v>
      </c>
      <c r="F285" s="4">
        <f>VLOOKUP(A285,'[1]Carcass '!$C$105:$D$397,2,FALSE)</f>
        <v>907</v>
      </c>
      <c r="G285" s="4">
        <f t="shared" si="52"/>
        <v>1439.6825396825398</v>
      </c>
      <c r="H285" s="31">
        <f t="shared" si="45"/>
        <v>3.9728701004211211</v>
      </c>
      <c r="I285" s="4">
        <f>VLOOKUP(D285,'[1]DMO head'!$A$2:$D$49,4,FALSE)</f>
        <v>23.779243605703989</v>
      </c>
      <c r="J285" s="19">
        <f t="shared" si="46"/>
        <v>778.68253968253975</v>
      </c>
      <c r="L285" s="4">
        <f>VLOOKUP(A285,'[1]Carcass '!$C$10:$J$397,8,FALSE)</f>
        <v>0</v>
      </c>
      <c r="M285" s="4">
        <f t="shared" si="47"/>
        <v>0</v>
      </c>
      <c r="N285" s="4">
        <f t="shared" si="48"/>
        <v>0</v>
      </c>
      <c r="O285" s="4">
        <f t="shared" si="49"/>
        <v>0</v>
      </c>
      <c r="P285" s="4">
        <f t="shared" si="50"/>
        <v>0</v>
      </c>
      <c r="Q285" s="4">
        <f t="shared" si="51"/>
        <v>0</v>
      </c>
      <c r="R285" s="19">
        <f>VLOOKUP(A285,'[1]Carcass '!$C$107:$E$399,3,FALSE)</f>
        <v>14.25</v>
      </c>
      <c r="S285" s="4">
        <f>VLOOKUP(A285,'[1]Carcass '!$C$107:$F$399,4,FALSE)</f>
        <v>3.9</v>
      </c>
      <c r="T285" s="4">
        <f>VLOOKUP(A285,'[1]Carcass '!$C$10:$G$397,5, FALSE)</f>
        <v>0.75</v>
      </c>
      <c r="U285" s="4">
        <f>VLOOKUP(A285,'[1]Carcass '!$C$107:$I$399,7,FALSE)</f>
        <v>589</v>
      </c>
    </row>
    <row r="286" spans="1:21" x14ac:dyDescent="0.2">
      <c r="A286" s="94">
        <v>4662</v>
      </c>
      <c r="B286" s="87">
        <f>VLOOKUP(A286,[1]Assign!$A:$D,4,FALSE)</f>
        <v>655</v>
      </c>
      <c r="C286" s="4">
        <v>2</v>
      </c>
      <c r="D286" s="4">
        <v>312</v>
      </c>
      <c r="E286" s="4" t="str">
        <f>VLOOKUP(A286,[1]Assign!$A:$I,9,FALSE)</f>
        <v xml:space="preserve">25% MDGS Constant </v>
      </c>
      <c r="F286" s="4">
        <f>VLOOKUP(A286,'[1]Carcass '!$C$105:$D$397,2,FALSE)</f>
        <v>848</v>
      </c>
      <c r="G286" s="4">
        <f t="shared" si="52"/>
        <v>1346.031746031746</v>
      </c>
      <c r="H286" s="31">
        <f t="shared" si="45"/>
        <v>3.5256721736313574</v>
      </c>
      <c r="I286" s="4">
        <f>VLOOKUP(D286,'[1]DMO head'!$A$2:$D$49,4,FALSE)</f>
        <v>23.507213350404029</v>
      </c>
      <c r="J286" s="19">
        <f t="shared" si="46"/>
        <v>691.03174603174602</v>
      </c>
      <c r="L286" s="4">
        <f>VLOOKUP(A286,'[1]Carcass '!$C$10:$J$397,8,FALSE)</f>
        <v>0</v>
      </c>
      <c r="M286" s="4">
        <f t="shared" si="47"/>
        <v>0</v>
      </c>
      <c r="N286" s="4">
        <f t="shared" si="48"/>
        <v>0</v>
      </c>
      <c r="O286" s="4">
        <f t="shared" si="49"/>
        <v>0</v>
      </c>
      <c r="P286" s="4">
        <f t="shared" si="50"/>
        <v>0</v>
      </c>
      <c r="Q286" s="4">
        <f t="shared" si="51"/>
        <v>0</v>
      </c>
      <c r="R286" s="19">
        <f>VLOOKUP(A286,'[1]Carcass '!$C$107:$E$399,3,FALSE)</f>
        <v>13.7</v>
      </c>
      <c r="S286" s="4">
        <f>VLOOKUP(A286,'[1]Carcass '!$C$107:$F$399,4,FALSE)</f>
        <v>3.3</v>
      </c>
      <c r="T286" s="4">
        <f>VLOOKUP(A286,'[1]Carcass '!$C$10:$G$397,5, FALSE)</f>
        <v>0.6</v>
      </c>
      <c r="U286" s="4">
        <f>VLOOKUP(A286,'[1]Carcass '!$C$107:$I$399,7,FALSE)</f>
        <v>509</v>
      </c>
    </row>
    <row r="287" spans="1:21" x14ac:dyDescent="0.2">
      <c r="A287" s="94">
        <v>4493</v>
      </c>
      <c r="B287" s="87">
        <f>VLOOKUP(A287,[1]Assign!$A:$D,4,FALSE)</f>
        <v>661</v>
      </c>
      <c r="C287" s="4">
        <v>2</v>
      </c>
      <c r="D287" s="4">
        <v>313</v>
      </c>
      <c r="E287" s="4" t="str">
        <f>VLOOKUP(A287,[1]Assign!$A:$I,9,FALSE)</f>
        <v>25% MDGS Variable</v>
      </c>
      <c r="F287" s="4">
        <f>VLOOKUP(A287,'[1]Carcass '!$C$105:$D$397,2,FALSE)</f>
        <v>937</v>
      </c>
      <c r="G287" s="4">
        <f t="shared" si="52"/>
        <v>1487.3015873015872</v>
      </c>
      <c r="H287" s="31">
        <f t="shared" si="45"/>
        <v>4.2158244250080985</v>
      </c>
      <c r="I287" s="4">
        <f>VLOOKUP(D287,'[1]DMO head'!$A$2:$D$49,4,FALSE)</f>
        <v>23.480892071111096</v>
      </c>
      <c r="J287" s="19">
        <f t="shared" si="46"/>
        <v>826.30158730158723</v>
      </c>
      <c r="L287" s="4">
        <f>VLOOKUP(A287,'[1]Carcass '!$C$10:$J$397,8,FALSE)</f>
        <v>0</v>
      </c>
      <c r="M287" s="4">
        <f t="shared" si="47"/>
        <v>0</v>
      </c>
      <c r="N287" s="4">
        <f t="shared" si="48"/>
        <v>0</v>
      </c>
      <c r="O287" s="4">
        <f t="shared" si="49"/>
        <v>0</v>
      </c>
      <c r="P287" s="4">
        <f t="shared" si="50"/>
        <v>0</v>
      </c>
      <c r="Q287" s="4">
        <f t="shared" si="51"/>
        <v>0</v>
      </c>
      <c r="R287" s="19">
        <f>VLOOKUP(A287,'[1]Carcass '!$C$107:$E$399,3,FALSE)</f>
        <v>15.1</v>
      </c>
      <c r="S287" s="4">
        <f>VLOOKUP(A287,'[1]Carcass '!$C$107:$F$399,4,FALSE)</f>
        <v>3.3</v>
      </c>
      <c r="T287" s="4">
        <f>VLOOKUP(A287,'[1]Carcass '!$C$10:$G$397,5, FALSE)</f>
        <v>0.76</v>
      </c>
      <c r="U287" s="4">
        <f>VLOOKUP(A287,'[1]Carcass '!$C$107:$I$399,7,FALSE)</f>
        <v>529</v>
      </c>
    </row>
    <row r="288" spans="1:21" x14ac:dyDescent="0.2">
      <c r="A288" s="94">
        <v>4564</v>
      </c>
      <c r="B288" s="87">
        <f>VLOOKUP(A288,[1]Assign!$A:$D,4,FALSE)</f>
        <v>663</v>
      </c>
      <c r="C288" s="4">
        <v>2</v>
      </c>
      <c r="D288" s="4">
        <v>314</v>
      </c>
      <c r="E288" s="4" t="str">
        <f>VLOOKUP(A288,[1]Assign!$A:$I,9,FALSE)</f>
        <v>25% MDGS Variable</v>
      </c>
      <c r="F288" s="4">
        <f>VLOOKUP(A288,'[1]Carcass '!$C$105:$D$397,2,FALSE)</f>
        <v>1040</v>
      </c>
      <c r="G288" s="4">
        <f t="shared" si="52"/>
        <v>1650.7936507936508</v>
      </c>
      <c r="H288" s="31">
        <f t="shared" si="45"/>
        <v>5.0397635244574026</v>
      </c>
      <c r="I288" s="4">
        <f>VLOOKUP(D288,'[1]DMO head'!$A$2:$D$49,4,FALSE)</f>
        <v>23.926712488585853</v>
      </c>
      <c r="J288" s="19">
        <f t="shared" si="46"/>
        <v>987.79365079365084</v>
      </c>
      <c r="L288" s="4" t="str">
        <f>VLOOKUP(A288,'[1]Carcass '!$C$10:$J$397,8,FALSE)</f>
        <v>C</v>
      </c>
      <c r="M288" s="4">
        <f t="shared" si="47"/>
        <v>0</v>
      </c>
      <c r="N288" s="4">
        <f t="shared" si="48"/>
        <v>0</v>
      </c>
      <c r="O288" s="4">
        <f t="shared" si="49"/>
        <v>0</v>
      </c>
      <c r="P288" s="4">
        <f t="shared" si="50"/>
        <v>0</v>
      </c>
      <c r="Q288" s="4">
        <f t="shared" si="51"/>
        <v>1</v>
      </c>
      <c r="R288" s="19">
        <f>VLOOKUP(A288,'[1]Carcass '!$C$107:$E$399,3,FALSE)</f>
        <v>15.2</v>
      </c>
      <c r="S288" s="4">
        <f>VLOOKUP(A288,'[1]Carcass '!$C$107:$F$399,4,FALSE)</f>
        <v>3.9</v>
      </c>
      <c r="T288" s="4">
        <f>VLOOKUP(A288,'[1]Carcass '!$C$10:$G$397,5, FALSE)</f>
        <v>0.76800000000000002</v>
      </c>
      <c r="U288" s="4">
        <f>VLOOKUP(A288,'[1]Carcass '!$C$107:$I$399,7,FALSE)</f>
        <v>673</v>
      </c>
    </row>
    <row r="289" spans="1:21" x14ac:dyDescent="0.2">
      <c r="A289" s="94">
        <v>4352</v>
      </c>
      <c r="B289" s="87">
        <f>VLOOKUP(A289,[1]Assign!$A:$D,4,FALSE)</f>
        <v>655</v>
      </c>
      <c r="C289" s="4">
        <v>2</v>
      </c>
      <c r="D289" s="4">
        <v>315</v>
      </c>
      <c r="E289" s="4" t="str">
        <f>VLOOKUP(A289,[1]Assign!$A:$I,9,FALSE)</f>
        <v xml:space="preserve">25% MDGS Constant </v>
      </c>
      <c r="F289" s="4">
        <f>VLOOKUP(A289,'[1]Carcass '!$C$105:$D$397,2,FALSE)</f>
        <v>946</v>
      </c>
      <c r="G289" s="4">
        <f t="shared" si="52"/>
        <v>1501.5873015873017</v>
      </c>
      <c r="H289" s="31">
        <f t="shared" si="45"/>
        <v>4.3193229672821518</v>
      </c>
      <c r="I289" s="4">
        <f>VLOOKUP(D289,'[1]DMO head'!$A$2:$D$49,4,FALSE)</f>
        <v>23.392790065062279</v>
      </c>
      <c r="J289" s="19">
        <f t="shared" si="46"/>
        <v>846.58730158730168</v>
      </c>
      <c r="L289" s="4" t="str">
        <f>VLOOKUP(A289,'[1]Carcass '!$C$10:$J$397,8,FALSE)</f>
        <v>A</v>
      </c>
      <c r="M289" s="4">
        <f t="shared" si="47"/>
        <v>1</v>
      </c>
      <c r="N289" s="4">
        <f t="shared" si="48"/>
        <v>0</v>
      </c>
      <c r="O289" s="4">
        <f t="shared" si="49"/>
        <v>0</v>
      </c>
      <c r="P289" s="4">
        <f t="shared" si="50"/>
        <v>1</v>
      </c>
      <c r="Q289" s="4">
        <f t="shared" si="51"/>
        <v>0</v>
      </c>
      <c r="R289" s="19">
        <f>VLOOKUP(A289,'[1]Carcass '!$C$107:$E$399,3,FALSE)</f>
        <v>14.2</v>
      </c>
      <c r="S289" s="4">
        <f>VLOOKUP(A289,'[1]Carcass '!$C$107:$F$399,4,FALSE)</f>
        <v>3.5</v>
      </c>
      <c r="T289" s="4">
        <f>VLOOKUP(A289,'[1]Carcass '!$C$10:$G$397,5, FALSE)</f>
        <v>0.63</v>
      </c>
      <c r="U289" s="4">
        <f>VLOOKUP(A289,'[1]Carcass '!$C$107:$I$399,7,FALSE)</f>
        <v>791</v>
      </c>
    </row>
    <row r="290" spans="1:21" x14ac:dyDescent="0.2">
      <c r="A290" s="94">
        <v>4426</v>
      </c>
      <c r="B290" s="87">
        <f>VLOOKUP(A290,[1]Assign!$A:$D,4,FALSE)</f>
        <v>660</v>
      </c>
      <c r="C290" s="4">
        <v>2</v>
      </c>
      <c r="D290" s="4">
        <v>316</v>
      </c>
      <c r="E290" s="4" t="str">
        <f>VLOOKUP(A290,[1]Assign!$A:$I,9,FALSE)</f>
        <v xml:space="preserve">10% MDGS Constant </v>
      </c>
      <c r="F290" s="4">
        <f>VLOOKUP(A290,'[1]Carcass '!$C$105:$D$397,2,FALSE)</f>
        <v>864</v>
      </c>
      <c r="G290" s="4">
        <f t="shared" si="52"/>
        <v>1371.4285714285713</v>
      </c>
      <c r="H290" s="31">
        <f t="shared" si="45"/>
        <v>3.6297376093294456</v>
      </c>
      <c r="I290" s="4">
        <f>VLOOKUP(D290,'[1]DMO head'!$A$2:$D$49,4,FALSE)</f>
        <v>23.276936370757571</v>
      </c>
      <c r="J290" s="19">
        <f t="shared" si="46"/>
        <v>711.42857142857133</v>
      </c>
      <c r="L290" s="4" t="str">
        <f>VLOOKUP(A290,'[1]Carcass '!$C$10:$J$397,8,FALSE)</f>
        <v>A+</v>
      </c>
      <c r="M290" s="4">
        <f t="shared" si="47"/>
        <v>0</v>
      </c>
      <c r="N290" s="4">
        <f t="shared" si="48"/>
        <v>0</v>
      </c>
      <c r="O290" s="4">
        <f t="shared" si="49"/>
        <v>1</v>
      </c>
      <c r="P290" s="4">
        <f t="shared" si="50"/>
        <v>1</v>
      </c>
      <c r="Q290" s="4">
        <f t="shared" si="51"/>
        <v>0</v>
      </c>
      <c r="R290" s="19">
        <f>VLOOKUP(A290,'[1]Carcass '!$C$107:$E$399,3,FALSE)</f>
        <v>13.2</v>
      </c>
      <c r="S290" s="4">
        <f>VLOOKUP(A290,'[1]Carcass '!$C$107:$F$399,4,FALSE)</f>
        <v>3</v>
      </c>
      <c r="T290" s="4">
        <f>VLOOKUP(A290,'[1]Carcass '!$C$10:$G$397,5, FALSE)</f>
        <v>0.54</v>
      </c>
      <c r="U290" s="4">
        <f>VLOOKUP(A290,'[1]Carcass '!$C$107:$I$399,7,FALSE)</f>
        <v>631</v>
      </c>
    </row>
    <row r="291" spans="1:21" x14ac:dyDescent="0.2">
      <c r="A291" s="94">
        <v>4624</v>
      </c>
      <c r="B291" s="87">
        <f>VLOOKUP(A291,[1]Assign!$A:$D,4,FALSE)</f>
        <v>666</v>
      </c>
      <c r="C291" s="4">
        <v>2</v>
      </c>
      <c r="D291" s="4">
        <v>317</v>
      </c>
      <c r="E291" s="4" t="str">
        <f>VLOOKUP(A291,[1]Assign!$A:$I,9,FALSE)</f>
        <v>Control</v>
      </c>
      <c r="F291" s="4">
        <f>VLOOKUP(A291,'[1]Carcass '!$C$105:$D$397,2,FALSE)</f>
        <v>926</v>
      </c>
      <c r="G291" s="4">
        <f t="shared" si="52"/>
        <v>1469.8412698412699</v>
      </c>
      <c r="H291" s="31">
        <f t="shared" si="45"/>
        <v>4.1012309685779078</v>
      </c>
      <c r="I291" s="4">
        <f>VLOOKUP(D291,'[1]DMO head'!$A$2:$D$49,4,FALSE)</f>
        <v>23.188136258216968</v>
      </c>
      <c r="J291" s="19">
        <f t="shared" si="46"/>
        <v>803.84126984126988</v>
      </c>
      <c r="L291" s="4">
        <f>VLOOKUP(A291,'[1]Carcass '!$C$10:$J$397,8,FALSE)</f>
        <v>0</v>
      </c>
      <c r="M291" s="4">
        <f t="shared" si="47"/>
        <v>0</v>
      </c>
      <c r="N291" s="4">
        <f t="shared" si="48"/>
        <v>0</v>
      </c>
      <c r="O291" s="4">
        <f t="shared" si="49"/>
        <v>0</v>
      </c>
      <c r="P291" s="4">
        <f t="shared" si="50"/>
        <v>0</v>
      </c>
      <c r="Q291" s="4">
        <f t="shared" si="51"/>
        <v>0</v>
      </c>
      <c r="R291" s="19">
        <f>VLOOKUP(A291,'[1]Carcass '!$C$107:$E$399,3,FALSE)</f>
        <v>13.8</v>
      </c>
      <c r="S291" s="4">
        <f>VLOOKUP(A291,'[1]Carcass '!$C$107:$F$399,4,FALSE)</f>
        <v>4.0999999999999996</v>
      </c>
      <c r="T291" s="4">
        <f>VLOOKUP(A291,'[1]Carcass '!$C$10:$G$397,5, FALSE)</f>
        <v>0.96</v>
      </c>
      <c r="U291" s="4">
        <f>VLOOKUP(A291,'[1]Carcass '!$C$107:$I$399,7,FALSE)</f>
        <v>402</v>
      </c>
    </row>
    <row r="292" spans="1:21" ht="16" thickBot="1" x14ac:dyDescent="0.25">
      <c r="A292" s="103">
        <v>4340</v>
      </c>
      <c r="B292" s="104">
        <f>VLOOKUP(A292,[1]Assign!$A:$D,4,FALSE)</f>
        <v>665</v>
      </c>
      <c r="C292" s="4">
        <v>2</v>
      </c>
      <c r="D292" s="4">
        <v>318</v>
      </c>
      <c r="E292" s="4" t="str">
        <f>VLOOKUP(A292,[1]Assign!$A:$I,9,FALSE)</f>
        <v>10% MDGS Variable</v>
      </c>
      <c r="F292" s="4">
        <f>VLOOKUP(A292,'[1]Carcass '!$C$105:$D$397,2,FALSE)</f>
        <v>846</v>
      </c>
      <c r="G292" s="4">
        <f t="shared" si="52"/>
        <v>1342.8571428571429</v>
      </c>
      <c r="H292" s="105">
        <f t="shared" si="45"/>
        <v>3.4584548104956272</v>
      </c>
      <c r="I292" s="4">
        <f>VLOOKUP(D292,'[1]DMO head'!$A$2:$D$49,4,FALSE)</f>
        <v>23.479164833812241</v>
      </c>
      <c r="J292" s="106">
        <f t="shared" si="46"/>
        <v>677.85714285714289</v>
      </c>
      <c r="K292" s="107"/>
      <c r="L292" s="4">
        <f>VLOOKUP(A292,'[1]Carcass '!$C$10:$J$397,8,FALSE)</f>
        <v>0</v>
      </c>
      <c r="M292" s="4">
        <f t="shared" si="47"/>
        <v>0</v>
      </c>
      <c r="N292" s="4">
        <f t="shared" si="48"/>
        <v>0</v>
      </c>
      <c r="O292" s="4">
        <f t="shared" si="49"/>
        <v>0</v>
      </c>
      <c r="P292" s="4">
        <f t="shared" si="50"/>
        <v>0</v>
      </c>
      <c r="Q292" s="4">
        <f t="shared" si="51"/>
        <v>0</v>
      </c>
      <c r="R292" s="19">
        <f>VLOOKUP(A292,'[1]Carcass '!$C$107:$E$399,3,FALSE)</f>
        <v>14.4</v>
      </c>
      <c r="S292" s="4">
        <f>VLOOKUP(A292,'[1]Carcass '!$C$107:$F$399,4,FALSE)</f>
        <v>3.5</v>
      </c>
      <c r="T292" s="4">
        <f>VLOOKUP(A292,'[1]Carcass '!$C$10:$G$397,5, FALSE)</f>
        <v>0.68</v>
      </c>
      <c r="U292" s="4">
        <f>VLOOKUP(A292,'[1]Carcass '!$C$107:$I$399,7,FALSE)</f>
        <v>619</v>
      </c>
    </row>
    <row r="293" spans="1:21" x14ac:dyDescent="0.2">
      <c r="A293" s="108">
        <v>4382</v>
      </c>
      <c r="B293" s="109">
        <f>VLOOKUP(A293,[1]Assign!$A:$D,4,FALSE)</f>
        <v>662</v>
      </c>
      <c r="C293" s="53">
        <v>3</v>
      </c>
      <c r="D293" s="53">
        <v>405</v>
      </c>
      <c r="E293" s="71" t="str">
        <f>VLOOKUP(A293,[1]Assign!$A:$I,9,FALSE)</f>
        <v>10% MDGS Variable</v>
      </c>
      <c r="F293" s="71">
        <f>VLOOKUP(A293,'[1]Carcass '!$C$10:$D$105,2,FALSE)</f>
        <v>848</v>
      </c>
      <c r="G293" s="71">
        <f t="shared" si="52"/>
        <v>1346.031746031746</v>
      </c>
      <c r="H293" s="31">
        <f>(G293-B293)/182</f>
        <v>3.7584161869876156</v>
      </c>
      <c r="I293" s="71">
        <f>VLOOKUP(D293,'[1]DMO head'!A:B,2,FALSE)</f>
        <v>23.841123317486328</v>
      </c>
      <c r="J293" s="19">
        <f>('Final Performance'!G293-'Final Performance'!B293)</f>
        <v>684.03174603174602</v>
      </c>
      <c r="K293" s="4">
        <f>J293/I293</f>
        <v>28.691254892760917</v>
      </c>
      <c r="L293" s="71" t="str">
        <f>VLOOKUP('Final Performance'!A293,'[1]Carcass '!$C$10:$J$105,8,FALSE)</f>
        <v>A-</v>
      </c>
      <c r="M293" s="4">
        <f t="shared" si="47"/>
        <v>0</v>
      </c>
      <c r="N293" s="4">
        <f t="shared" si="48"/>
        <v>1</v>
      </c>
      <c r="O293" s="4">
        <f t="shared" si="49"/>
        <v>0</v>
      </c>
      <c r="P293" s="4">
        <f t="shared" si="50"/>
        <v>1</v>
      </c>
      <c r="Q293" s="4">
        <f t="shared" si="51"/>
        <v>0</v>
      </c>
      <c r="R293" s="4">
        <f>VLOOKUP(A293,'[1]Carcass '!$C$10:$E$105,3,FALSE)</f>
        <v>13.65</v>
      </c>
      <c r="U293" s="29">
        <f>VLOOKUP(A293,'[1]Carcass '!$C$10:$I$105,7,)</f>
        <v>822</v>
      </c>
    </row>
    <row r="294" spans="1:21" x14ac:dyDescent="0.2">
      <c r="A294" s="110">
        <v>4381</v>
      </c>
      <c r="B294" s="111">
        <f>VLOOKUP(A294,[1]Assign!$A:$D,4,FALSE)</f>
        <v>672</v>
      </c>
      <c r="C294" s="4">
        <v>3</v>
      </c>
      <c r="D294" s="4">
        <v>406</v>
      </c>
      <c r="E294" s="4" t="str">
        <f>VLOOKUP(A294,[1]Assign!$A:$I,9,FALSE)</f>
        <v xml:space="preserve">10% MDGS Constant </v>
      </c>
      <c r="F294" s="4">
        <f>VLOOKUP(A294,'[1]Carcass '!$C$10:$D$105,2,FALSE)</f>
        <v>816</v>
      </c>
      <c r="G294" s="4">
        <f>F294/0.63</f>
        <v>1295.2380952380952</v>
      </c>
      <c r="H294" s="31">
        <f>(G294-B294)/182</f>
        <v>3.4243851386708526</v>
      </c>
      <c r="I294" s="4">
        <f>VLOOKUP(D294,'[1]DMO head'!A:B,2,FALSE)</f>
        <v>24.456725328579239</v>
      </c>
      <c r="J294" s="19">
        <f>('Final Performance'!G294-'Final Performance'!B294)</f>
        <v>623.23809523809518</v>
      </c>
      <c r="K294" s="4">
        <f t="shared" ref="K294:K357" si="53">J294/I294</f>
        <v>25.483301090592118</v>
      </c>
      <c r="L294" s="4" t="str">
        <f>VLOOKUP('Final Performance'!A294,'[1]Carcass '!$C$10:$J$105,8,FALSE)</f>
        <v>A+</v>
      </c>
      <c r="M294" s="4">
        <f t="shared" si="47"/>
        <v>0</v>
      </c>
      <c r="N294" s="4">
        <f t="shared" si="48"/>
        <v>0</v>
      </c>
      <c r="O294" s="4">
        <f t="shared" si="49"/>
        <v>1</v>
      </c>
      <c r="P294" s="4">
        <f t="shared" si="50"/>
        <v>1</v>
      </c>
      <c r="Q294" s="4">
        <f t="shared" si="51"/>
        <v>0</v>
      </c>
      <c r="R294" s="4">
        <f>VLOOKUP(A294,'[1]Carcass '!$C$10:$E$105,3,FALSE)</f>
        <v>13.5</v>
      </c>
      <c r="S294" s="4">
        <f>VLOOKUP(A294,'[1]Carcass '!$C$10:$F$105,4,)</f>
        <v>3.32</v>
      </c>
      <c r="T294" s="4">
        <f>VLOOKUP(A294,'[1]Carcass '!$C$10:$G$397,5, FALSE)</f>
        <v>0.52799999999999991</v>
      </c>
      <c r="U294" s="29">
        <f>VLOOKUP(A294,'[1]Carcass '!$C$10:$I$105,7,)</f>
        <v>384</v>
      </c>
    </row>
    <row r="295" spans="1:21" x14ac:dyDescent="0.2">
      <c r="A295" s="110">
        <v>4489</v>
      </c>
      <c r="B295" s="111">
        <f>VLOOKUP(A295,[1]Assign!$A:$D,4,FALSE)</f>
        <v>664</v>
      </c>
      <c r="C295" s="4">
        <v>3</v>
      </c>
      <c r="D295" s="4">
        <v>407</v>
      </c>
      <c r="E295" s="4" t="str">
        <f>VLOOKUP(A295,[1]Assign!$A:$I,9,FALSE)</f>
        <v>25% MDGS Variable</v>
      </c>
      <c r="F295" s="4">
        <f>VLOOKUP(A295,'[1]Carcass '!$C$10:$D$105,2,FALSE)</f>
        <v>828</v>
      </c>
      <c r="G295" s="4">
        <f t="shared" si="52"/>
        <v>1314.2857142857142</v>
      </c>
      <c r="H295" s="31">
        <f t="shared" ref="H295:H358" si="54">(G295-B295)/182</f>
        <v>3.5729984301412867</v>
      </c>
      <c r="I295" s="4">
        <f>VLOOKUP(D295,'[1]DMO head'!A:B,2,FALSE)</f>
        <v>22.840113033442623</v>
      </c>
      <c r="J295" s="19">
        <f>('Final Performance'!G295-'Final Performance'!B295)</f>
        <v>650.28571428571422</v>
      </c>
      <c r="K295" s="4">
        <f t="shared" si="53"/>
        <v>28.471212613245925</v>
      </c>
      <c r="L295" s="4" t="str">
        <f>VLOOKUP('Final Performance'!A295,'[1]Carcass '!$C$10:$J$105,8,FALSE)</f>
        <v>A+</v>
      </c>
      <c r="M295" s="4">
        <f t="shared" si="47"/>
        <v>0</v>
      </c>
      <c r="N295" s="4">
        <f t="shared" si="48"/>
        <v>0</v>
      </c>
      <c r="O295" s="4">
        <f t="shared" si="49"/>
        <v>1</v>
      </c>
      <c r="P295" s="4">
        <f t="shared" si="50"/>
        <v>1</v>
      </c>
      <c r="Q295" s="4">
        <f t="shared" si="51"/>
        <v>0</v>
      </c>
      <c r="R295" s="4">
        <f>VLOOKUP(A295,'[1]Carcass '!$C$10:$E$105,3,FALSE)</f>
        <v>11.46</v>
      </c>
      <c r="S295" s="4">
        <f>VLOOKUP(A295,'[1]Carcass '!$C$10:$F$105,4,)</f>
        <v>3.66</v>
      </c>
      <c r="T295" s="4">
        <f>VLOOKUP(A295,'[1]Carcass '!$C$10:$G$397,5, FALSE)</f>
        <v>0.66400000000000003</v>
      </c>
      <c r="U295" s="29">
        <f>VLOOKUP(A295,'[1]Carcass '!$C$10:$I$105,7,)</f>
        <v>464</v>
      </c>
    </row>
    <row r="296" spans="1:21" x14ac:dyDescent="0.2">
      <c r="A296" s="110">
        <v>4507</v>
      </c>
      <c r="B296" s="111">
        <f>VLOOKUP(A296,[1]Assign!$A:$D,4,FALSE)</f>
        <v>664</v>
      </c>
      <c r="C296" s="4">
        <v>3</v>
      </c>
      <c r="D296" s="4">
        <v>408</v>
      </c>
      <c r="E296" s="4" t="str">
        <f>VLOOKUP(A296,[1]Assign!$A:$I,9,FALSE)</f>
        <v>Control</v>
      </c>
      <c r="F296" s="4">
        <f>VLOOKUP(A296,'[1]Carcass '!$C$10:$D$105,2,FALSE)</f>
        <v>800</v>
      </c>
      <c r="G296" s="4">
        <f t="shared" si="52"/>
        <v>1269.8412698412699</v>
      </c>
      <c r="H296" s="31">
        <f t="shared" si="54"/>
        <v>3.3287981859410434</v>
      </c>
      <c r="I296" s="4">
        <f>VLOOKUP(D296,'[1]DMO head'!A:B,2,FALSE)</f>
        <v>22.630294042240436</v>
      </c>
      <c r="J296" s="19">
        <f>('Final Performance'!G296-'Final Performance'!B296)</f>
        <v>605.84126984126988</v>
      </c>
      <c r="K296" s="4">
        <f t="shared" si="53"/>
        <v>26.77125046234223</v>
      </c>
      <c r="L296" s="4">
        <f>VLOOKUP('Final Performance'!A296,'[1]Carcass '!$C$10:$J$105,8,FALSE)</f>
        <v>0</v>
      </c>
      <c r="M296" s="4">
        <f t="shared" si="47"/>
        <v>0</v>
      </c>
      <c r="N296" s="4">
        <f t="shared" si="48"/>
        <v>0</v>
      </c>
      <c r="O296" s="4">
        <f t="shared" si="49"/>
        <v>0</v>
      </c>
      <c r="P296" s="4">
        <f t="shared" si="50"/>
        <v>0</v>
      </c>
      <c r="Q296" s="4">
        <f t="shared" si="51"/>
        <v>0</v>
      </c>
      <c r="R296" s="4">
        <f>VLOOKUP(A296,'[1]Carcass '!$C$10:$E$105,3,FALSE)</f>
        <v>14.16</v>
      </c>
      <c r="S296" s="4">
        <f>VLOOKUP(A296,'[1]Carcass '!$C$10:$F$105,4,)</f>
        <v>3.1</v>
      </c>
      <c r="T296" s="4">
        <f>VLOOKUP(A296,'[1]Carcass '!$C$10:$G$397,5, FALSE)</f>
        <v>0.48399999999999999</v>
      </c>
      <c r="U296" s="29">
        <f>VLOOKUP(A296,'[1]Carcass '!$C$10:$I$105,7,)</f>
        <v>458</v>
      </c>
    </row>
    <row r="297" spans="1:21" x14ac:dyDescent="0.2">
      <c r="A297" s="110">
        <v>4751</v>
      </c>
      <c r="B297" s="111">
        <f>VLOOKUP(A297,[1]Assign!$A:$D,4,FALSE)</f>
        <v>654</v>
      </c>
      <c r="C297" s="4">
        <v>3</v>
      </c>
      <c r="D297" s="4">
        <v>409</v>
      </c>
      <c r="E297" s="4" t="str">
        <f>VLOOKUP(A297,[1]Assign!$A:$I,9,FALSE)</f>
        <v xml:space="preserve">25% MDGS Constant </v>
      </c>
      <c r="F297" s="4">
        <f>VLOOKUP(A297,'[1]Carcass '!$C$10:$D$105,2,FALSE)</f>
        <v>855</v>
      </c>
      <c r="G297" s="4">
        <f t="shared" si="52"/>
        <v>1357.1428571428571</v>
      </c>
      <c r="H297" s="31">
        <f t="shared" si="54"/>
        <v>3.8634222919937202</v>
      </c>
      <c r="I297" s="4">
        <f>VLOOKUP(D297,'[1]DMO head'!A:B,2,FALSE)</f>
        <v>25.087520326338783</v>
      </c>
      <c r="J297" s="19">
        <f>('Final Performance'!G297-'Final Performance'!B297)</f>
        <v>703.14285714285711</v>
      </c>
      <c r="K297" s="4">
        <f t="shared" si="53"/>
        <v>28.027594915574195</v>
      </c>
      <c r="L297" s="4">
        <f>VLOOKUP('Final Performance'!A297,'[1]Carcass '!$C$10:$J$105,8,FALSE)</f>
        <v>0</v>
      </c>
      <c r="M297" s="4">
        <f t="shared" si="47"/>
        <v>0</v>
      </c>
      <c r="N297" s="4">
        <f t="shared" si="48"/>
        <v>0</v>
      </c>
      <c r="O297" s="4">
        <f t="shared" si="49"/>
        <v>0</v>
      </c>
      <c r="P297" s="4">
        <f t="shared" si="50"/>
        <v>0</v>
      </c>
      <c r="Q297" s="4">
        <f t="shared" si="51"/>
        <v>0</v>
      </c>
      <c r="R297" s="4">
        <f>VLOOKUP(A297,'[1]Carcass '!$C$10:$E$105,3,FALSE)</f>
        <v>14.13</v>
      </c>
      <c r="S297" s="4">
        <f>VLOOKUP(A297,'[1]Carcass '!$C$10:$F$105,4,)</f>
        <v>3.44</v>
      </c>
      <c r="T297" s="4">
        <f>VLOOKUP(A297,'[1]Carcass '!$C$10:$G$397,5, FALSE)</f>
        <v>0.752</v>
      </c>
      <c r="U297" s="29">
        <f>VLOOKUP(A297,'[1]Carcass '!$C$10:$I$105,7,)</f>
        <v>727</v>
      </c>
    </row>
    <row r="298" spans="1:21" x14ac:dyDescent="0.2">
      <c r="A298" s="110">
        <v>4570</v>
      </c>
      <c r="B298" s="111">
        <f>VLOOKUP(A298,[1]Assign!$A:$D,4,FALSE)</f>
        <v>676</v>
      </c>
      <c r="C298" s="4">
        <v>3</v>
      </c>
      <c r="D298" s="4">
        <v>410</v>
      </c>
      <c r="E298" s="4" t="str">
        <f>VLOOKUP(A298,[1]Assign!$A:$I,9,FALSE)</f>
        <v>25% MDGS Variable</v>
      </c>
      <c r="F298" s="4">
        <f>VLOOKUP(A298,'[1]Carcass '!$C$10:$D$105,2,FALSE)</f>
        <v>800</v>
      </c>
      <c r="G298" s="4">
        <f t="shared" si="52"/>
        <v>1269.8412698412699</v>
      </c>
      <c r="H298" s="31">
        <f t="shared" si="54"/>
        <v>3.2628641200069772</v>
      </c>
      <c r="I298" s="4">
        <f>VLOOKUP(D298,'[1]DMO head'!A:B,2,FALSE)</f>
        <v>23.110230187377059</v>
      </c>
      <c r="J298" s="19">
        <f>('Final Performance'!G298-'Final Performance'!B298)</f>
        <v>593.84126984126988</v>
      </c>
      <c r="K298" s="4">
        <f t="shared" si="53"/>
        <v>25.696034398031632</v>
      </c>
      <c r="L298" s="4">
        <f>VLOOKUP('Final Performance'!A298,'[1]Carcass '!$C$10:$J$105,8,FALSE)</f>
        <v>0</v>
      </c>
      <c r="M298" s="4">
        <f t="shared" si="47"/>
        <v>0</v>
      </c>
      <c r="N298" s="4">
        <f t="shared" si="48"/>
        <v>0</v>
      </c>
      <c r="O298" s="4">
        <f t="shared" si="49"/>
        <v>0</v>
      </c>
      <c r="P298" s="4">
        <f t="shared" si="50"/>
        <v>0</v>
      </c>
      <c r="Q298" s="4">
        <f t="shared" si="51"/>
        <v>0</v>
      </c>
      <c r="R298" s="4">
        <f>VLOOKUP(A298,'[1]Carcass '!$C$10:$E$105,3,FALSE)</f>
        <v>12.5</v>
      </c>
      <c r="S298" s="4">
        <f>VLOOKUP(A298,'[1]Carcass '!$C$10:$F$105,4,)</f>
        <v>3.21</v>
      </c>
      <c r="T298" s="4">
        <f>VLOOKUP(A298,'[1]Carcass '!$C$10:$G$397,5, FALSE)</f>
        <v>0.58399999999999996</v>
      </c>
      <c r="U298" s="29">
        <f>VLOOKUP(A298,'[1]Carcass '!$C$10:$I$105,7,)</f>
        <v>755</v>
      </c>
    </row>
    <row r="299" spans="1:21" x14ac:dyDescent="0.2">
      <c r="A299" s="110">
        <v>4402</v>
      </c>
      <c r="B299" s="111">
        <f>VLOOKUP(A299,[1]Assign!$A:$D,4,FALSE)</f>
        <v>676</v>
      </c>
      <c r="C299" s="4">
        <v>3</v>
      </c>
      <c r="D299" s="4">
        <v>411</v>
      </c>
      <c r="E299" s="4" t="str">
        <f>VLOOKUP(A299,[1]Assign!$A:$I,9,FALSE)</f>
        <v xml:space="preserve">10% MDGS Constant </v>
      </c>
      <c r="F299" s="4">
        <f>VLOOKUP(A299,'[1]Carcass '!$C$10:$D$105,2,FALSE)</f>
        <v>881</v>
      </c>
      <c r="G299" s="4">
        <f t="shared" si="52"/>
        <v>1398.4126984126983</v>
      </c>
      <c r="H299" s="31">
        <f t="shared" si="54"/>
        <v>3.9693005407291118</v>
      </c>
      <c r="I299" s="4">
        <f>VLOOKUP(D299,'[1]DMO head'!A:B,2,FALSE)</f>
        <v>23.277453122155439</v>
      </c>
      <c r="J299" s="19">
        <f>('Final Performance'!G299-'Final Performance'!B299)</f>
        <v>722.41269841269832</v>
      </c>
      <c r="K299" s="4">
        <f t="shared" si="53"/>
        <v>31.034868575252641</v>
      </c>
      <c r="L299" s="4" t="str">
        <f>VLOOKUP('Final Performance'!A299,'[1]Carcass '!$C$10:$J$105,8,FALSE)</f>
        <v>A+</v>
      </c>
      <c r="M299" s="4">
        <f t="shared" si="47"/>
        <v>0</v>
      </c>
      <c r="N299" s="4">
        <f t="shared" si="48"/>
        <v>0</v>
      </c>
      <c r="O299" s="4">
        <f t="shared" si="49"/>
        <v>1</v>
      </c>
      <c r="P299" s="4">
        <f t="shared" si="50"/>
        <v>1</v>
      </c>
      <c r="Q299" s="4">
        <f t="shared" si="51"/>
        <v>0</v>
      </c>
      <c r="R299" s="4">
        <f>VLOOKUP(A299,'[1]Carcass '!$C$10:$E$105,3,FALSE)</f>
        <v>14.01</v>
      </c>
      <c r="S299" s="4">
        <f>VLOOKUP(A299,'[1]Carcass '!$C$10:$F$105,4,)</f>
        <v>3.16</v>
      </c>
      <c r="T299" s="4">
        <f>VLOOKUP(A299,'[1]Carcass '!$C$10:$G$397,5, FALSE)</f>
        <v>0.55600000000000005</v>
      </c>
      <c r="U299" s="29">
        <f>VLOOKUP(A299,'[1]Carcass '!$C$10:$I$105,7,)</f>
        <v>520</v>
      </c>
    </row>
    <row r="300" spans="1:21" x14ac:dyDescent="0.2">
      <c r="A300" s="110">
        <v>4326</v>
      </c>
      <c r="B300" s="111">
        <f>VLOOKUP(A300,[1]Assign!$A:$D,4,FALSE)</f>
        <v>668</v>
      </c>
      <c r="C300" s="4">
        <v>3</v>
      </c>
      <c r="D300" s="4">
        <v>412</v>
      </c>
      <c r="E300" s="4" t="str">
        <f>VLOOKUP(A300,[1]Assign!$A:$I,9,FALSE)</f>
        <v>Control</v>
      </c>
      <c r="F300" s="4">
        <f>VLOOKUP(A300,'[1]Carcass '!$C$10:$D$105,2,FALSE)</f>
        <v>872</v>
      </c>
      <c r="G300" s="4">
        <f t="shared" si="52"/>
        <v>1384.1269841269841</v>
      </c>
      <c r="H300" s="31">
        <f t="shared" si="54"/>
        <v>3.9347636490493634</v>
      </c>
      <c r="I300" s="4">
        <f>VLOOKUP(D300,'[1]DMO head'!A:B,2,FALSE)</f>
        <v>23.149248339458101</v>
      </c>
      <c r="J300" s="19">
        <f>('Final Performance'!G300-'Final Performance'!B300)</f>
        <v>716.1269841269841</v>
      </c>
      <c r="K300" s="4">
        <f t="shared" si="53"/>
        <v>30.935215417182217</v>
      </c>
      <c r="L300" s="4">
        <f>VLOOKUP('Final Performance'!A300,'[1]Carcass '!$C$10:$J$105,8,FALSE)</f>
        <v>0</v>
      </c>
      <c r="M300" s="4">
        <f t="shared" si="47"/>
        <v>0</v>
      </c>
      <c r="N300" s="4">
        <f t="shared" si="48"/>
        <v>0</v>
      </c>
      <c r="O300" s="4">
        <f t="shared" si="49"/>
        <v>0</v>
      </c>
      <c r="P300" s="4">
        <f t="shared" si="50"/>
        <v>0</v>
      </c>
      <c r="Q300" s="4">
        <f t="shared" si="51"/>
        <v>0</v>
      </c>
      <c r="R300" s="4">
        <f>VLOOKUP(A300,'[1]Carcass '!$C$10:$E$105,3,FALSE)</f>
        <v>12.41</v>
      </c>
      <c r="S300" s="4">
        <f>VLOOKUP(A300,'[1]Carcass '!$C$10:$F$105,4,)</f>
        <v>4.05</v>
      </c>
      <c r="T300" s="4">
        <f>VLOOKUP(A300,'[1]Carcass '!$C$10:$G$397,5, FALSE)</f>
        <v>0.82399999999999995</v>
      </c>
      <c r="U300" s="29">
        <f>VLOOKUP(A300,'[1]Carcass '!$C$10:$I$105,7,)</f>
        <v>466</v>
      </c>
    </row>
    <row r="301" spans="1:21" x14ac:dyDescent="0.2">
      <c r="A301" s="110">
        <v>4462</v>
      </c>
      <c r="B301" s="111">
        <f>VLOOKUP(A301,[1]Assign!$A:$D,4,FALSE)</f>
        <v>670</v>
      </c>
      <c r="C301" s="4">
        <v>3</v>
      </c>
      <c r="D301" s="4">
        <v>413</v>
      </c>
      <c r="E301" s="4" t="str">
        <f>VLOOKUP(A301,[1]Assign!$A:$I,9,FALSE)</f>
        <v xml:space="preserve">25% MDGS Constant </v>
      </c>
      <c r="F301" s="4">
        <f>VLOOKUP(A301,'[1]Carcass '!$C$10:$D$105,2,FALSE)</f>
        <v>836</v>
      </c>
      <c r="G301" s="4">
        <f t="shared" si="52"/>
        <v>1326.984126984127</v>
      </c>
      <c r="H301" s="31">
        <f t="shared" si="54"/>
        <v>3.609802895517181</v>
      </c>
      <c r="I301" s="4">
        <f>VLOOKUP(D301,'[1]DMO head'!A:B,2,FALSE)</f>
        <v>24.396522174486932</v>
      </c>
      <c r="J301" s="19">
        <f>('Final Performance'!G301-'Final Performance'!B301)</f>
        <v>656.98412698412699</v>
      </c>
      <c r="K301" s="4">
        <f t="shared" si="53"/>
        <v>26.929417327818104</v>
      </c>
      <c r="L301" s="4" t="str">
        <f>VLOOKUP('Final Performance'!A301,'[1]Carcass '!$C$10:$J$105,8,FALSE)</f>
        <v>A+</v>
      </c>
      <c r="M301" s="4">
        <f t="shared" si="47"/>
        <v>0</v>
      </c>
      <c r="N301" s="4">
        <f t="shared" si="48"/>
        <v>0</v>
      </c>
      <c r="O301" s="4">
        <f t="shared" si="49"/>
        <v>1</v>
      </c>
      <c r="P301" s="4">
        <f t="shared" si="50"/>
        <v>1</v>
      </c>
      <c r="Q301" s="4">
        <f t="shared" si="51"/>
        <v>0</v>
      </c>
      <c r="R301" s="4">
        <f>VLOOKUP(A301,'[1]Carcass '!$C$10:$E$105,3,FALSE)</f>
        <v>12.48</v>
      </c>
      <c r="S301" s="4">
        <f>VLOOKUP(A301,'[1]Carcass '!$C$10:$F$105,4,)</f>
        <v>4.55</v>
      </c>
      <c r="T301" s="4">
        <f>VLOOKUP(A301,'[1]Carcass '!$C$10:$G$397,5, FALSE)</f>
        <v>1.036</v>
      </c>
      <c r="U301" s="29">
        <f>VLOOKUP(A301,'[1]Carcass '!$C$10:$I$105,7,)</f>
        <v>491</v>
      </c>
    </row>
    <row r="302" spans="1:21" x14ac:dyDescent="0.2">
      <c r="A302" s="110">
        <v>4458</v>
      </c>
      <c r="B302" s="111">
        <f>VLOOKUP(A302,[1]Assign!$A:$D,4,FALSE)</f>
        <v>664</v>
      </c>
      <c r="C302" s="4">
        <v>3</v>
      </c>
      <c r="D302" s="4">
        <v>414</v>
      </c>
      <c r="E302" s="4" t="str">
        <f>VLOOKUP(A302,[1]Assign!$A:$I,9,FALSE)</f>
        <v>10% MDGS Variable</v>
      </c>
      <c r="F302" s="4">
        <f>VLOOKUP(A302,'[1]Carcass '!$C$10:$D$105,2,FALSE)</f>
        <v>837</v>
      </c>
      <c r="G302" s="4">
        <f t="shared" si="52"/>
        <v>1328.5714285714287</v>
      </c>
      <c r="H302" s="31">
        <f t="shared" si="54"/>
        <v>3.6514913657770807</v>
      </c>
      <c r="I302" s="4">
        <f>VLOOKUP(D302,'[1]DMO head'!A:B,2,FALSE)</f>
        <v>24.652027832021865</v>
      </c>
      <c r="J302" s="19">
        <f>('Final Performance'!G302-'Final Performance'!B302)</f>
        <v>664.57142857142867</v>
      </c>
      <c r="K302" s="4">
        <f t="shared" si="53"/>
        <v>26.958083655421667</v>
      </c>
      <c r="L302" s="4" t="str">
        <f>VLOOKUP('Final Performance'!A302,'[1]Carcass '!$C$10:$J$105,8,FALSE)</f>
        <v>A-</v>
      </c>
      <c r="M302" s="4">
        <f t="shared" si="47"/>
        <v>0</v>
      </c>
      <c r="N302" s="4">
        <f t="shared" si="48"/>
        <v>1</v>
      </c>
      <c r="O302" s="4">
        <f t="shared" si="49"/>
        <v>0</v>
      </c>
      <c r="P302" s="4">
        <f t="shared" si="50"/>
        <v>1</v>
      </c>
      <c r="Q302" s="4">
        <f t="shared" si="51"/>
        <v>0</v>
      </c>
      <c r="R302" s="4">
        <f>VLOOKUP(A302,'[1]Carcass '!$C$10:$E$105,3,FALSE)</f>
        <v>13.62</v>
      </c>
      <c r="S302" s="4">
        <f>VLOOKUP(A302,'[1]Carcass '!$C$10:$F$105,4,)</f>
        <v>4.13</v>
      </c>
      <c r="T302" s="4">
        <f>VLOOKUP(A302,'[1]Carcass '!$C$10:$G$397,5, FALSE)</f>
        <v>0.92400000000000004</v>
      </c>
      <c r="U302" s="29">
        <f>VLOOKUP(A302,'[1]Carcass '!$C$10:$I$105,7,)</f>
        <v>579</v>
      </c>
    </row>
    <row r="303" spans="1:21" x14ac:dyDescent="0.2">
      <c r="A303" s="110">
        <v>4520</v>
      </c>
      <c r="B303" s="111">
        <f>VLOOKUP(A303,[1]Assign!$A:$D,4,FALSE)</f>
        <v>677</v>
      </c>
      <c r="C303" s="4">
        <v>3</v>
      </c>
      <c r="D303" s="4">
        <v>405</v>
      </c>
      <c r="E303" s="4" t="str">
        <f>VLOOKUP(A303,[1]Assign!$A:$I,9,FALSE)</f>
        <v>10% MDGS Variable</v>
      </c>
      <c r="F303" s="4">
        <f>VLOOKUP(A303,'[1]Carcass '!$C$10:$D$105,2,FALSE)</f>
        <v>858</v>
      </c>
      <c r="G303" s="4">
        <f t="shared" si="52"/>
        <v>1361.9047619047619</v>
      </c>
      <c r="H303" s="31">
        <f t="shared" si="54"/>
        <v>3.763212977498692</v>
      </c>
      <c r="I303" s="4">
        <f>VLOOKUP(D303,'[1]DMO head'!A:B,2,FALSE)</f>
        <v>23.841123317486328</v>
      </c>
      <c r="J303" s="19">
        <f>('Final Performance'!G303-'Final Performance'!B303)</f>
        <v>684.90476190476193</v>
      </c>
      <c r="K303" s="4">
        <f t="shared" si="53"/>
        <v>28.727872960684572</v>
      </c>
      <c r="L303" s="4" t="str">
        <f>VLOOKUP('Final Performance'!A303,'[1]Carcass '!$C$10:$J$105,8,FALSE)</f>
        <v>.</v>
      </c>
      <c r="M303" s="4">
        <f t="shared" si="47"/>
        <v>0</v>
      </c>
      <c r="N303" s="4">
        <f t="shared" si="48"/>
        <v>0</v>
      </c>
      <c r="O303" s="4">
        <f t="shared" si="49"/>
        <v>0</v>
      </c>
      <c r="P303" s="4">
        <f t="shared" si="50"/>
        <v>0</v>
      </c>
      <c r="Q303" s="4">
        <f t="shared" si="51"/>
        <v>0</v>
      </c>
      <c r="R303" s="4">
        <f>VLOOKUP(A303,'[1]Carcass '!$C$10:$E$105,3,FALSE)</f>
        <v>13.82</v>
      </c>
      <c r="S303" s="4">
        <f>VLOOKUP(A303,'[1]Carcass '!$C$10:$F$105,4,)</f>
        <v>3</v>
      </c>
      <c r="T303" s="4">
        <f>VLOOKUP(A303,'[1]Carcass '!$C$10:$G$397,5, FALSE)</f>
        <v>0.42</v>
      </c>
      <c r="U303" s="29">
        <f>VLOOKUP(A303,'[1]Carcass '!$C$10:$I$105,7,)</f>
        <v>445</v>
      </c>
    </row>
    <row r="304" spans="1:21" x14ac:dyDescent="0.2">
      <c r="A304" s="110">
        <v>4601</v>
      </c>
      <c r="B304" s="111">
        <f>VLOOKUP(A304,[1]Assign!$A:$D,4,FALSE)</f>
        <v>675</v>
      </c>
      <c r="C304" s="4">
        <v>3</v>
      </c>
      <c r="D304" s="4">
        <v>406</v>
      </c>
      <c r="E304" s="4" t="str">
        <f>VLOOKUP(A304,[1]Assign!$A:$I,9,FALSE)</f>
        <v xml:space="preserve">10% MDGS Constant </v>
      </c>
      <c r="F304" s="4">
        <f>VLOOKUP(A304,'[1]Carcass '!$C$10:$D$105,2,FALSE)</f>
        <v>851</v>
      </c>
      <c r="G304" s="4">
        <f t="shared" si="52"/>
        <v>1350.7936507936508</v>
      </c>
      <c r="H304" s="31">
        <f t="shared" si="54"/>
        <v>3.7131519274376421</v>
      </c>
      <c r="I304" s="4">
        <f>VLOOKUP(D304,'[1]DMO head'!A:B,2,FALSE)</f>
        <v>24.456725328579239</v>
      </c>
      <c r="J304" s="19">
        <f>('Final Performance'!G304-'Final Performance'!B304)</f>
        <v>675.79365079365084</v>
      </c>
      <c r="K304" s="4">
        <f t="shared" si="53"/>
        <v>27.632221473409729</v>
      </c>
      <c r="L304" s="4">
        <f>VLOOKUP('Final Performance'!A304,'[1]Carcass '!$C$10:$J$105,8,FALSE)</f>
        <v>0</v>
      </c>
      <c r="M304" s="4">
        <f t="shared" si="47"/>
        <v>0</v>
      </c>
      <c r="N304" s="4">
        <f t="shared" si="48"/>
        <v>0</v>
      </c>
      <c r="O304" s="4">
        <f t="shared" si="49"/>
        <v>0</v>
      </c>
      <c r="P304" s="4">
        <f t="shared" si="50"/>
        <v>0</v>
      </c>
      <c r="Q304" s="4">
        <f t="shared" si="51"/>
        <v>0</v>
      </c>
      <c r="R304" s="4">
        <f>VLOOKUP(A304,'[1]Carcass '!$C$10:$E$105,3,FALSE)</f>
        <v>13.58</v>
      </c>
      <c r="S304" s="4">
        <f>VLOOKUP(A304,'[1]Carcass '!$C$10:$F$105,4,)</f>
        <v>3.69</v>
      </c>
      <c r="T304" s="4">
        <f>VLOOKUP(A304,'[1]Carcass '!$C$10:$G$397,5, FALSE)</f>
        <v>0.72799999999999998</v>
      </c>
      <c r="U304" s="29">
        <f>VLOOKUP(A304,'[1]Carcass '!$C$10:$I$105,7,)</f>
        <v>584</v>
      </c>
    </row>
    <row r="305" spans="1:21" x14ac:dyDescent="0.2">
      <c r="A305" s="110">
        <v>4515</v>
      </c>
      <c r="B305" s="111">
        <f>VLOOKUP(A305,[1]Assign!$A:$D,4,FALSE)</f>
        <v>669</v>
      </c>
      <c r="C305" s="4">
        <v>3</v>
      </c>
      <c r="D305" s="4">
        <v>407</v>
      </c>
      <c r="E305" s="4" t="str">
        <f>VLOOKUP(A305,[1]Assign!$A:$I,9,FALSE)</f>
        <v>25% MDGS Variable</v>
      </c>
      <c r="F305" s="4">
        <f>VLOOKUP(A305,'[1]Carcass '!$C$10:$D$105,2,FALSE)</f>
        <v>825</v>
      </c>
      <c r="G305" s="4">
        <f t="shared" si="52"/>
        <v>1309.5238095238094</v>
      </c>
      <c r="H305" s="31">
        <f t="shared" si="54"/>
        <v>3.5193615907901616</v>
      </c>
      <c r="I305" s="4">
        <f>VLOOKUP(D305,'[1]DMO head'!A:B,2,FALSE)</f>
        <v>22.840113033442623</v>
      </c>
      <c r="J305" s="19">
        <f>('Final Performance'!G305-'Final Performance'!B305)</f>
        <v>640.5238095238094</v>
      </c>
      <c r="K305" s="4">
        <f t="shared" si="53"/>
        <v>28.04381084217713</v>
      </c>
      <c r="L305" s="4" t="str">
        <f>VLOOKUP('Final Performance'!A305,'[1]Carcass '!$C$10:$J$105,8,FALSE)</f>
        <v>A-</v>
      </c>
      <c r="M305" s="4">
        <f t="shared" si="47"/>
        <v>0</v>
      </c>
      <c r="N305" s="4">
        <f t="shared" si="48"/>
        <v>1</v>
      </c>
      <c r="O305" s="4">
        <f t="shared" si="49"/>
        <v>0</v>
      </c>
      <c r="P305" s="4">
        <f t="shared" si="50"/>
        <v>1</v>
      </c>
      <c r="Q305" s="4">
        <f t="shared" si="51"/>
        <v>0</v>
      </c>
      <c r="U305" s="29"/>
    </row>
    <row r="306" spans="1:21" x14ac:dyDescent="0.2">
      <c r="A306" s="110">
        <v>4461</v>
      </c>
      <c r="B306" s="111">
        <f>VLOOKUP(A306,[1]Assign!$A:$D,4,FALSE)</f>
        <v>675</v>
      </c>
      <c r="C306" s="4">
        <v>3</v>
      </c>
      <c r="D306" s="4">
        <v>408</v>
      </c>
      <c r="E306" s="4" t="str">
        <f>VLOOKUP(A306,[1]Assign!$A:$I,9,FALSE)</f>
        <v>Control</v>
      </c>
      <c r="F306" s="4">
        <f>VLOOKUP(A306,'[1]Carcass '!$C$10:$D$105,2,FALSE)</f>
        <v>898</v>
      </c>
      <c r="G306" s="4">
        <f t="shared" si="52"/>
        <v>1425.3968253968253</v>
      </c>
      <c r="H306" s="31">
        <f t="shared" si="54"/>
        <v>4.123059480202337</v>
      </c>
      <c r="I306" s="4">
        <f>VLOOKUP(D306,'[1]DMO head'!A:B,2,FALSE)</f>
        <v>22.630294042240436</v>
      </c>
      <c r="J306" s="19">
        <f>('Final Performance'!G306-'Final Performance'!B306)</f>
        <v>750.39682539682531</v>
      </c>
      <c r="K306" s="4">
        <f t="shared" si="53"/>
        <v>33.158951624586791</v>
      </c>
      <c r="L306" s="4">
        <f>VLOOKUP('Final Performance'!A306,'[1]Carcass '!$C$10:$J$105,8,FALSE)</f>
        <v>0</v>
      </c>
      <c r="M306" s="4">
        <f t="shared" si="47"/>
        <v>0</v>
      </c>
      <c r="N306" s="4">
        <f t="shared" si="48"/>
        <v>0</v>
      </c>
      <c r="O306" s="4">
        <f t="shared" si="49"/>
        <v>0</v>
      </c>
      <c r="P306" s="4">
        <f t="shared" si="50"/>
        <v>0</v>
      </c>
      <c r="Q306" s="4">
        <f t="shared" si="51"/>
        <v>0</v>
      </c>
      <c r="R306" s="4">
        <f>VLOOKUP(A306,'[1]Carcass '!$C$10:$E$105,3,FALSE)</f>
        <v>14.04</v>
      </c>
      <c r="S306" s="4">
        <f>VLOOKUP(A306,'[1]Carcass '!$C$10:$F$105,4,)</f>
        <v>3.23</v>
      </c>
      <c r="T306" s="4">
        <f>VLOOKUP(A306,'[1]Carcass '!$C$10:$G$397,5, FALSE)</f>
        <v>0.72399999999999998</v>
      </c>
      <c r="U306" s="29">
        <f>VLOOKUP(A306,'[1]Carcass '!$C$10:$I$105,7,)</f>
        <v>530</v>
      </c>
    </row>
    <row r="307" spans="1:21" x14ac:dyDescent="0.2">
      <c r="A307" s="110">
        <v>4584</v>
      </c>
      <c r="B307" s="111">
        <f>VLOOKUP(A307,[1]Assign!$A:$D,4,FALSE)</f>
        <v>660</v>
      </c>
      <c r="C307" s="4">
        <v>3</v>
      </c>
      <c r="D307" s="4">
        <v>409</v>
      </c>
      <c r="E307" s="4" t="str">
        <f>VLOOKUP(A307,[1]Assign!$A:$I,9,FALSE)</f>
        <v xml:space="preserve">25% MDGS Constant </v>
      </c>
      <c r="F307" s="4">
        <f>VLOOKUP(A307,'[1]Carcass '!$C$10:$D$105,2,FALSE)</f>
        <v>901</v>
      </c>
      <c r="G307" s="4">
        <f t="shared" si="52"/>
        <v>1430.1587301587301</v>
      </c>
      <c r="H307" s="31">
        <f t="shared" si="54"/>
        <v>4.2316413744985173</v>
      </c>
      <c r="I307" s="4">
        <f>VLOOKUP(D307,'[1]DMO head'!A:B,2,FALSE)</f>
        <v>25.087520326338783</v>
      </c>
      <c r="J307" s="19">
        <f>('Final Performance'!G307-'Final Performance'!B307)</f>
        <v>770.15873015873012</v>
      </c>
      <c r="K307" s="4">
        <f t="shared" si="53"/>
        <v>30.698878172912092</v>
      </c>
      <c r="L307" s="4">
        <f>VLOOKUP('Final Performance'!A307,'[1]Carcass '!$C$10:$J$105,8,FALSE)</f>
        <v>0</v>
      </c>
      <c r="M307" s="4">
        <f t="shared" si="47"/>
        <v>0</v>
      </c>
      <c r="N307" s="4">
        <f t="shared" si="48"/>
        <v>0</v>
      </c>
      <c r="O307" s="4">
        <f t="shared" si="49"/>
        <v>0</v>
      </c>
      <c r="P307" s="4">
        <f t="shared" si="50"/>
        <v>0</v>
      </c>
      <c r="Q307" s="4">
        <f t="shared" si="51"/>
        <v>0</v>
      </c>
      <c r="R307" s="4">
        <f>VLOOKUP(A307,'[1]Carcass '!$C$10:$E$105,3,FALSE)</f>
        <v>11.68</v>
      </c>
      <c r="S307" s="4">
        <f>VLOOKUP(A307,'[1]Carcass '!$C$10:$F$105,4,)</f>
        <v>3.7</v>
      </c>
      <c r="T307" s="4">
        <f>VLOOKUP(A307,'[1]Carcass '!$C$10:$G$397,5, FALSE)</f>
        <v>0.68</v>
      </c>
      <c r="U307" s="29">
        <f>VLOOKUP(A307,'[1]Carcass '!$C$10:$I$105,7,)</f>
        <v>588</v>
      </c>
    </row>
    <row r="308" spans="1:21" x14ac:dyDescent="0.2">
      <c r="A308" s="110">
        <v>4373</v>
      </c>
      <c r="B308" s="111">
        <f>VLOOKUP(A308,[1]Assign!$A:$D,4,FALSE)</f>
        <v>675</v>
      </c>
      <c r="C308" s="4">
        <v>3</v>
      </c>
      <c r="D308" s="4">
        <v>410</v>
      </c>
      <c r="E308" s="4" t="str">
        <f>VLOOKUP(A308,[1]Assign!$A:$I,9,FALSE)</f>
        <v>25% MDGS Variable</v>
      </c>
      <c r="F308" s="4">
        <f>VLOOKUP(A308,'[1]Carcass '!$C$10:$D$105,2,FALSE)</f>
        <v>865</v>
      </c>
      <c r="G308" s="4">
        <f t="shared" si="52"/>
        <v>1373.015873015873</v>
      </c>
      <c r="H308" s="31">
        <f t="shared" si="54"/>
        <v>3.8352520495377638</v>
      </c>
      <c r="I308" s="4">
        <f>VLOOKUP(D308,'[1]DMO head'!A:B,2,FALSE)</f>
        <v>23.110230187377059</v>
      </c>
      <c r="J308" s="19">
        <f>('Final Performance'!G308-'Final Performance'!B308)</f>
        <v>698.01587301587301</v>
      </c>
      <c r="K308" s="4">
        <f t="shared" si="53"/>
        <v>30.203761163622389</v>
      </c>
      <c r="L308" s="4">
        <f>VLOOKUP('Final Performance'!A308,'[1]Carcass '!$C$10:$J$105,8,FALSE)</f>
        <v>0</v>
      </c>
      <c r="M308" s="4">
        <f t="shared" si="47"/>
        <v>0</v>
      </c>
      <c r="N308" s="4">
        <f t="shared" si="48"/>
        <v>0</v>
      </c>
      <c r="O308" s="4">
        <f t="shared" si="49"/>
        <v>0</v>
      </c>
      <c r="P308" s="4">
        <f t="shared" si="50"/>
        <v>0</v>
      </c>
      <c r="Q308" s="4">
        <f t="shared" si="51"/>
        <v>0</v>
      </c>
      <c r="R308" s="4">
        <f>VLOOKUP(A308,'[1]Carcass '!$C$10:$E$105,3,FALSE)</f>
        <v>12.22</v>
      </c>
      <c r="S308" s="4">
        <f>VLOOKUP(A308,'[1]Carcass '!$C$10:$F$105,4,)</f>
        <v>3.76</v>
      </c>
      <c r="T308" s="4">
        <f>VLOOKUP(A308,'[1]Carcass '!$C$10:$G$397,5, FALSE)</f>
        <v>0.70399999999999996</v>
      </c>
      <c r="U308" s="29">
        <f>VLOOKUP(A308,'[1]Carcass '!$C$10:$I$105,7,)</f>
        <v>602</v>
      </c>
    </row>
    <row r="309" spans="1:21" x14ac:dyDescent="0.2">
      <c r="A309" s="110">
        <v>4398</v>
      </c>
      <c r="B309" s="111">
        <f>VLOOKUP(A309,[1]Assign!$A:$D,4,FALSE)</f>
        <v>664</v>
      </c>
      <c r="C309" s="4">
        <v>3</v>
      </c>
      <c r="D309" s="4">
        <v>412</v>
      </c>
      <c r="E309" s="4" t="str">
        <f>VLOOKUP(A309,[1]Assign!$A:$I,9,FALSE)</f>
        <v>Control</v>
      </c>
      <c r="F309" s="4">
        <f>VLOOKUP(A309,'[1]Carcass '!$C$10:$D$105,2,FALSE)</f>
        <v>846</v>
      </c>
      <c r="G309" s="4">
        <f t="shared" si="52"/>
        <v>1342.8571428571429</v>
      </c>
      <c r="H309" s="31">
        <f t="shared" si="54"/>
        <v>3.7299843014128728</v>
      </c>
      <c r="I309" s="4">
        <f>VLOOKUP(D309,'[1]DMO head'!A:B,2,FALSE)</f>
        <v>23.149248339458101</v>
      </c>
      <c r="J309" s="19">
        <f>('Final Performance'!G309-'Final Performance'!B309)</f>
        <v>678.85714285714289</v>
      </c>
      <c r="K309" s="4">
        <f t="shared" si="53"/>
        <v>29.325234793910127</v>
      </c>
      <c r="L309" s="4" t="str">
        <f>VLOOKUP('Final Performance'!A309,'[1]Carcass '!$C$10:$J$105,8,FALSE)</f>
        <v>A-</v>
      </c>
      <c r="M309" s="4">
        <f t="shared" si="47"/>
        <v>0</v>
      </c>
      <c r="N309" s="4">
        <f t="shared" si="48"/>
        <v>1</v>
      </c>
      <c r="O309" s="4">
        <f t="shared" si="49"/>
        <v>0</v>
      </c>
      <c r="P309" s="4">
        <f t="shared" si="50"/>
        <v>1</v>
      </c>
      <c r="Q309" s="4">
        <f t="shared" si="51"/>
        <v>0</v>
      </c>
      <c r="R309" s="4">
        <f>VLOOKUP(A309,'[1]Carcass '!$C$10:$E$105,3,FALSE)</f>
        <v>12.97</v>
      </c>
      <c r="S309" s="4">
        <f>VLOOKUP(A309,'[1]Carcass '!$C$10:$F$105,4,)</f>
        <v>3.63</v>
      </c>
      <c r="T309" s="4">
        <f>VLOOKUP(A309,'[1]Carcass '!$C$10:$G$397,5, FALSE)</f>
        <v>0.748</v>
      </c>
      <c r="U309" s="29">
        <f>VLOOKUP(A309,'[1]Carcass '!$C$10:$I$105,7,)</f>
        <v>502</v>
      </c>
    </row>
    <row r="310" spans="1:21" x14ac:dyDescent="0.2">
      <c r="A310" s="110">
        <v>4568</v>
      </c>
      <c r="B310" s="111">
        <f>VLOOKUP(A310,[1]Assign!$A:$D,4,FALSE)</f>
        <v>678</v>
      </c>
      <c r="C310" s="4">
        <v>3</v>
      </c>
      <c r="D310" s="4">
        <v>413</v>
      </c>
      <c r="E310" s="4" t="str">
        <f>VLOOKUP(A310,[1]Assign!$A:$I,9,FALSE)</f>
        <v xml:space="preserve">25% MDGS Constant </v>
      </c>
      <c r="F310" s="4">
        <f>VLOOKUP(A310,'[1]Carcass '!$C$10:$D$105,2,FALSE)</f>
        <v>848</v>
      </c>
      <c r="G310" s="4">
        <f t="shared" si="52"/>
        <v>1346.031746031746</v>
      </c>
      <c r="H310" s="31">
        <f t="shared" si="54"/>
        <v>3.6705040990755275</v>
      </c>
      <c r="I310" s="4">
        <f>VLOOKUP(D310,'[1]DMO head'!A:B,2,FALSE)</f>
        <v>24.396522174486932</v>
      </c>
      <c r="J310" s="19">
        <f>('Final Performance'!G310-'Final Performance'!B310)</f>
        <v>668.03174603174602</v>
      </c>
      <c r="K310" s="4">
        <f t="shared" si="53"/>
        <v>27.382253144685979</v>
      </c>
      <c r="L310" s="4">
        <f>VLOOKUP('Final Performance'!A310,'[1]Carcass '!$C$10:$J$105,8,FALSE)</f>
        <v>0</v>
      </c>
      <c r="M310" s="4">
        <f t="shared" si="47"/>
        <v>0</v>
      </c>
      <c r="N310" s="4">
        <f t="shared" si="48"/>
        <v>0</v>
      </c>
      <c r="O310" s="4">
        <f t="shared" si="49"/>
        <v>0</v>
      </c>
      <c r="P310" s="4">
        <f t="shared" si="50"/>
        <v>0</v>
      </c>
      <c r="Q310" s="4">
        <f t="shared" si="51"/>
        <v>0</v>
      </c>
      <c r="R310" s="4">
        <f>VLOOKUP(A310,'[1]Carcass '!$C$10:$E$105,3,FALSE)</f>
        <v>11.54</v>
      </c>
      <c r="S310" s="4">
        <f>VLOOKUP(A310,'[1]Carcass '!$C$10:$F$105,4,)</f>
        <v>3.67</v>
      </c>
      <c r="T310" s="4">
        <f>VLOOKUP(A310,'[1]Carcass '!$C$10:$G$397,5, FALSE)</f>
        <v>0.66799999999999993</v>
      </c>
      <c r="U310" s="29">
        <f>VLOOKUP(A310,'[1]Carcass '!$C$10:$I$105,7,)</f>
        <v>631</v>
      </c>
    </row>
    <row r="311" spans="1:21" x14ac:dyDescent="0.2">
      <c r="A311" s="110">
        <v>4731</v>
      </c>
      <c r="B311" s="111">
        <f>VLOOKUP(A311,[1]Assign!$A:$D,4,FALSE)</f>
        <v>669</v>
      </c>
      <c r="C311" s="4">
        <v>3</v>
      </c>
      <c r="D311" s="4">
        <v>414</v>
      </c>
      <c r="E311" s="4" t="str">
        <f>VLOOKUP(A311,[1]Assign!$A:$I,9,FALSE)</f>
        <v>10% MDGS Variable</v>
      </c>
      <c r="F311" s="4">
        <f>VLOOKUP(A311,'[1]Carcass '!$C$10:$D$105,2,FALSE)</f>
        <v>795</v>
      </c>
      <c r="G311" s="4">
        <f t="shared" si="52"/>
        <v>1261.9047619047619</v>
      </c>
      <c r="H311" s="31">
        <f t="shared" si="54"/>
        <v>3.2577184720041865</v>
      </c>
      <c r="I311" s="4">
        <f>VLOOKUP(D311,'[1]DMO head'!A:B,2,FALSE)</f>
        <v>24.652027832021865</v>
      </c>
      <c r="J311" s="19">
        <f>('Final Performance'!G311-'Final Performance'!B311)</f>
        <v>592.90476190476193</v>
      </c>
      <c r="K311" s="4">
        <f t="shared" si="53"/>
        <v>24.050952966011401</v>
      </c>
      <c r="L311" s="4" t="str">
        <f>VLOOKUP('Final Performance'!A311,'[1]Carcass '!$C$10:$J$105,8,FALSE)</f>
        <v>A</v>
      </c>
      <c r="M311" s="4">
        <f t="shared" si="47"/>
        <v>1</v>
      </c>
      <c r="N311" s="4">
        <f t="shared" si="48"/>
        <v>0</v>
      </c>
      <c r="O311" s="4">
        <f t="shared" si="49"/>
        <v>0</v>
      </c>
      <c r="P311" s="4">
        <f t="shared" si="50"/>
        <v>1</v>
      </c>
      <c r="Q311" s="4">
        <f t="shared" si="51"/>
        <v>0</v>
      </c>
      <c r="R311" s="4">
        <f>VLOOKUP(A311,'[1]Carcass '!$C$10:$E$105,3,FALSE)</f>
        <v>14.73</v>
      </c>
      <c r="S311" s="4">
        <f>VLOOKUP(A311,'[1]Carcass '!$C$10:$F$105,4,)</f>
        <v>3.16</v>
      </c>
      <c r="T311" s="4">
        <f>VLOOKUP(A311,'[1]Carcass '!$C$10:$G$397,5, FALSE)</f>
        <v>0.55200000000000005</v>
      </c>
      <c r="U311" s="29">
        <f>VLOOKUP(A311,'[1]Carcass '!$C$10:$I$105,7,)</f>
        <v>539</v>
      </c>
    </row>
    <row r="312" spans="1:21" x14ac:dyDescent="0.2">
      <c r="A312" s="110">
        <v>4401</v>
      </c>
      <c r="B312" s="111">
        <f>VLOOKUP(A312,[1]Assign!$A:$D,4,FALSE)</f>
        <v>676</v>
      </c>
      <c r="C312" s="4">
        <v>3</v>
      </c>
      <c r="D312" s="4">
        <v>405</v>
      </c>
      <c r="E312" s="4" t="str">
        <f>VLOOKUP(A312,[1]Assign!$A:$I,9,FALSE)</f>
        <v>10% MDGS Variable</v>
      </c>
      <c r="F312" s="4">
        <f>VLOOKUP(A312,'[1]Carcass '!$C$10:$D$105,2,FALSE)</f>
        <v>896</v>
      </c>
      <c r="G312" s="4">
        <f t="shared" si="52"/>
        <v>1422.2222222222222</v>
      </c>
      <c r="H312" s="31">
        <f t="shared" si="54"/>
        <v>4.1001221001220998</v>
      </c>
      <c r="I312" s="4">
        <f>VLOOKUP(D312,'[1]DMO head'!A:B,2,FALSE)</f>
        <v>23.841123317486328</v>
      </c>
      <c r="J312" s="19">
        <f>('Final Performance'!G312-'Final Performance'!B312)</f>
        <v>746.22222222222217</v>
      </c>
      <c r="K312" s="4">
        <f t="shared" si="53"/>
        <v>31.299792895031239</v>
      </c>
      <c r="L312" s="4" t="str">
        <f>VLOOKUP('Final Performance'!A312,'[1]Carcass '!$C$10:$J$105,8,FALSE)</f>
        <v>A+</v>
      </c>
      <c r="M312" s="4">
        <f t="shared" si="47"/>
        <v>0</v>
      </c>
      <c r="N312" s="4">
        <f t="shared" si="48"/>
        <v>0</v>
      </c>
      <c r="O312" s="4">
        <f t="shared" si="49"/>
        <v>1</v>
      </c>
      <c r="P312" s="4">
        <f t="shared" si="50"/>
        <v>1</v>
      </c>
      <c r="Q312" s="4">
        <f t="shared" si="51"/>
        <v>0</v>
      </c>
      <c r="R312" s="4">
        <f>VLOOKUP(A312,'[1]Carcass '!$C$10:$E$105,3,FALSE)</f>
        <v>13.93</v>
      </c>
      <c r="S312" s="4">
        <f>VLOOKUP(A312,'[1]Carcass '!$C$10:$F$105,4,)</f>
        <v>2.95</v>
      </c>
      <c r="T312" s="4">
        <f>VLOOKUP(A312,'[1]Carcass '!$C$10:$G$397,5, FALSE)</f>
        <v>0.42799999999999999</v>
      </c>
      <c r="U312" s="29">
        <f>VLOOKUP(A312,'[1]Carcass '!$C$10:$I$105,7,)</f>
        <v>493</v>
      </c>
    </row>
    <row r="313" spans="1:21" x14ac:dyDescent="0.2">
      <c r="A313" s="110">
        <v>4534</v>
      </c>
      <c r="B313" s="111">
        <f>VLOOKUP(A313,[1]Assign!$A:$D,4,FALSE)</f>
        <v>685</v>
      </c>
      <c r="C313" s="4">
        <v>3</v>
      </c>
      <c r="D313" s="4">
        <v>406</v>
      </c>
      <c r="E313" s="4" t="str">
        <f>VLOOKUP(A313,[1]Assign!$A:$I,9,FALSE)</f>
        <v xml:space="preserve">10% MDGS Constant </v>
      </c>
      <c r="F313" s="4">
        <f>VLOOKUP(A313,'[1]Carcass '!$C$10:$D$105,2,FALSE)</f>
        <v>859</v>
      </c>
      <c r="G313" s="4">
        <f t="shared" si="52"/>
        <v>1363.4920634920634</v>
      </c>
      <c r="H313" s="31">
        <f t="shared" si="54"/>
        <v>3.7279783708355132</v>
      </c>
      <c r="I313" s="4">
        <f>VLOOKUP(D313,'[1]DMO head'!A:B,2,FALSE)</f>
        <v>24.456725328579239</v>
      </c>
      <c r="J313" s="19">
        <f>('Final Performance'!G313-'Final Performance'!B313)</f>
        <v>678.49206349206338</v>
      </c>
      <c r="K313" s="4">
        <f t="shared" si="53"/>
        <v>27.742555651929504</v>
      </c>
      <c r="L313" s="4" t="str">
        <f>VLOOKUP('Final Performance'!A313,'[1]Carcass '!$C$10:$J$105,8,FALSE)</f>
        <v>A-</v>
      </c>
      <c r="M313" s="4">
        <f t="shared" si="47"/>
        <v>0</v>
      </c>
      <c r="N313" s="4">
        <f t="shared" si="48"/>
        <v>1</v>
      </c>
      <c r="O313" s="4">
        <f t="shared" si="49"/>
        <v>0</v>
      </c>
      <c r="P313" s="4">
        <f t="shared" si="50"/>
        <v>1</v>
      </c>
      <c r="Q313" s="4">
        <f t="shared" si="51"/>
        <v>0</v>
      </c>
      <c r="R313" s="4">
        <f>VLOOKUP(A313,'[1]Carcass '!$C$10:$E$105,3,FALSE)</f>
        <v>14.66</v>
      </c>
      <c r="S313" s="4">
        <f>VLOOKUP(A313,'[1]Carcass '!$C$10:$F$105,4,)</f>
        <v>3.18</v>
      </c>
      <c r="T313" s="4">
        <f>VLOOKUP(A313,'[1]Carcass '!$C$10:$G$397,5, FALSE)</f>
        <v>0.5</v>
      </c>
      <c r="U313" s="29">
        <f>VLOOKUP(A313,'[1]Carcass '!$C$10:$I$105,7,)</f>
        <v>488</v>
      </c>
    </row>
    <row r="314" spans="1:21" x14ac:dyDescent="0.2">
      <c r="A314" s="110">
        <v>4375</v>
      </c>
      <c r="B314" s="111">
        <f>VLOOKUP(A314,[1]Assign!$A:$D,4,FALSE)</f>
        <v>678</v>
      </c>
      <c r="C314" s="4">
        <v>3</v>
      </c>
      <c r="D314" s="4">
        <v>407</v>
      </c>
      <c r="E314" s="4" t="str">
        <f>VLOOKUP(A314,[1]Assign!$A:$I,9,FALSE)</f>
        <v>25% MDGS Variable</v>
      </c>
      <c r="F314" s="4">
        <f>VLOOKUP(A314,'[1]Carcass '!$C$10:$D$105,2,FALSE)</f>
        <v>933</v>
      </c>
      <c r="G314" s="4">
        <f t="shared" si="52"/>
        <v>1480.952380952381</v>
      </c>
      <c r="H314" s="31">
        <f t="shared" si="54"/>
        <v>4.4118262689691266</v>
      </c>
      <c r="I314" s="4">
        <f>VLOOKUP(D314,'[1]DMO head'!A:B,2,FALSE)</f>
        <v>22.840113033442623</v>
      </c>
      <c r="J314" s="19">
        <f>('Final Performance'!G314-'Final Performance'!B314)</f>
        <v>802.95238095238096</v>
      </c>
      <c r="K314" s="4">
        <f t="shared" si="53"/>
        <v>35.155359335424194</v>
      </c>
      <c r="L314" s="4">
        <f>VLOOKUP('Final Performance'!A314,'[1]Carcass '!$C$10:$J$105,8,FALSE)</f>
        <v>0</v>
      </c>
      <c r="M314" s="4">
        <f t="shared" si="47"/>
        <v>0</v>
      </c>
      <c r="N314" s="4">
        <f t="shared" si="48"/>
        <v>0</v>
      </c>
      <c r="O314" s="4">
        <f t="shared" si="49"/>
        <v>0</v>
      </c>
      <c r="P314" s="4">
        <f t="shared" si="50"/>
        <v>0</v>
      </c>
      <c r="Q314" s="4">
        <f t="shared" si="51"/>
        <v>0</v>
      </c>
      <c r="R314" s="4">
        <f>VLOOKUP(A314,'[1]Carcass '!$C$10:$E$105,3,FALSE)</f>
        <v>12.17</v>
      </c>
      <c r="S314" s="4">
        <f>VLOOKUP(A314,'[1]Carcass '!$C$10:$F$105,4,)</f>
        <v>3.9</v>
      </c>
      <c r="T314" s="4">
        <f>VLOOKUP(A314,'[1]Carcass '!$C$10:$G$397,5, FALSE)</f>
        <v>0.76400000000000001</v>
      </c>
      <c r="U314" s="29">
        <f>VLOOKUP(A314,'[1]Carcass '!$C$10:$I$105,7,)</f>
        <v>734</v>
      </c>
    </row>
    <row r="315" spans="1:21" x14ac:dyDescent="0.2">
      <c r="A315" s="110">
        <v>4655</v>
      </c>
      <c r="B315" s="111">
        <f>VLOOKUP(A315,[1]Assign!$A:$D,4,FALSE)</f>
        <v>685</v>
      </c>
      <c r="C315" s="4">
        <v>3</v>
      </c>
      <c r="D315" s="4">
        <v>408</v>
      </c>
      <c r="E315" s="4" t="str">
        <f>VLOOKUP(A315,[1]Assign!$A:$I,9,FALSE)</f>
        <v>Control</v>
      </c>
      <c r="F315" s="4">
        <f>VLOOKUP(A315,'[1]Carcass '!$C$10:$D$105,2,FALSE)</f>
        <v>793</v>
      </c>
      <c r="G315" s="4">
        <f t="shared" si="52"/>
        <v>1258.7301587301588</v>
      </c>
      <c r="H315" s="31">
        <f t="shared" si="54"/>
        <v>3.1523635095063671</v>
      </c>
      <c r="I315" s="4">
        <f>VLOOKUP(D315,'[1]DMO head'!A:B,2,FALSE)</f>
        <v>22.630294042240436</v>
      </c>
      <c r="J315" s="19">
        <f>('Final Performance'!G315-'Final Performance'!B315)</f>
        <v>573.73015873015879</v>
      </c>
      <c r="K315" s="4">
        <f t="shared" si="53"/>
        <v>25.352306852896664</v>
      </c>
      <c r="L315" s="4" t="str">
        <f>VLOOKUP('Final Performance'!A315,'[1]Carcass '!$C$10:$J$105,8,FALSE)</f>
        <v>A-</v>
      </c>
      <c r="M315" s="4">
        <f t="shared" si="47"/>
        <v>0</v>
      </c>
      <c r="N315" s="4">
        <f t="shared" si="48"/>
        <v>1</v>
      </c>
      <c r="O315" s="4">
        <f t="shared" si="49"/>
        <v>0</v>
      </c>
      <c r="P315" s="4">
        <f t="shared" si="50"/>
        <v>1</v>
      </c>
      <c r="Q315" s="4">
        <f t="shared" si="51"/>
        <v>0</v>
      </c>
      <c r="R315" s="4">
        <f>VLOOKUP(A315,'[1]Carcass '!$C$10:$E$105,3,FALSE)</f>
        <v>13.87</v>
      </c>
      <c r="S315" s="4">
        <f>VLOOKUP(A315,'[1]Carcass '!$C$10:$F$105,4,)</f>
        <v>3.2</v>
      </c>
      <c r="T315" s="4">
        <f>VLOOKUP(A315,'[1]Carcass '!$C$10:$G$397,5, FALSE)</f>
        <v>0.53600000000000003</v>
      </c>
      <c r="U315" s="29">
        <f>VLOOKUP(A315,'[1]Carcass '!$C$10:$I$105,7,)</f>
        <v>432</v>
      </c>
    </row>
    <row r="316" spans="1:21" x14ac:dyDescent="0.2">
      <c r="A316" s="110">
        <v>4759</v>
      </c>
      <c r="B316" s="111">
        <f>VLOOKUP(A316,[1]Assign!$A:$D,4,FALSE)</f>
        <v>675</v>
      </c>
      <c r="C316" s="4">
        <v>3</v>
      </c>
      <c r="D316" s="4">
        <v>409</v>
      </c>
      <c r="E316" s="4" t="str">
        <f>VLOOKUP(A316,[1]Assign!$A:$I,9,FALSE)</f>
        <v xml:space="preserve">25% MDGS Constant </v>
      </c>
      <c r="F316" s="4">
        <f>VLOOKUP(A316,'[1]Carcass '!$C$10:$D$105,2,FALSE)</f>
        <v>989</v>
      </c>
      <c r="G316" s="4">
        <f t="shared" si="52"/>
        <v>1569.8412698412699</v>
      </c>
      <c r="H316" s="31">
        <f t="shared" si="54"/>
        <v>4.9167102738531314</v>
      </c>
      <c r="I316" s="4">
        <f>VLOOKUP(D316,'[1]DMO head'!A:B,2,FALSE)</f>
        <v>25.087520326338783</v>
      </c>
      <c r="J316" s="19">
        <f>('Final Performance'!G316-'Final Performance'!B316)</f>
        <v>894.84126984126988</v>
      </c>
      <c r="K316" s="4">
        <f t="shared" si="53"/>
        <v>35.668781059314085</v>
      </c>
      <c r="L316" s="4">
        <f>VLOOKUP('Final Performance'!A316,'[1]Carcass '!$C$10:$J$105,8,FALSE)</f>
        <v>0</v>
      </c>
      <c r="M316" s="4">
        <f t="shared" si="47"/>
        <v>0</v>
      </c>
      <c r="N316" s="4">
        <f t="shared" si="48"/>
        <v>0</v>
      </c>
      <c r="O316" s="4">
        <f t="shared" si="49"/>
        <v>0</v>
      </c>
      <c r="P316" s="4">
        <f t="shared" si="50"/>
        <v>0</v>
      </c>
      <c r="Q316" s="4">
        <f t="shared" si="51"/>
        <v>0</v>
      </c>
      <c r="R316" s="4">
        <f>VLOOKUP(A316,'[1]Carcass '!$C$10:$E$105,3,FALSE)</f>
        <v>15.67</v>
      </c>
      <c r="S316" s="4">
        <f>VLOOKUP(A316,'[1]Carcass '!$C$10:$F$105,4,)</f>
        <v>4.0599999999999996</v>
      </c>
      <c r="T316" s="4">
        <f>VLOOKUP(A316,'[1]Carcass '!$C$10:$G$397,5, FALSE)</f>
        <v>0.89200000000000002</v>
      </c>
      <c r="U316" s="29">
        <f>VLOOKUP(A316,'[1]Carcass '!$C$10:$I$105,7,)</f>
        <v>676</v>
      </c>
    </row>
    <row r="317" spans="1:21" x14ac:dyDescent="0.2">
      <c r="A317" s="110">
        <v>4626</v>
      </c>
      <c r="B317" s="111">
        <f>VLOOKUP(A317,[1]Assign!$A:$D,4,FALSE)</f>
        <v>682</v>
      </c>
      <c r="C317" s="4">
        <v>3</v>
      </c>
      <c r="D317" s="4">
        <v>410</v>
      </c>
      <c r="E317" s="4" t="str">
        <f>VLOOKUP(A317,[1]Assign!$A:$I,9,FALSE)</f>
        <v>25% MDGS Variable</v>
      </c>
      <c r="F317" s="4">
        <f>VLOOKUP(A317,'[1]Carcass '!$C$10:$D$105,2,FALSE)</f>
        <v>837</v>
      </c>
      <c r="G317" s="4">
        <f t="shared" si="52"/>
        <v>1328.5714285714287</v>
      </c>
      <c r="H317" s="31">
        <f t="shared" si="54"/>
        <v>3.5525902668759817</v>
      </c>
      <c r="I317" s="4">
        <f>VLOOKUP(D317,'[1]DMO head'!A:B,2,FALSE)</f>
        <v>23.110230187377059</v>
      </c>
      <c r="J317" s="19">
        <f>('Final Performance'!G317-'Final Performance'!B317)</f>
        <v>646.57142857142867</v>
      </c>
      <c r="K317" s="4">
        <f t="shared" si="53"/>
        <v>27.977714775190329</v>
      </c>
      <c r="L317" s="4" t="str">
        <f>VLOOKUP('Final Performance'!A317,'[1]Carcass '!$C$10:$J$105,8,FALSE)</f>
        <v>A+</v>
      </c>
      <c r="M317" s="4">
        <f t="shared" si="47"/>
        <v>0</v>
      </c>
      <c r="N317" s="4">
        <f t="shared" si="48"/>
        <v>0</v>
      </c>
      <c r="O317" s="4">
        <f t="shared" si="49"/>
        <v>1</v>
      </c>
      <c r="P317" s="4">
        <f t="shared" si="50"/>
        <v>1</v>
      </c>
      <c r="Q317" s="4">
        <f t="shared" si="51"/>
        <v>0</v>
      </c>
      <c r="R317" s="4">
        <f>VLOOKUP(A317,'[1]Carcass '!$C$10:$E$105,3,FALSE)</f>
        <v>14.86</v>
      </c>
      <c r="S317" s="4">
        <f>VLOOKUP(A317,'[1]Carcass '!$C$10:$F$105,4,)</f>
        <v>3.21</v>
      </c>
      <c r="T317" s="4">
        <f>VLOOKUP(A317,'[1]Carcass '!$C$10:$G$397,5, FALSE)</f>
        <v>0.48399999999999999</v>
      </c>
      <c r="U317" s="29">
        <f>VLOOKUP(A317,'[1]Carcass '!$C$10:$I$105,7,)</f>
        <v>589</v>
      </c>
    </row>
    <row r="318" spans="1:21" x14ac:dyDescent="0.2">
      <c r="A318" s="110">
        <v>4671</v>
      </c>
      <c r="B318" s="111">
        <f>VLOOKUP(A318,[1]Assign!$A:$D,4,FALSE)</f>
        <v>675</v>
      </c>
      <c r="C318" s="4">
        <v>3</v>
      </c>
      <c r="D318" s="4">
        <v>411</v>
      </c>
      <c r="E318" s="4" t="str">
        <f>VLOOKUP(A318,[1]Assign!$A:$I,9,FALSE)</f>
        <v xml:space="preserve">10% MDGS Constant </v>
      </c>
      <c r="F318" s="4">
        <f>VLOOKUP(A318,'[1]Carcass '!$C$10:$D$105,2,FALSE)</f>
        <v>844</v>
      </c>
      <c r="G318" s="4">
        <f t="shared" si="52"/>
        <v>1339.6825396825398</v>
      </c>
      <c r="H318" s="31">
        <f t="shared" si="54"/>
        <v>3.6521018663875813</v>
      </c>
      <c r="I318" s="4">
        <f>VLOOKUP(D318,'[1]DMO head'!A:B,2,FALSE)</f>
        <v>23.277453122155439</v>
      </c>
      <c r="J318" s="19">
        <f>('Final Performance'!G318-'Final Performance'!B318)</f>
        <v>664.68253968253975</v>
      </c>
      <c r="K318" s="4">
        <f t="shared" si="53"/>
        <v>28.554779433747246</v>
      </c>
      <c r="L318" s="4" t="str">
        <f>VLOOKUP('Final Performance'!A318,'[1]Carcass '!$C$10:$J$105,8,FALSE)</f>
        <v>A-</v>
      </c>
      <c r="M318" s="4">
        <f t="shared" si="47"/>
        <v>0</v>
      </c>
      <c r="N318" s="4">
        <f t="shared" si="48"/>
        <v>1</v>
      </c>
      <c r="O318" s="4">
        <f t="shared" si="49"/>
        <v>0</v>
      </c>
      <c r="P318" s="4">
        <f t="shared" si="50"/>
        <v>1</v>
      </c>
      <c r="Q318" s="4">
        <f t="shared" si="51"/>
        <v>0</v>
      </c>
      <c r="R318" s="4">
        <f>VLOOKUP(A318,'[1]Carcass '!$C$10:$E$105,3,FALSE)</f>
        <v>13.59</v>
      </c>
      <c r="S318" s="4">
        <f>VLOOKUP(A318,'[1]Carcass '!$C$10:$F$105,4,)</f>
        <v>3.4</v>
      </c>
      <c r="T318" s="4">
        <f>VLOOKUP(A318,'[1]Carcass '!$C$10:$G$397,5, FALSE)</f>
        <v>0.61199999999999999</v>
      </c>
      <c r="U318" s="29">
        <f>VLOOKUP(A318,'[1]Carcass '!$C$10:$I$105,7,)</f>
        <v>574</v>
      </c>
    </row>
    <row r="319" spans="1:21" x14ac:dyDescent="0.2">
      <c r="A319" s="110">
        <v>4555</v>
      </c>
      <c r="B319" s="111">
        <f>VLOOKUP(A319,[1]Assign!$A:$D,4,FALSE)</f>
        <v>683</v>
      </c>
      <c r="C319" s="4">
        <v>3</v>
      </c>
      <c r="D319" s="4">
        <v>412</v>
      </c>
      <c r="E319" s="4" t="str">
        <f>VLOOKUP(A319,[1]Assign!$A:$I,9,FALSE)</f>
        <v>Control</v>
      </c>
      <c r="F319" s="4">
        <f>VLOOKUP(A319,'[1]Carcass '!$C$10:$D$105,2,FALSE)</f>
        <v>725</v>
      </c>
      <c r="G319" s="4">
        <f t="shared" si="52"/>
        <v>1150.7936507936508</v>
      </c>
      <c r="H319" s="31">
        <f t="shared" si="54"/>
        <v>2.5702947845804993</v>
      </c>
      <c r="I319" s="4">
        <f>VLOOKUP(D319,'[1]DMO head'!A:B,2,FALSE)</f>
        <v>23.149248339458101</v>
      </c>
      <c r="J319" s="19">
        <f>('Final Performance'!G319-'Final Performance'!B319)</f>
        <v>467.79365079365084</v>
      </c>
      <c r="K319" s="4">
        <f t="shared" si="53"/>
        <v>20.207725276172031</v>
      </c>
      <c r="L319" s="4">
        <f>VLOOKUP('Final Performance'!A319,'[1]Carcass '!$C$10:$J$105,8,FALSE)</f>
        <v>0</v>
      </c>
      <c r="M319" s="4">
        <f t="shared" si="47"/>
        <v>0</v>
      </c>
      <c r="N319" s="4">
        <f t="shared" si="48"/>
        <v>0</v>
      </c>
      <c r="O319" s="4">
        <f t="shared" si="49"/>
        <v>0</v>
      </c>
      <c r="P319" s="4">
        <f t="shared" si="50"/>
        <v>0</v>
      </c>
      <c r="Q319" s="4">
        <f t="shared" si="51"/>
        <v>0</v>
      </c>
      <c r="R319" s="4">
        <f>VLOOKUP(A319,'[1]Carcass '!$C$10:$E$105,3,FALSE)</f>
        <v>12.71</v>
      </c>
      <c r="S319" s="4">
        <f>VLOOKUP(A319,'[1]Carcass '!$C$10:$F$105,4,)</f>
        <v>2.93</v>
      </c>
      <c r="T319" s="4">
        <f>VLOOKUP(A319,'[1]Carcass '!$C$10:$G$397,5, FALSE)</f>
        <v>0.40400000000000003</v>
      </c>
      <c r="U319" s="29">
        <f>VLOOKUP(A319,'[1]Carcass '!$C$10:$I$105,7,)</f>
        <v>470</v>
      </c>
    </row>
    <row r="320" spans="1:21" x14ac:dyDescent="0.2">
      <c r="A320" s="110">
        <v>4620</v>
      </c>
      <c r="B320" s="111">
        <f>VLOOKUP(A320,[1]Assign!$A:$D,4,FALSE)</f>
        <v>674</v>
      </c>
      <c r="C320" s="4">
        <v>3</v>
      </c>
      <c r="D320" s="4">
        <v>413</v>
      </c>
      <c r="E320" s="4" t="str">
        <f>VLOOKUP(A320,[1]Assign!$A:$I,9,FALSE)</f>
        <v xml:space="preserve">25% MDGS Constant </v>
      </c>
      <c r="F320" s="4">
        <f>VLOOKUP(A320,'[1]Carcass '!$C$10:$D$105,2,FALSE)</f>
        <v>761</v>
      </c>
      <c r="G320" s="4">
        <f t="shared" si="52"/>
        <v>1207.936507936508</v>
      </c>
      <c r="H320" s="31">
        <f t="shared" si="54"/>
        <v>2.9337170765742195</v>
      </c>
      <c r="I320" s="4">
        <f>VLOOKUP(D320,'[1]DMO head'!A:B,2,FALSE)</f>
        <v>24.396522174486932</v>
      </c>
      <c r="J320" s="19">
        <f>('Final Performance'!G320-'Final Performance'!B320)</f>
        <v>533.93650793650795</v>
      </c>
      <c r="K320" s="4">
        <f t="shared" si="53"/>
        <v>21.885763229600034</v>
      </c>
      <c r="L320" s="4" t="str">
        <f>VLOOKUP('Final Performance'!A320,'[1]Carcass '!$C$10:$J$105,8,FALSE)</f>
        <v>A-</v>
      </c>
      <c r="M320" s="4">
        <f t="shared" si="47"/>
        <v>0</v>
      </c>
      <c r="N320" s="4">
        <f t="shared" si="48"/>
        <v>1</v>
      </c>
      <c r="O320" s="4">
        <f t="shared" si="49"/>
        <v>0</v>
      </c>
      <c r="P320" s="4">
        <f t="shared" si="50"/>
        <v>1</v>
      </c>
      <c r="Q320" s="4">
        <f t="shared" si="51"/>
        <v>0</v>
      </c>
      <c r="R320" s="4">
        <f>VLOOKUP(A320,'[1]Carcass '!$C$10:$E$105,3,FALSE)</f>
        <v>13.43</v>
      </c>
      <c r="S320" s="4">
        <f>VLOOKUP(A320,'[1]Carcass '!$C$10:$F$105,4,)</f>
        <v>3.5</v>
      </c>
      <c r="T320" s="4">
        <f>VLOOKUP(A320,'[1]Carcass '!$C$10:$G$397,5, FALSE)</f>
        <v>0.66</v>
      </c>
      <c r="U320" s="29">
        <f>VLOOKUP(A320,'[1]Carcass '!$C$10:$I$105,7,)</f>
        <v>567</v>
      </c>
    </row>
    <row r="321" spans="1:21" x14ac:dyDescent="0.2">
      <c r="A321" s="110">
        <v>4536</v>
      </c>
      <c r="B321" s="111">
        <f>VLOOKUP(A321,[1]Assign!$A:$D,4,FALSE)</f>
        <v>672</v>
      </c>
      <c r="C321" s="4">
        <v>3</v>
      </c>
      <c r="D321" s="4">
        <v>414</v>
      </c>
      <c r="E321" s="4" t="str">
        <f>VLOOKUP(A321,[1]Assign!$A:$I,9,FALSE)</f>
        <v>10% MDGS Variable</v>
      </c>
      <c r="F321" s="4">
        <f>VLOOKUP(A321,'[1]Carcass '!$C$10:$D$105,2,FALSE)</f>
        <v>797</v>
      </c>
      <c r="G321" s="4">
        <f t="shared" si="52"/>
        <v>1265.0793650793651</v>
      </c>
      <c r="H321" s="31">
        <f t="shared" si="54"/>
        <v>3.2586778301064014</v>
      </c>
      <c r="I321" s="4">
        <f>VLOOKUP(D321,'[1]DMO head'!A:B,2,FALSE)</f>
        <v>24.652027832021865</v>
      </c>
      <c r="J321" s="19">
        <f>('Final Performance'!G321-'Final Performance'!B321)</f>
        <v>593.07936507936506</v>
      </c>
      <c r="K321" s="4">
        <f t="shared" si="53"/>
        <v>24.058035676439644</v>
      </c>
      <c r="L321" s="4" t="str">
        <f>VLOOKUP('Final Performance'!A321,'[1]Carcass '!$C$10:$J$105,8,FALSE)</f>
        <v>A-</v>
      </c>
      <c r="M321" s="4">
        <f t="shared" si="47"/>
        <v>0</v>
      </c>
      <c r="N321" s="4">
        <f t="shared" si="48"/>
        <v>1</v>
      </c>
      <c r="O321" s="4">
        <f t="shared" si="49"/>
        <v>0</v>
      </c>
      <c r="P321" s="4">
        <f t="shared" si="50"/>
        <v>1</v>
      </c>
      <c r="Q321" s="4">
        <f t="shared" si="51"/>
        <v>0</v>
      </c>
      <c r="R321" s="4">
        <f>VLOOKUP(A321,'[1]Carcass '!$C$10:$E$105,3,FALSE)</f>
        <v>12.65</v>
      </c>
      <c r="S321" s="4">
        <f>VLOOKUP(A321,'[1]Carcass '!$C$10:$F$105,4,)</f>
        <v>4.0199999999999996</v>
      </c>
      <c r="T321" s="4">
        <f>VLOOKUP(A321,'[1]Carcass '!$C$10:$G$397,5, FALSE)</f>
        <v>0.81599999999999995</v>
      </c>
      <c r="U321" s="29"/>
    </row>
    <row r="322" spans="1:21" x14ac:dyDescent="0.2">
      <c r="A322" s="110">
        <v>4686</v>
      </c>
      <c r="B322" s="111">
        <f>VLOOKUP(A322,[1]Assign!$A:$D,4,FALSE)</f>
        <v>682</v>
      </c>
      <c r="C322" s="4">
        <v>3</v>
      </c>
      <c r="D322" s="4">
        <v>405</v>
      </c>
      <c r="E322" s="4" t="str">
        <f>VLOOKUP(A322,[1]Assign!$A:$I,9,FALSE)</f>
        <v>10% MDGS Variable</v>
      </c>
      <c r="F322" s="4">
        <f>VLOOKUP(A322,'[1]Carcass '!$C$10:$D$105,2,FALSE)</f>
        <v>910</v>
      </c>
      <c r="G322" s="4">
        <f t="shared" si="52"/>
        <v>1444.4444444444443</v>
      </c>
      <c r="H322" s="31">
        <f t="shared" si="54"/>
        <v>4.1892551892551886</v>
      </c>
      <c r="I322" s="4">
        <f>VLOOKUP(D322,'[1]DMO head'!A:B,2,FALSE)</f>
        <v>23.841123317486328</v>
      </c>
      <c r="J322" s="19">
        <f>('Final Performance'!G322-'Final Performance'!B322)</f>
        <v>762.44444444444434</v>
      </c>
      <c r="K322" s="4">
        <f t="shared" si="53"/>
        <v>31.980223175358002</v>
      </c>
      <c r="L322" s="4" t="str">
        <f>VLOOKUP('Final Performance'!A322,'[1]Carcass '!$C$10:$J$105,8,FALSE)</f>
        <v>A-</v>
      </c>
      <c r="M322" s="4">
        <f t="shared" si="47"/>
        <v>0</v>
      </c>
      <c r="N322" s="4">
        <f t="shared" si="48"/>
        <v>1</v>
      </c>
      <c r="O322" s="4">
        <f t="shared" si="49"/>
        <v>0</v>
      </c>
      <c r="P322" s="4">
        <f t="shared" si="50"/>
        <v>1</v>
      </c>
      <c r="Q322" s="4">
        <f t="shared" si="51"/>
        <v>0</v>
      </c>
      <c r="R322" s="4">
        <f>VLOOKUP(A322,'[1]Carcass '!$C$10:$E$105,3,FALSE)</f>
        <v>13.52</v>
      </c>
      <c r="S322" s="4">
        <f>VLOOKUP(A322,'[1]Carcass '!$C$10:$F$105,4,)</f>
        <v>3.56</v>
      </c>
      <c r="T322" s="4">
        <f>VLOOKUP(A322,'[1]Carcass '!$C$10:$G$397,5, FALSE)</f>
        <v>0.70799999999999996</v>
      </c>
      <c r="U322" s="29">
        <f>VLOOKUP(A322,'[1]Carcass '!$C$10:$I$105,7,)</f>
        <v>461</v>
      </c>
    </row>
    <row r="323" spans="1:21" x14ac:dyDescent="0.2">
      <c r="A323" s="110">
        <v>4729</v>
      </c>
      <c r="B323" s="111">
        <f>VLOOKUP(A323,[1]Assign!$A:$D,4,FALSE)</f>
        <v>674</v>
      </c>
      <c r="C323" s="4">
        <v>3</v>
      </c>
      <c r="D323" s="4">
        <v>406</v>
      </c>
      <c r="E323" s="4" t="str">
        <f>VLOOKUP(A323,[1]Assign!$A:$I,9,FALSE)</f>
        <v xml:space="preserve">10% MDGS Constant </v>
      </c>
      <c r="F323" s="4">
        <f>VLOOKUP(A323,'[1]Carcass '!$C$10:$D$105,2,FALSE)</f>
        <v>839</v>
      </c>
      <c r="G323" s="4">
        <f t="shared" si="52"/>
        <v>1331.7460317460318</v>
      </c>
      <c r="H323" s="31">
        <f t="shared" si="54"/>
        <v>3.6139891854177573</v>
      </c>
      <c r="I323" s="4">
        <f>VLOOKUP(D323,'[1]DMO head'!A:B,2,FALSE)</f>
        <v>24.456725328579239</v>
      </c>
      <c r="J323" s="19">
        <f>('Final Performance'!G323-'Final Performance'!B323)</f>
        <v>657.7460317460318</v>
      </c>
      <c r="K323" s="4">
        <f t="shared" si="53"/>
        <v>26.894280526486256</v>
      </c>
      <c r="L323" s="4" t="str">
        <f>VLOOKUP('Final Performance'!A323,'[1]Carcass '!$C$10:$J$105,8,FALSE)</f>
        <v>A+</v>
      </c>
      <c r="M323" s="4">
        <f t="shared" ref="M323:M386" si="55">COUNTIF(L323,"A")</f>
        <v>0</v>
      </c>
      <c r="N323" s="4">
        <f t="shared" ref="N323:N386" si="56">COUNTIF(L323,"A-")</f>
        <v>0</v>
      </c>
      <c r="O323" s="4">
        <f t="shared" ref="O323:O386" si="57">COUNTIF(L323,"A+")</f>
        <v>1</v>
      </c>
      <c r="P323" s="4">
        <f t="shared" ref="P323:P386" si="58">SUM(M323:O323)</f>
        <v>1</v>
      </c>
      <c r="Q323" s="4">
        <f t="shared" ref="Q323:Q386" si="59">COUNTIF(L323,"C")</f>
        <v>0</v>
      </c>
      <c r="R323" s="4">
        <f>VLOOKUP(A323,'[1]Carcass '!$C$10:$E$105,3,FALSE)</f>
        <v>15.32</v>
      </c>
      <c r="S323" s="4">
        <f>VLOOKUP(A323,'[1]Carcass '!$C$10:$F$105,4,)</f>
        <v>3.5</v>
      </c>
      <c r="T323" s="4">
        <f>VLOOKUP(A323,'[1]Carcass '!$C$10:$G$397,5, FALSE)</f>
        <v>0.63200000000000001</v>
      </c>
      <c r="U323" s="29"/>
    </row>
    <row r="324" spans="1:21" x14ac:dyDescent="0.2">
      <c r="A324" s="110">
        <v>4324</v>
      </c>
      <c r="B324" s="111">
        <f>VLOOKUP(A324,[1]Assign!$A:$D,4,FALSE)</f>
        <v>685</v>
      </c>
      <c r="C324" s="4">
        <v>3</v>
      </c>
      <c r="D324" s="4">
        <v>407</v>
      </c>
      <c r="E324" s="4" t="str">
        <f>VLOOKUP(A324,[1]Assign!$A:$I,9,FALSE)</f>
        <v>25% MDGS Variable</v>
      </c>
      <c r="F324" s="4">
        <f>VLOOKUP(A324,'[1]Carcass '!$C$10:$D$105,2,FALSE)</f>
        <v>806</v>
      </c>
      <c r="G324" s="4">
        <f t="shared" si="52"/>
        <v>1279.3650793650793</v>
      </c>
      <c r="H324" s="31">
        <f t="shared" si="54"/>
        <v>3.2657421943136224</v>
      </c>
      <c r="I324" s="4">
        <f>VLOOKUP(D324,'[1]DMO head'!A:B,2,FALSE)</f>
        <v>22.840113033442623</v>
      </c>
      <c r="J324" s="19">
        <f>('Final Performance'!G324-'Final Performance'!B324)</f>
        <v>594.36507936507928</v>
      </c>
      <c r="K324" s="4">
        <f t="shared" si="53"/>
        <v>26.022860679139658</v>
      </c>
      <c r="L324" s="4" t="str">
        <f>VLOOKUP('Final Performance'!A324,'[1]Carcass '!$C$10:$J$105,8,FALSE)</f>
        <v>A+</v>
      </c>
      <c r="M324" s="4">
        <f t="shared" si="55"/>
        <v>0</v>
      </c>
      <c r="N324" s="4">
        <f t="shared" si="56"/>
        <v>0</v>
      </c>
      <c r="O324" s="4">
        <f t="shared" si="57"/>
        <v>1</v>
      </c>
      <c r="P324" s="4">
        <f t="shared" si="58"/>
        <v>1</v>
      </c>
      <c r="Q324" s="4">
        <f t="shared" si="59"/>
        <v>0</v>
      </c>
      <c r="R324" s="4">
        <f>VLOOKUP(A324,'[1]Carcass '!$C$10:$E$105,3,FALSE)</f>
        <v>15.18</v>
      </c>
      <c r="S324" s="4">
        <f>VLOOKUP(A324,'[1]Carcass '!$C$10:$F$105,4,)</f>
        <v>2.94</v>
      </c>
      <c r="T324" s="4">
        <f>VLOOKUP(A324,'[1]Carcass '!$C$10:$G$397,5, FALSE)</f>
        <v>0.40400000000000003</v>
      </c>
      <c r="U324" s="29">
        <f>VLOOKUP(A324,'[1]Carcass '!$C$10:$I$105,7,)</f>
        <v>518</v>
      </c>
    </row>
    <row r="325" spans="1:21" x14ac:dyDescent="0.2">
      <c r="A325" s="110">
        <v>4746</v>
      </c>
      <c r="B325" s="111">
        <f>VLOOKUP(A325,[1]Assign!$A:$D,4,FALSE)</f>
        <v>683</v>
      </c>
      <c r="C325" s="4">
        <v>3</v>
      </c>
      <c r="D325" s="4">
        <v>408</v>
      </c>
      <c r="E325" s="4" t="str">
        <f>VLOOKUP(A325,[1]Assign!$A:$I,9,FALSE)</f>
        <v>Control</v>
      </c>
      <c r="F325" s="4">
        <f>VLOOKUP(A325,'[1]Carcass '!$C$10:$D$105,2,FALSE)</f>
        <v>811</v>
      </c>
      <c r="G325" s="4">
        <f t="shared" si="52"/>
        <v>1287.3015873015872</v>
      </c>
      <c r="H325" s="31">
        <f t="shared" si="54"/>
        <v>3.3203383917669629</v>
      </c>
      <c r="I325" s="4">
        <f>VLOOKUP(D325,'[1]DMO head'!A:B,2,FALSE)</f>
        <v>22.630294042240436</v>
      </c>
      <c r="J325" s="19">
        <f>('Final Performance'!G325-'Final Performance'!B325)</f>
        <v>604.30158730158723</v>
      </c>
      <c r="K325" s="4">
        <f t="shared" si="53"/>
        <v>26.703214115275383</v>
      </c>
      <c r="L325" s="4" t="str">
        <f>VLOOKUP('Final Performance'!A325,'[1]Carcass '!$C$10:$J$105,8,FALSE)</f>
        <v>A+</v>
      </c>
      <c r="M325" s="4">
        <f t="shared" si="55"/>
        <v>0</v>
      </c>
      <c r="N325" s="4">
        <f t="shared" si="56"/>
        <v>0</v>
      </c>
      <c r="O325" s="4">
        <f t="shared" si="57"/>
        <v>1</v>
      </c>
      <c r="P325" s="4">
        <f t="shared" si="58"/>
        <v>1</v>
      </c>
      <c r="Q325" s="4">
        <f t="shared" si="59"/>
        <v>0</v>
      </c>
      <c r="R325" s="4">
        <f>VLOOKUP(A325,'[1]Carcass '!$C$10:$E$105,3,FALSE)</f>
        <v>13.77</v>
      </c>
      <c r="S325" s="4">
        <f>VLOOKUP(A325,'[1]Carcass '!$C$10:$F$105,4,)</f>
        <v>3.22</v>
      </c>
      <c r="T325" s="4">
        <f>VLOOKUP(A325,'[1]Carcass '!$C$10:$G$397,5, FALSE)</f>
        <v>0.78400000000000003</v>
      </c>
      <c r="U325" s="29"/>
    </row>
    <row r="326" spans="1:21" x14ac:dyDescent="0.2">
      <c r="A326" s="110">
        <v>4588</v>
      </c>
      <c r="B326" s="111">
        <f>VLOOKUP(A326,[1]Assign!$A:$D,4,FALSE)</f>
        <v>685</v>
      </c>
      <c r="C326" s="4">
        <v>3</v>
      </c>
      <c r="D326" s="4">
        <v>409</v>
      </c>
      <c r="E326" s="4" t="str">
        <f>VLOOKUP(A326,[1]Assign!$A:$I,9,FALSE)</f>
        <v xml:space="preserve">25% MDGS Constant </v>
      </c>
      <c r="F326" s="4">
        <f>VLOOKUP(A326,'[1]Carcass '!$C$10:$D$105,2,FALSE)</f>
        <v>883</v>
      </c>
      <c r="G326" s="4">
        <f t="shared" si="52"/>
        <v>1401.5873015873017</v>
      </c>
      <c r="H326" s="31">
        <f t="shared" si="54"/>
        <v>3.9372928658642952</v>
      </c>
      <c r="I326" s="4">
        <f>VLOOKUP(D326,'[1]DMO head'!A:B,2,FALSE)</f>
        <v>25.087520326338783</v>
      </c>
      <c r="J326" s="19">
        <f>('Final Performance'!G326-'Final Performance'!B326)</f>
        <v>716.58730158730168</v>
      </c>
      <c r="K326" s="4">
        <f t="shared" si="53"/>
        <v>28.56349660173365</v>
      </c>
      <c r="L326" s="4">
        <f>VLOOKUP('Final Performance'!A326,'[1]Carcass '!$C$10:$J$105,8,FALSE)</f>
        <v>0</v>
      </c>
      <c r="M326" s="4">
        <f t="shared" si="55"/>
        <v>0</v>
      </c>
      <c r="N326" s="4">
        <f t="shared" si="56"/>
        <v>0</v>
      </c>
      <c r="O326" s="4">
        <f t="shared" si="57"/>
        <v>0</v>
      </c>
      <c r="P326" s="4">
        <f t="shared" si="58"/>
        <v>0</v>
      </c>
      <c r="Q326" s="4">
        <f t="shared" si="59"/>
        <v>0</v>
      </c>
      <c r="R326" s="4">
        <f>VLOOKUP(A326,'[1]Carcass '!$C$10:$E$105,3,FALSE)</f>
        <v>17.45</v>
      </c>
      <c r="S326" s="4">
        <f>VLOOKUP(A326,'[1]Carcass '!$C$10:$F$105,4,)</f>
        <v>3.42</v>
      </c>
      <c r="T326" s="4">
        <f>VLOOKUP(A326,'[1]Carcass '!$C$10:$G$397,5, FALSE)</f>
        <v>0.60799999999999998</v>
      </c>
      <c r="U326" s="29">
        <f>VLOOKUP(A326,'[1]Carcass '!$C$10:$I$105,7,)</f>
        <v>558</v>
      </c>
    </row>
    <row r="327" spans="1:21" x14ac:dyDescent="0.2">
      <c r="A327" s="110">
        <v>4728</v>
      </c>
      <c r="B327" s="111">
        <f>VLOOKUP(A327,[1]Assign!$A:$D,4,FALSE)</f>
        <v>683</v>
      </c>
      <c r="C327" s="4">
        <v>3</v>
      </c>
      <c r="D327" s="4">
        <v>410</v>
      </c>
      <c r="E327" s="4" t="str">
        <f>VLOOKUP(A327,[1]Assign!$A:$I,9,FALSE)</f>
        <v>25% MDGS Variable</v>
      </c>
      <c r="F327" s="4">
        <f>VLOOKUP(A327,'[1]Carcass '!$C$10:$D$105,2,FALSE)</f>
        <v>842</v>
      </c>
      <c r="G327" s="4">
        <f t="shared" si="52"/>
        <v>1336.5079365079364</v>
      </c>
      <c r="H327" s="31">
        <f t="shared" si="54"/>
        <v>3.5907029478458043</v>
      </c>
      <c r="I327" s="4">
        <f>VLOOKUP(D327,'[1]DMO head'!A:B,2,FALSE)</f>
        <v>23.110230187377059</v>
      </c>
      <c r="J327" s="19">
        <f>('Final Performance'!G327-'Final Performance'!B327)</f>
        <v>653.50793650793639</v>
      </c>
      <c r="K327" s="4">
        <f t="shared" si="53"/>
        <v>28.277863578567306</v>
      </c>
      <c r="L327" s="4">
        <f>VLOOKUP('Final Performance'!A327,'[1]Carcass '!$C$10:$J$105,8,FALSE)</f>
        <v>0</v>
      </c>
      <c r="M327" s="4">
        <f t="shared" si="55"/>
        <v>0</v>
      </c>
      <c r="N327" s="4">
        <f t="shared" si="56"/>
        <v>0</v>
      </c>
      <c r="O327" s="4">
        <f t="shared" si="57"/>
        <v>0</v>
      </c>
      <c r="P327" s="4">
        <f t="shared" si="58"/>
        <v>0</v>
      </c>
      <c r="Q327" s="4">
        <f t="shared" si="59"/>
        <v>0</v>
      </c>
      <c r="R327" s="4">
        <f>VLOOKUP(A327,'[1]Carcass '!$C$10:$E$105,3,FALSE)</f>
        <v>10.85</v>
      </c>
      <c r="S327" s="4">
        <f>VLOOKUP(A327,'[1]Carcass '!$C$10:$F$105,4,)</f>
        <v>4.07</v>
      </c>
      <c r="T327" s="4">
        <f>VLOOKUP(A327,'[1]Carcass '!$C$10:$G$397,5, FALSE)</f>
        <v>0.83199999999999996</v>
      </c>
      <c r="U327" s="29">
        <f>VLOOKUP(A327,'[1]Carcass '!$C$10:$I$105,7,)</f>
        <v>539</v>
      </c>
    </row>
    <row r="328" spans="1:21" x14ac:dyDescent="0.2">
      <c r="A328" s="110">
        <v>4495</v>
      </c>
      <c r="B328" s="111">
        <f>VLOOKUP(A328,[1]Assign!$A:$D,4,FALSE)</f>
        <v>680</v>
      </c>
      <c r="C328" s="4">
        <v>3</v>
      </c>
      <c r="D328" s="4">
        <v>411</v>
      </c>
      <c r="E328" s="4" t="str">
        <f>VLOOKUP(A328,[1]Assign!$A:$I,9,FALSE)</f>
        <v xml:space="preserve">10% MDGS Constant </v>
      </c>
      <c r="F328" s="4">
        <f>VLOOKUP(A328,'[1]Carcass '!$C$10:$D$105,2,FALSE)</f>
        <v>754</v>
      </c>
      <c r="G328" s="4">
        <f t="shared" si="52"/>
        <v>1196.8253968253969</v>
      </c>
      <c r="H328" s="31">
        <f t="shared" si="54"/>
        <v>2.8396999825571254</v>
      </c>
      <c r="I328" s="4">
        <f>VLOOKUP(D328,'[1]DMO head'!A:B,2,FALSE)</f>
        <v>23.277453122155439</v>
      </c>
      <c r="J328" s="19">
        <f>('Final Performance'!G328-'Final Performance'!B328)</f>
        <v>516.82539682539687</v>
      </c>
      <c r="K328" s="4">
        <f t="shared" si="53"/>
        <v>22.202832677320842</v>
      </c>
      <c r="L328" s="4" t="str">
        <f>VLOOKUP('Final Performance'!A328,'[1]Carcass '!$C$10:$J$105,8,FALSE)</f>
        <v>A-</v>
      </c>
      <c r="M328" s="4">
        <f t="shared" si="55"/>
        <v>0</v>
      </c>
      <c r="N328" s="4">
        <f t="shared" si="56"/>
        <v>1</v>
      </c>
      <c r="O328" s="4">
        <f t="shared" si="57"/>
        <v>0</v>
      </c>
      <c r="P328" s="4">
        <f t="shared" si="58"/>
        <v>1</v>
      </c>
      <c r="Q328" s="4">
        <f t="shared" si="59"/>
        <v>0</v>
      </c>
      <c r="R328" s="4">
        <f>VLOOKUP(A328,'[1]Carcass '!$C$10:$E$105,3,FALSE)</f>
        <v>15.34</v>
      </c>
      <c r="S328" s="4">
        <f>VLOOKUP(A328,'[1]Carcass '!$C$10:$F$105,4,)</f>
        <v>2.61</v>
      </c>
      <c r="T328" s="4">
        <f>VLOOKUP(A328,'[1]Carcass '!$C$10:$G$397,5, FALSE)</f>
        <v>0.30399999999999999</v>
      </c>
      <c r="U328" s="29">
        <f>VLOOKUP(A328,'[1]Carcass '!$C$10:$I$105,7,)</f>
        <v>364</v>
      </c>
    </row>
    <row r="329" spans="1:21" x14ac:dyDescent="0.2">
      <c r="A329" s="110">
        <v>4725</v>
      </c>
      <c r="B329" s="111">
        <f>VLOOKUP(A329,[1]Assign!$A:$D,4,FALSE)</f>
        <v>678</v>
      </c>
      <c r="C329" s="4">
        <v>3</v>
      </c>
      <c r="D329" s="4">
        <v>412</v>
      </c>
      <c r="E329" s="4" t="str">
        <f>VLOOKUP(A329,[1]Assign!$A:$I,9,FALSE)</f>
        <v>Control</v>
      </c>
      <c r="F329" s="4">
        <f>VLOOKUP(A329,'[1]Carcass '!$C$10:$D$105,2,FALSE)</f>
        <v>791</v>
      </c>
      <c r="G329" s="4">
        <f t="shared" si="52"/>
        <v>1255.5555555555557</v>
      </c>
      <c r="H329" s="31">
        <f t="shared" si="54"/>
        <v>3.1733821733821741</v>
      </c>
      <c r="I329" s="4">
        <f>VLOOKUP(D329,'[1]DMO head'!A:B,2,FALSE)</f>
        <v>23.149248339458101</v>
      </c>
      <c r="J329" s="19">
        <f>('Final Performance'!G329-'Final Performance'!B329)</f>
        <v>577.55555555555566</v>
      </c>
      <c r="K329" s="4">
        <f t="shared" si="53"/>
        <v>24.949214207145857</v>
      </c>
      <c r="L329" s="4" t="str">
        <f>VLOOKUP('Final Performance'!A329,'[1]Carcass '!$C$10:$J$105,8,FALSE)</f>
        <v>A+</v>
      </c>
      <c r="M329" s="4">
        <f t="shared" si="55"/>
        <v>0</v>
      </c>
      <c r="N329" s="4">
        <f t="shared" si="56"/>
        <v>0</v>
      </c>
      <c r="O329" s="4">
        <f t="shared" si="57"/>
        <v>1</v>
      </c>
      <c r="P329" s="4">
        <f t="shared" si="58"/>
        <v>1</v>
      </c>
      <c r="Q329" s="4">
        <f t="shared" si="59"/>
        <v>0</v>
      </c>
      <c r="R329" s="4">
        <f>VLOOKUP(A329,'[1]Carcass '!$C$10:$E$105,3,FALSE)</f>
        <v>12.2</v>
      </c>
      <c r="S329" s="4">
        <f>VLOOKUP(A329,'[1]Carcass '!$C$10:$F$105,4,)</f>
        <v>3.21</v>
      </c>
      <c r="T329" s="4">
        <f>VLOOKUP(A329,'[1]Carcass '!$C$10:$G$397,5, FALSE)</f>
        <v>0.48399999999999999</v>
      </c>
      <c r="U329" s="29">
        <f>VLOOKUP(A329,'[1]Carcass '!$C$10:$I$105,7,)</f>
        <v>500</v>
      </c>
    </row>
    <row r="330" spans="1:21" x14ac:dyDescent="0.2">
      <c r="A330" s="110">
        <v>4529</v>
      </c>
      <c r="B330" s="111">
        <f>VLOOKUP(A330,[1]Assign!$A:$D,4,FALSE)</f>
        <v>692</v>
      </c>
      <c r="C330" s="4">
        <v>3</v>
      </c>
      <c r="D330" s="4">
        <v>413</v>
      </c>
      <c r="E330" s="4" t="str">
        <f>VLOOKUP(A330,[1]Assign!$A:$I,9,FALSE)</f>
        <v xml:space="preserve">25% MDGS Constant </v>
      </c>
      <c r="F330" s="4">
        <f>VLOOKUP(A330,'[1]Carcass '!$C$10:$D$105,2,FALSE)</f>
        <v>902</v>
      </c>
      <c r="G330" s="4">
        <f t="shared" si="52"/>
        <v>1431.7460317460318</v>
      </c>
      <c r="H330" s="31">
        <f t="shared" si="54"/>
        <v>4.0645386359672075</v>
      </c>
      <c r="I330" s="4">
        <f>VLOOKUP(D330,'[1]DMO head'!A:B,2,FALSE)</f>
        <v>24.396522174486932</v>
      </c>
      <c r="J330" s="19">
        <f>('Final Performance'!G330-'Final Performance'!B330)</f>
        <v>739.7460317460318</v>
      </c>
      <c r="K330" s="4">
        <f t="shared" si="53"/>
        <v>30.321782197285213</v>
      </c>
      <c r="L330" s="4">
        <f>VLOOKUP('Final Performance'!A330,'[1]Carcass '!$C$10:$J$105,8,FALSE)</f>
        <v>0</v>
      </c>
      <c r="M330" s="4">
        <f t="shared" si="55"/>
        <v>0</v>
      </c>
      <c r="N330" s="4">
        <f t="shared" si="56"/>
        <v>0</v>
      </c>
      <c r="O330" s="4">
        <f t="shared" si="57"/>
        <v>0</v>
      </c>
      <c r="P330" s="4">
        <f t="shared" si="58"/>
        <v>0</v>
      </c>
      <c r="Q330" s="4">
        <f t="shared" si="59"/>
        <v>0</v>
      </c>
      <c r="R330" s="4">
        <f>VLOOKUP(A330,'[1]Carcass '!$C$10:$E$105,3,FALSE)</f>
        <v>15.84</v>
      </c>
      <c r="S330" s="4">
        <f>VLOOKUP(A330,'[1]Carcass '!$C$10:$F$105,4,)</f>
        <v>3.25</v>
      </c>
      <c r="T330" s="4">
        <f>VLOOKUP(A330,'[1]Carcass '!$C$10:$G$397,5, FALSE)</f>
        <v>0.6</v>
      </c>
      <c r="U330" s="29">
        <f>VLOOKUP(A330,'[1]Carcass '!$C$10:$I$105,7,)</f>
        <v>501</v>
      </c>
    </row>
    <row r="331" spans="1:21" x14ac:dyDescent="0.2">
      <c r="A331" s="110">
        <v>4582</v>
      </c>
      <c r="B331" s="111">
        <f>VLOOKUP(A331,[1]Assign!$A:$D,4,FALSE)</f>
        <v>675</v>
      </c>
      <c r="C331" s="4">
        <v>3</v>
      </c>
      <c r="D331" s="4">
        <v>414</v>
      </c>
      <c r="E331" s="4" t="str">
        <f>VLOOKUP(A331,[1]Assign!$A:$I,9,FALSE)</f>
        <v>10% MDGS Variable</v>
      </c>
      <c r="F331" s="4">
        <f>VLOOKUP(A331,'[1]Carcass '!$C$10:$D$105,2,FALSE)</f>
        <v>888</v>
      </c>
      <c r="G331" s="4">
        <f t="shared" si="52"/>
        <v>1409.5238095238094</v>
      </c>
      <c r="H331" s="31">
        <f t="shared" si="54"/>
        <v>4.0358451072736781</v>
      </c>
      <c r="I331" s="4">
        <f>VLOOKUP(D331,'[1]DMO head'!A:B,2,FALSE)</f>
        <v>24.652027832021865</v>
      </c>
      <c r="J331" s="19">
        <f>('Final Performance'!G331-'Final Performance'!B331)</f>
        <v>734.5238095238094</v>
      </c>
      <c r="K331" s="4">
        <f t="shared" si="53"/>
        <v>29.795675006081908</v>
      </c>
      <c r="L331" s="4" t="str">
        <f>VLOOKUP('Final Performance'!A331,'[1]Carcass '!$C$10:$J$105,8,FALSE)</f>
        <v>A+</v>
      </c>
      <c r="M331" s="4">
        <f t="shared" si="55"/>
        <v>0</v>
      </c>
      <c r="N331" s="4">
        <f t="shared" si="56"/>
        <v>0</v>
      </c>
      <c r="O331" s="4">
        <f t="shared" si="57"/>
        <v>1</v>
      </c>
      <c r="P331" s="4">
        <f t="shared" si="58"/>
        <v>1</v>
      </c>
      <c r="Q331" s="4">
        <f t="shared" si="59"/>
        <v>0</v>
      </c>
      <c r="U331" s="29"/>
    </row>
    <row r="332" spans="1:21" x14ac:dyDescent="0.2">
      <c r="A332" s="110">
        <v>4720</v>
      </c>
      <c r="B332" s="111">
        <f>VLOOKUP(A332,[1]Assign!$A:$D,4,FALSE)</f>
        <v>680</v>
      </c>
      <c r="C332" s="4">
        <v>3</v>
      </c>
      <c r="D332" s="4">
        <v>405</v>
      </c>
      <c r="E332" s="4" t="str">
        <f>VLOOKUP(A332,[1]Assign!$A:$I,9,FALSE)</f>
        <v>10% MDGS Variable</v>
      </c>
      <c r="F332" s="4">
        <f>VLOOKUP(A332,'[1]Carcass '!$C$10:$D$105,2,FALSE)</f>
        <v>819</v>
      </c>
      <c r="G332" s="4">
        <f t="shared" si="52"/>
        <v>1300</v>
      </c>
      <c r="H332" s="31">
        <f t="shared" si="54"/>
        <v>3.4065934065934065</v>
      </c>
      <c r="I332" s="4">
        <f>VLOOKUP(D332,'[1]DMO head'!A:B,2,FALSE)</f>
        <v>23.841123317486328</v>
      </c>
      <c r="J332" s="19">
        <f>('Final Performance'!G332-'Final Performance'!B332)</f>
        <v>620</v>
      </c>
      <c r="K332" s="4">
        <f t="shared" si="53"/>
        <v>26.005486056324347</v>
      </c>
      <c r="L332" s="4">
        <f>VLOOKUP('Final Performance'!A332,'[1]Carcass '!$C$10:$J$105,8,FALSE)</f>
        <v>0</v>
      </c>
      <c r="M332" s="4">
        <f t="shared" si="55"/>
        <v>0</v>
      </c>
      <c r="N332" s="4">
        <f t="shared" si="56"/>
        <v>0</v>
      </c>
      <c r="O332" s="4">
        <f t="shared" si="57"/>
        <v>0</v>
      </c>
      <c r="P332" s="4">
        <f t="shared" si="58"/>
        <v>0</v>
      </c>
      <c r="Q332" s="4">
        <f t="shared" si="59"/>
        <v>0</v>
      </c>
      <c r="R332" s="4">
        <f>VLOOKUP(A332,'[1]Carcass '!$C$10:$E$105,3,FALSE)</f>
        <v>14.52</v>
      </c>
      <c r="S332" s="4">
        <f>VLOOKUP(A332,'[1]Carcass '!$C$10:$F$105,4,)</f>
        <v>3.27</v>
      </c>
      <c r="T332" s="4">
        <f>VLOOKUP(A332,'[1]Carcass '!$C$10:$G$397,5, FALSE)</f>
        <v>0.51200000000000001</v>
      </c>
      <c r="U332" s="29">
        <f>VLOOKUP(A332,'[1]Carcass '!$C$10:$I$105,7,)</f>
        <v>671</v>
      </c>
    </row>
    <row r="333" spans="1:21" x14ac:dyDescent="0.2">
      <c r="A333" s="110">
        <v>4629</v>
      </c>
      <c r="B333" s="111">
        <f>VLOOKUP(A333,[1]Assign!$A:$D,4,FALSE)</f>
        <v>683</v>
      </c>
      <c r="C333" s="4">
        <v>3</v>
      </c>
      <c r="D333" s="4">
        <v>406</v>
      </c>
      <c r="E333" s="4" t="str">
        <f>VLOOKUP(A333,[1]Assign!$A:$I,9,FALSE)</f>
        <v xml:space="preserve">10% MDGS Constant </v>
      </c>
      <c r="F333" s="4">
        <f>VLOOKUP(A333,'[1]Carcass '!$C$10:$D$105,2,FALSE)</f>
        <v>834</v>
      </c>
      <c r="G333" s="4">
        <f t="shared" si="52"/>
        <v>1323.8095238095239</v>
      </c>
      <c r="H333" s="31">
        <f t="shared" si="54"/>
        <v>3.5209314495028785</v>
      </c>
      <c r="I333" s="4">
        <f>VLOOKUP(D333,'[1]DMO head'!A:B,2,FALSE)</f>
        <v>24.456725328579239</v>
      </c>
      <c r="J333" s="19">
        <f>('Final Performance'!G333-'Final Performance'!B333)</f>
        <v>640.80952380952385</v>
      </c>
      <c r="K333" s="4">
        <f t="shared" si="53"/>
        <v>26.201771300129749</v>
      </c>
      <c r="L333" s="4" t="str">
        <f>VLOOKUP('Final Performance'!A333,'[1]Carcass '!$C$10:$J$105,8,FALSE)</f>
        <v>A-</v>
      </c>
      <c r="M333" s="4">
        <f t="shared" si="55"/>
        <v>0</v>
      </c>
      <c r="N333" s="4">
        <f t="shared" si="56"/>
        <v>1</v>
      </c>
      <c r="O333" s="4">
        <f t="shared" si="57"/>
        <v>0</v>
      </c>
      <c r="P333" s="4">
        <f t="shared" si="58"/>
        <v>1</v>
      </c>
      <c r="Q333" s="4">
        <f t="shared" si="59"/>
        <v>0</v>
      </c>
      <c r="R333" s="4">
        <f>VLOOKUP(A333,'[1]Carcass '!$C$10:$E$105,3,FALSE)</f>
        <v>12.63</v>
      </c>
      <c r="S333" s="4">
        <f>VLOOKUP(A333,'[1]Carcass '!$C$10:$F$105,4,)</f>
        <v>3.54</v>
      </c>
      <c r="T333" s="4">
        <f>VLOOKUP(A333,'[1]Carcass '!$C$10:$G$397,5, FALSE)</f>
        <v>0.63600000000000001</v>
      </c>
      <c r="U333" s="29">
        <f>VLOOKUP(A333,'[1]Carcass '!$C$10:$I$105,7,)</f>
        <v>569</v>
      </c>
    </row>
    <row r="334" spans="1:21" x14ac:dyDescent="0.2">
      <c r="A334" s="110">
        <v>4609</v>
      </c>
      <c r="B334" s="111">
        <f>VLOOKUP(A334,[1]Assign!$A:$D,4,FALSE)</f>
        <v>682</v>
      </c>
      <c r="C334" s="4">
        <v>3</v>
      </c>
      <c r="D334" s="4">
        <v>407</v>
      </c>
      <c r="E334" s="4" t="str">
        <f>VLOOKUP(A334,[1]Assign!$A:$I,9,FALSE)</f>
        <v>25% MDGS Variable</v>
      </c>
      <c r="F334" s="4">
        <f>VLOOKUP(A334,'[1]Carcass '!$C$10:$D$105,2,FALSE)</f>
        <v>891</v>
      </c>
      <c r="G334" s="4">
        <f t="shared" si="52"/>
        <v>1414.2857142857142</v>
      </c>
      <c r="H334" s="31">
        <f t="shared" si="54"/>
        <v>4.0235478806907379</v>
      </c>
      <c r="I334" s="4">
        <f>VLOOKUP(D334,'[1]DMO head'!A:B,2,FALSE)</f>
        <v>22.840113033442623</v>
      </c>
      <c r="J334" s="19">
        <f>('Final Performance'!G334-'Final Performance'!B334)</f>
        <v>732.28571428571422</v>
      </c>
      <c r="K334" s="4">
        <f t="shared" si="53"/>
        <v>32.061387490223773</v>
      </c>
      <c r="L334" s="4">
        <f>VLOOKUP('Final Performance'!A334,'[1]Carcass '!$C$10:$J$105,8,FALSE)</f>
        <v>0</v>
      </c>
      <c r="M334" s="4">
        <f t="shared" si="55"/>
        <v>0</v>
      </c>
      <c r="N334" s="4">
        <f t="shared" si="56"/>
        <v>0</v>
      </c>
      <c r="O334" s="4">
        <f t="shared" si="57"/>
        <v>0</v>
      </c>
      <c r="P334" s="4">
        <f t="shared" si="58"/>
        <v>0</v>
      </c>
      <c r="Q334" s="4">
        <f t="shared" si="59"/>
        <v>0</v>
      </c>
      <c r="R334" s="4">
        <f>VLOOKUP(A334,'[1]Carcass '!$C$10:$E$105,3,FALSE)</f>
        <v>14.31</v>
      </c>
      <c r="S334" s="4">
        <f>VLOOKUP(A334,'[1]Carcass '!$C$10:$F$105,4,)</f>
        <v>3.45</v>
      </c>
      <c r="T334" s="4">
        <f>VLOOKUP(A334,'[1]Carcass '!$C$10:$G$397,5, FALSE)</f>
        <v>0.71199999999999997</v>
      </c>
      <c r="U334" s="29">
        <f>VLOOKUP(A334,'[1]Carcass '!$C$10:$I$105,7,)</f>
        <v>605</v>
      </c>
    </row>
    <row r="335" spans="1:21" x14ac:dyDescent="0.2">
      <c r="A335" s="110">
        <v>4699</v>
      </c>
      <c r="B335" s="111">
        <f>VLOOKUP(A335,[1]Assign!$A:$D,4,FALSE)</f>
        <v>674</v>
      </c>
      <c r="C335" s="4">
        <v>3</v>
      </c>
      <c r="D335" s="4">
        <v>408</v>
      </c>
      <c r="E335" s="4" t="str">
        <f>VLOOKUP(A335,[1]Assign!$A:$I,9,FALSE)</f>
        <v>Control</v>
      </c>
      <c r="F335" s="4">
        <f>VLOOKUP(A335,'[1]Carcass '!$C$10:$D$105,2,FALSE)</f>
        <v>849</v>
      </c>
      <c r="G335" s="4">
        <f t="shared" si="52"/>
        <v>1347.6190476190477</v>
      </c>
      <c r="H335" s="31">
        <f t="shared" si="54"/>
        <v>3.7012035583464158</v>
      </c>
      <c r="I335" s="4">
        <f>VLOOKUP(D335,'[1]DMO head'!A:B,2,FALSE)</f>
        <v>22.630294042240436</v>
      </c>
      <c r="J335" s="19">
        <f>('Final Performance'!G335-'Final Performance'!B335)</f>
        <v>673.61904761904771</v>
      </c>
      <c r="K335" s="4">
        <f t="shared" si="53"/>
        <v>29.766252544562974</v>
      </c>
      <c r="L335" s="4">
        <f>VLOOKUP('Final Performance'!A335,'[1]Carcass '!$C$10:$J$105,8,FALSE)</f>
        <v>0</v>
      </c>
      <c r="M335" s="4">
        <f t="shared" si="55"/>
        <v>0</v>
      </c>
      <c r="N335" s="4">
        <f t="shared" si="56"/>
        <v>0</v>
      </c>
      <c r="O335" s="4">
        <f t="shared" si="57"/>
        <v>0</v>
      </c>
      <c r="P335" s="4">
        <f t="shared" si="58"/>
        <v>0</v>
      </c>
      <c r="Q335" s="4">
        <f t="shared" si="59"/>
        <v>0</v>
      </c>
      <c r="R335" s="4">
        <f>VLOOKUP(A335,'[1]Carcass '!$C$10:$E$105,3,FALSE)</f>
        <v>12.18</v>
      </c>
      <c r="S335" s="4">
        <f>VLOOKUP(A335,'[1]Carcass '!$C$10:$F$105,4,)</f>
        <v>3.18</v>
      </c>
      <c r="T335" s="4">
        <f>VLOOKUP(A335,'[1]Carcass '!$C$10:$G$397,5, FALSE)</f>
        <v>0.51600000000000001</v>
      </c>
      <c r="U335" s="29">
        <f>VLOOKUP(A335,'[1]Carcass '!$C$10:$I$105,7,)</f>
        <v>699</v>
      </c>
    </row>
    <row r="336" spans="1:21" x14ac:dyDescent="0.2">
      <c r="A336" s="110">
        <v>4566</v>
      </c>
      <c r="B336" s="111">
        <f>VLOOKUP(A336,[1]Assign!$A:$D,4,FALSE)</f>
        <v>683</v>
      </c>
      <c r="C336" s="4">
        <v>3</v>
      </c>
      <c r="D336" s="4">
        <v>409</v>
      </c>
      <c r="E336" s="4" t="str">
        <f>VLOOKUP(A336,[1]Assign!$A:$I,9,FALSE)</f>
        <v xml:space="preserve">25% MDGS Constant </v>
      </c>
      <c r="F336" s="4">
        <f>VLOOKUP(A336,'[1]Carcass '!$C$10:$D$105,2,FALSE)</f>
        <v>966</v>
      </c>
      <c r="G336" s="4">
        <f t="shared" si="52"/>
        <v>1533.3333333333333</v>
      </c>
      <c r="H336" s="31">
        <f t="shared" si="54"/>
        <v>4.6721611721611715</v>
      </c>
      <c r="I336" s="4">
        <f>VLOOKUP(D336,'[1]DMO head'!A:B,2,FALSE)</f>
        <v>25.087520326338783</v>
      </c>
      <c r="J336" s="19">
        <f>('Final Performance'!G336-'Final Performance'!B336)</f>
        <v>850.33333333333326</v>
      </c>
      <c r="K336" s="4">
        <f t="shared" si="53"/>
        <v>33.894674414696489</v>
      </c>
      <c r="L336" s="4">
        <f>VLOOKUP('Final Performance'!A336,'[1]Carcass '!$C$10:$J$105,8,FALSE)</f>
        <v>0</v>
      </c>
      <c r="M336" s="4">
        <f t="shared" si="55"/>
        <v>0</v>
      </c>
      <c r="N336" s="4">
        <f t="shared" si="56"/>
        <v>0</v>
      </c>
      <c r="O336" s="4">
        <f t="shared" si="57"/>
        <v>0</v>
      </c>
      <c r="P336" s="4">
        <f t="shared" si="58"/>
        <v>0</v>
      </c>
      <c r="Q336" s="4">
        <f t="shared" si="59"/>
        <v>0</v>
      </c>
      <c r="R336" s="4">
        <f>VLOOKUP(A336,'[1]Carcass '!$C$10:$E$105,3,FALSE)</f>
        <v>14.87</v>
      </c>
      <c r="S336" s="4">
        <f>VLOOKUP(A336,'[1]Carcass '!$C$10:$F$105,4,)</f>
        <v>3.9</v>
      </c>
      <c r="T336" s="4">
        <f>VLOOKUP(A336,'[1]Carcass '!$C$10:$G$397,5, FALSE)</f>
        <v>0.79600000000000004</v>
      </c>
      <c r="U336" s="29">
        <f>VLOOKUP(A336,'[1]Carcass '!$C$10:$I$105,7,)</f>
        <v>611</v>
      </c>
    </row>
    <row r="337" spans="1:21" x14ac:dyDescent="0.2">
      <c r="A337" s="110">
        <v>4542</v>
      </c>
      <c r="B337" s="111">
        <f>VLOOKUP(A337,[1]Assign!$A:$D,4,FALSE)</f>
        <v>690</v>
      </c>
      <c r="C337" s="4">
        <v>3</v>
      </c>
      <c r="D337" s="4">
        <v>410</v>
      </c>
      <c r="E337" s="4" t="str">
        <f>VLOOKUP(A337,[1]Assign!$A:$I,9,FALSE)</f>
        <v>25% MDGS Variable</v>
      </c>
      <c r="F337" s="4">
        <f>VLOOKUP(A337,'[1]Carcass '!$C$10:$D$105,2,FALSE)</f>
        <v>888</v>
      </c>
      <c r="G337" s="4">
        <f t="shared" si="52"/>
        <v>1409.5238095238094</v>
      </c>
      <c r="H337" s="31">
        <f t="shared" si="54"/>
        <v>3.9534275248560955</v>
      </c>
      <c r="I337" s="4">
        <f>VLOOKUP(D337,'[1]DMO head'!A:B,2,FALSE)</f>
        <v>23.110230187377059</v>
      </c>
      <c r="J337" s="19">
        <f>('Final Performance'!G337-'Final Performance'!B337)</f>
        <v>719.5238095238094</v>
      </c>
      <c r="K337" s="4">
        <f t="shared" si="53"/>
        <v>31.134428505901141</v>
      </c>
      <c r="L337" s="4" t="str">
        <f>VLOOKUP('Final Performance'!A337,'[1]Carcass '!$C$10:$J$105,8,FALSE)</f>
        <v>A</v>
      </c>
      <c r="M337" s="4">
        <f t="shared" si="55"/>
        <v>1</v>
      </c>
      <c r="N337" s="4">
        <f t="shared" si="56"/>
        <v>0</v>
      </c>
      <c r="O337" s="4">
        <f t="shared" si="57"/>
        <v>0</v>
      </c>
      <c r="P337" s="4">
        <f t="shared" si="58"/>
        <v>1</v>
      </c>
      <c r="Q337" s="4">
        <f t="shared" si="59"/>
        <v>0</v>
      </c>
      <c r="R337" s="4">
        <f>VLOOKUP(A337,'[1]Carcass '!$C$10:$E$105,3,FALSE)</f>
        <v>16.05</v>
      </c>
      <c r="S337" s="4">
        <f>VLOOKUP(A337,'[1]Carcass '!$C$10:$F$105,4,)</f>
        <v>3.45</v>
      </c>
      <c r="T337" s="4">
        <f>VLOOKUP(A337,'[1]Carcass '!$C$10:$G$397,5, FALSE)</f>
        <v>0.64800000000000002</v>
      </c>
      <c r="U337" s="29"/>
    </row>
    <row r="338" spans="1:21" x14ac:dyDescent="0.2">
      <c r="A338" s="110">
        <v>4346</v>
      </c>
      <c r="B338" s="111">
        <f>VLOOKUP(A338,[1]Assign!$A:$D,4,FALSE)</f>
        <v>692</v>
      </c>
      <c r="C338" s="4">
        <v>3</v>
      </c>
      <c r="D338" s="4">
        <v>411</v>
      </c>
      <c r="E338" s="4" t="str">
        <f>VLOOKUP(A338,[1]Assign!$A:$I,9,FALSE)</f>
        <v xml:space="preserve">10% MDGS Constant </v>
      </c>
      <c r="F338" s="4">
        <f>VLOOKUP(A338,'[1]Carcass '!$C$10:$D$105,2,FALSE)</f>
        <v>858</v>
      </c>
      <c r="G338" s="4">
        <f t="shared" si="52"/>
        <v>1361.9047619047619</v>
      </c>
      <c r="H338" s="31">
        <f t="shared" si="54"/>
        <v>3.6807953950811094</v>
      </c>
      <c r="I338" s="4">
        <f>VLOOKUP(D338,'[1]DMO head'!A:B,2,FALSE)</f>
        <v>23.277453122155439</v>
      </c>
      <c r="J338" s="19">
        <f>('Final Performance'!G338-'Final Performance'!B338)</f>
        <v>669.90476190476193</v>
      </c>
      <c r="K338" s="4">
        <f t="shared" si="53"/>
        <v>28.779126238134179</v>
      </c>
      <c r="L338" s="4">
        <f>VLOOKUP('Final Performance'!A338,'[1]Carcass '!$C$10:$J$105,8,FALSE)</f>
        <v>0</v>
      </c>
      <c r="M338" s="4">
        <f t="shared" si="55"/>
        <v>0</v>
      </c>
      <c r="N338" s="4">
        <f t="shared" si="56"/>
        <v>0</v>
      </c>
      <c r="O338" s="4">
        <f t="shared" si="57"/>
        <v>0</v>
      </c>
      <c r="P338" s="4">
        <f t="shared" si="58"/>
        <v>0</v>
      </c>
      <c r="Q338" s="4">
        <f t="shared" si="59"/>
        <v>0</v>
      </c>
      <c r="R338" s="4">
        <f>VLOOKUP(A338,'[1]Carcass '!$C$10:$E$105,3,FALSE)</f>
        <v>14.53</v>
      </c>
      <c r="S338" s="4">
        <f>VLOOKUP(A338,'[1]Carcass '!$C$10:$F$105,4,)</f>
        <v>3.82</v>
      </c>
      <c r="T338" s="4">
        <f>VLOOKUP(A338,'[1]Carcass '!$C$10:$G$397,5, FALSE)</f>
        <v>0.72799999999999998</v>
      </c>
      <c r="U338" s="29">
        <f>VLOOKUP(A338,'[1]Carcass '!$C$10:$I$105,7,)</f>
        <v>787</v>
      </c>
    </row>
    <row r="339" spans="1:21" x14ac:dyDescent="0.2">
      <c r="A339" s="110">
        <v>4521</v>
      </c>
      <c r="B339" s="111">
        <f>VLOOKUP(A339,[1]Assign!$A:$D,4,FALSE)</f>
        <v>690</v>
      </c>
      <c r="C339" s="4">
        <v>3</v>
      </c>
      <c r="D339" s="4">
        <v>412</v>
      </c>
      <c r="E339" s="4" t="str">
        <f>VLOOKUP(A339,[1]Assign!$A:$I,9,FALSE)</f>
        <v>Control</v>
      </c>
      <c r="F339" s="4">
        <f>VLOOKUP(A339,'[1]Carcass '!$C$10:$D$105,2,FALSE)</f>
        <v>886</v>
      </c>
      <c r="G339" s="4">
        <f t="shared" si="52"/>
        <v>1406.3492063492063</v>
      </c>
      <c r="H339" s="31">
        <f t="shared" si="54"/>
        <v>3.9359846502703641</v>
      </c>
      <c r="I339" s="4">
        <f>VLOOKUP(D339,'[1]DMO head'!A:B,2,FALSE)</f>
        <v>23.149248339458101</v>
      </c>
      <c r="J339" s="19">
        <f>('Final Performance'!G339-'Final Performance'!B339)</f>
        <v>716.34920634920627</v>
      </c>
      <c r="K339" s="4">
        <f t="shared" si="53"/>
        <v>30.944814960932561</v>
      </c>
      <c r="L339" s="4" t="str">
        <f>VLOOKUP('Final Performance'!A339,'[1]Carcass '!$C$10:$J$105,8,FALSE)</f>
        <v>A</v>
      </c>
      <c r="M339" s="4">
        <f t="shared" si="55"/>
        <v>1</v>
      </c>
      <c r="N339" s="4">
        <f t="shared" si="56"/>
        <v>0</v>
      </c>
      <c r="O339" s="4">
        <f t="shared" si="57"/>
        <v>0</v>
      </c>
      <c r="P339" s="4">
        <f t="shared" si="58"/>
        <v>1</v>
      </c>
      <c r="Q339" s="4">
        <f t="shared" si="59"/>
        <v>0</v>
      </c>
      <c r="R339" s="4">
        <f>VLOOKUP(A339,'[1]Carcass '!$C$10:$E$105,3,FALSE)</f>
        <v>14.9</v>
      </c>
      <c r="S339" s="4">
        <f>VLOOKUP(A339,'[1]Carcass '!$C$10:$F$105,4,)</f>
        <v>3.28</v>
      </c>
      <c r="T339" s="4">
        <f>VLOOKUP(A339,'[1]Carcass '!$C$10:$G$397,5, FALSE)</f>
        <v>0.61199999999999999</v>
      </c>
      <c r="U339" s="29">
        <f>VLOOKUP(A339,'[1]Carcass '!$C$10:$I$105,7,)</f>
        <v>558</v>
      </c>
    </row>
    <row r="340" spans="1:21" x14ac:dyDescent="0.2">
      <c r="A340" s="110">
        <v>4571</v>
      </c>
      <c r="B340" s="111">
        <f>VLOOKUP(A340,[1]Assign!$A:$D,4,FALSE)</f>
        <v>694</v>
      </c>
      <c r="C340" s="4">
        <v>3</v>
      </c>
      <c r="D340" s="4">
        <v>413</v>
      </c>
      <c r="E340" s="4" t="str">
        <f>VLOOKUP(A340,[1]Assign!$A:$I,9,FALSE)</f>
        <v xml:space="preserve">25% MDGS Constant </v>
      </c>
      <c r="F340" s="4">
        <f>VLOOKUP(A340,'[1]Carcass '!$C$10:$D$105,2,FALSE)</f>
        <v>955</v>
      </c>
      <c r="G340" s="4">
        <f t="shared" si="52"/>
        <v>1515.8730158730159</v>
      </c>
      <c r="H340" s="31">
        <f t="shared" si="54"/>
        <v>4.5157858015000878</v>
      </c>
      <c r="I340" s="4">
        <f>VLOOKUP(D340,'[1]DMO head'!A:B,2,FALSE)</f>
        <v>24.396522174486932</v>
      </c>
      <c r="J340" s="19">
        <f>('Final Performance'!G340-'Final Performance'!B340)</f>
        <v>821.8730158730159</v>
      </c>
      <c r="K340" s="4">
        <f t="shared" si="53"/>
        <v>33.688122019805888</v>
      </c>
      <c r="L340" s="4">
        <f>VLOOKUP('Final Performance'!A340,'[1]Carcass '!$C$10:$J$105,8,FALSE)</f>
        <v>0</v>
      </c>
      <c r="M340" s="4">
        <f t="shared" si="55"/>
        <v>0</v>
      </c>
      <c r="N340" s="4">
        <f t="shared" si="56"/>
        <v>0</v>
      </c>
      <c r="O340" s="4">
        <f t="shared" si="57"/>
        <v>0</v>
      </c>
      <c r="P340" s="4">
        <f t="shared" si="58"/>
        <v>0</v>
      </c>
      <c r="Q340" s="4">
        <f t="shared" si="59"/>
        <v>0</v>
      </c>
      <c r="U340" s="29"/>
    </row>
    <row r="341" spans="1:21" x14ac:dyDescent="0.2">
      <c r="A341" s="110">
        <v>4338</v>
      </c>
      <c r="B341" s="111">
        <f>VLOOKUP(A341,[1]Assign!$A:$D,4,FALSE)</f>
        <v>697</v>
      </c>
      <c r="C341" s="4">
        <v>3</v>
      </c>
      <c r="D341" s="4">
        <v>414</v>
      </c>
      <c r="E341" s="4" t="str">
        <f>VLOOKUP(A341,[1]Assign!$A:$I,9,FALSE)</f>
        <v>10% MDGS Variable</v>
      </c>
      <c r="F341" s="4">
        <f>VLOOKUP(A341,'[1]Carcass '!$C$10:$D$105,2,FALSE)</f>
        <v>863</v>
      </c>
      <c r="G341" s="4">
        <f t="shared" si="52"/>
        <v>1369.8412698412699</v>
      </c>
      <c r="H341" s="31">
        <f t="shared" si="54"/>
        <v>3.6969300540729115</v>
      </c>
      <c r="I341" s="4">
        <f>VLOOKUP(D341,'[1]DMO head'!A:B,2,FALSE)</f>
        <v>24.652027832021865</v>
      </c>
      <c r="J341" s="19">
        <f>('Final Performance'!G341-'Final Performance'!B341)</f>
        <v>672.84126984126988</v>
      </c>
      <c r="K341" s="4">
        <f t="shared" si="53"/>
        <v>27.293546576613856</v>
      </c>
      <c r="L341" s="4" t="str">
        <f>VLOOKUP('Final Performance'!A341,'[1]Carcass '!$C$10:$J$105,8,FALSE)</f>
        <v>A-</v>
      </c>
      <c r="M341" s="4">
        <f t="shared" si="55"/>
        <v>0</v>
      </c>
      <c r="N341" s="4">
        <f t="shared" si="56"/>
        <v>1</v>
      </c>
      <c r="O341" s="4">
        <f t="shared" si="57"/>
        <v>0</v>
      </c>
      <c r="P341" s="4">
        <f t="shared" si="58"/>
        <v>1</v>
      </c>
      <c r="Q341" s="4">
        <f t="shared" si="59"/>
        <v>0</v>
      </c>
      <c r="R341" s="4">
        <f>VLOOKUP(A341,'[1]Carcass '!$C$10:$E$105,3,FALSE)</f>
        <v>12.22</v>
      </c>
      <c r="S341" s="4">
        <f>VLOOKUP(A341,'[1]Carcass '!$C$10:$F$105,4,)</f>
        <v>3.56</v>
      </c>
      <c r="T341" s="4">
        <f>VLOOKUP(A341,'[1]Carcass '!$C$10:$G$397,5, FALSE)</f>
        <v>0.84399999999999997</v>
      </c>
      <c r="U341" s="29">
        <f>VLOOKUP(A341,'[1]Carcass '!$C$10:$I$105,7,)</f>
        <v>766</v>
      </c>
    </row>
    <row r="342" spans="1:21" x14ac:dyDescent="0.2">
      <c r="A342" s="110">
        <v>4552</v>
      </c>
      <c r="B342" s="111">
        <f>VLOOKUP(A342,[1]Assign!$A:$D,4,FALSE)</f>
        <v>688</v>
      </c>
      <c r="C342" s="4">
        <v>3</v>
      </c>
      <c r="D342" s="4">
        <v>405</v>
      </c>
      <c r="E342" s="4" t="str">
        <f>VLOOKUP(A342,[1]Assign!$A:$I,9,FALSE)</f>
        <v>10% MDGS Variable</v>
      </c>
      <c r="F342" s="4">
        <f>VLOOKUP(A342,'[1]Carcass '!$C$10:$D$105,2,FALSE)</f>
        <v>784</v>
      </c>
      <c r="G342" s="4">
        <f t="shared" si="52"/>
        <v>1244.4444444444443</v>
      </c>
      <c r="H342" s="31">
        <f t="shared" si="54"/>
        <v>3.0573870573870567</v>
      </c>
      <c r="I342" s="4">
        <f>VLOOKUP(D342,'[1]DMO head'!A:B,2,FALSE)</f>
        <v>23.841123317486328</v>
      </c>
      <c r="J342" s="19">
        <f>('Final Performance'!G342-'Final Performance'!B342)</f>
        <v>556.44444444444434</v>
      </c>
      <c r="K342" s="4">
        <f t="shared" si="53"/>
        <v>23.339690711482493</v>
      </c>
      <c r="L342" s="4" t="str">
        <f>VLOOKUP('Final Performance'!A342,'[1]Carcass '!$C$10:$J$105,8,FALSE)</f>
        <v>A-</v>
      </c>
      <c r="M342" s="4">
        <f t="shared" si="55"/>
        <v>0</v>
      </c>
      <c r="N342" s="4">
        <f t="shared" si="56"/>
        <v>1</v>
      </c>
      <c r="O342" s="4">
        <f t="shared" si="57"/>
        <v>0</v>
      </c>
      <c r="P342" s="4">
        <f t="shared" si="58"/>
        <v>1</v>
      </c>
      <c r="Q342" s="4">
        <f t="shared" si="59"/>
        <v>0</v>
      </c>
      <c r="R342" s="4">
        <f>VLOOKUP(A342,'[1]Carcass '!$C$10:$E$105,3,FALSE)</f>
        <v>16.170000000000002</v>
      </c>
      <c r="S342" s="4">
        <f>VLOOKUP(A342,'[1]Carcass '!$C$10:$F$105,4,)</f>
        <v>2.8</v>
      </c>
      <c r="T342" s="4">
        <f>VLOOKUP(A342,'[1]Carcass '!$C$10:$G$397,5, FALSE)</f>
        <v>0.44</v>
      </c>
      <c r="U342" s="29">
        <f>VLOOKUP(A342,'[1]Carcass '!$C$10:$I$105,7,)</f>
        <v>508</v>
      </c>
    </row>
    <row r="343" spans="1:21" x14ac:dyDescent="0.2">
      <c r="A343" s="110">
        <v>4616</v>
      </c>
      <c r="B343" s="111">
        <f>VLOOKUP(A343,[1]Assign!$A:$D,4,FALSE)</f>
        <v>705</v>
      </c>
      <c r="C343" s="4">
        <v>3</v>
      </c>
      <c r="D343" s="4">
        <v>406</v>
      </c>
      <c r="E343" s="4" t="str">
        <f>VLOOKUP(A343,[1]Assign!$A:$I,9,FALSE)</f>
        <v xml:space="preserve">10% MDGS Constant </v>
      </c>
      <c r="F343" s="4">
        <f>VLOOKUP(A343,'[1]Carcass '!$C$10:$D$105,2,FALSE)</f>
        <v>790</v>
      </c>
      <c r="G343" s="4">
        <f t="shared" si="52"/>
        <v>1253.968253968254</v>
      </c>
      <c r="H343" s="31">
        <f t="shared" si="54"/>
        <v>3.016309087737659</v>
      </c>
      <c r="I343" s="4">
        <f>VLOOKUP(D343,'[1]DMO head'!A:B,2,FALSE)</f>
        <v>24.456725328579239</v>
      </c>
      <c r="J343" s="19">
        <f>('Final Performance'!G343-'Final Performance'!B343)</f>
        <v>548.96825396825398</v>
      </c>
      <c r="K343" s="4">
        <f t="shared" si="53"/>
        <v>22.446515082980046</v>
      </c>
      <c r="L343" s="4" t="str">
        <f>VLOOKUP('Final Performance'!A343,'[1]Carcass '!$C$10:$J$105,8,FALSE)</f>
        <v>A</v>
      </c>
      <c r="M343" s="4">
        <f t="shared" si="55"/>
        <v>1</v>
      </c>
      <c r="N343" s="4">
        <f t="shared" si="56"/>
        <v>0</v>
      </c>
      <c r="O343" s="4">
        <f t="shared" si="57"/>
        <v>0</v>
      </c>
      <c r="P343" s="4">
        <f t="shared" si="58"/>
        <v>1</v>
      </c>
      <c r="Q343" s="4">
        <f t="shared" si="59"/>
        <v>0</v>
      </c>
      <c r="R343" s="4">
        <f>VLOOKUP(A343,'[1]Carcass '!$C$10:$E$105,3,FALSE)</f>
        <v>14.34</v>
      </c>
      <c r="S343" s="4">
        <f>VLOOKUP(A343,'[1]Carcass '!$C$10:$F$105,4,)</f>
        <v>3.25</v>
      </c>
      <c r="T343" s="4">
        <f>VLOOKUP(A343,'[1]Carcass '!$C$10:$G$397,5, FALSE)</f>
        <v>0.61599999999999999</v>
      </c>
      <c r="U343" s="29">
        <f>VLOOKUP(A343,'[1]Carcass '!$C$10:$I$105,7,)</f>
        <v>424</v>
      </c>
    </row>
    <row r="344" spans="1:21" x14ac:dyDescent="0.2">
      <c r="A344" s="110">
        <v>4390</v>
      </c>
      <c r="B344" s="111">
        <f>VLOOKUP(A344,[1]Assign!$A:$D,4,FALSE)</f>
        <v>702</v>
      </c>
      <c r="C344" s="4">
        <v>3</v>
      </c>
      <c r="D344" s="4">
        <v>407</v>
      </c>
      <c r="E344" s="4" t="str">
        <f>VLOOKUP(A344,[1]Assign!$A:$I,9,FALSE)</f>
        <v>25% MDGS Variable</v>
      </c>
      <c r="F344" s="4">
        <f>VLOOKUP(A344,'[1]Carcass '!$C$10:$D$105,2,FALSE)</f>
        <v>900</v>
      </c>
      <c r="G344" s="4">
        <f t="shared" si="52"/>
        <v>1428.5714285714287</v>
      </c>
      <c r="H344" s="31">
        <f t="shared" si="54"/>
        <v>3.9921507064364214</v>
      </c>
      <c r="I344" s="4">
        <f>VLOOKUP(D344,'[1]DMO head'!A:B,2,FALSE)</f>
        <v>22.840113033442623</v>
      </c>
      <c r="J344" s="19">
        <f>('Final Performance'!G344-'Final Performance'!B344)</f>
        <v>726.57142857142867</v>
      </c>
      <c r="K344" s="4">
        <f t="shared" si="53"/>
        <v>31.811201087646925</v>
      </c>
      <c r="L344" s="4" t="str">
        <f>VLOOKUP('Final Performance'!A344,'[1]Carcass '!$C$10:$J$105,8,FALSE)</f>
        <v>A-</v>
      </c>
      <c r="M344" s="4">
        <f t="shared" si="55"/>
        <v>0</v>
      </c>
      <c r="N344" s="4">
        <f t="shared" si="56"/>
        <v>1</v>
      </c>
      <c r="O344" s="4">
        <f t="shared" si="57"/>
        <v>0</v>
      </c>
      <c r="P344" s="4">
        <f t="shared" si="58"/>
        <v>1</v>
      </c>
      <c r="Q344" s="4">
        <f t="shared" si="59"/>
        <v>0</v>
      </c>
      <c r="R344" s="4">
        <f>VLOOKUP(A344,'[1]Carcass '!$C$10:$E$105,3,FALSE)</f>
        <v>13.3</v>
      </c>
      <c r="S344" s="4">
        <f>VLOOKUP(A344,'[1]Carcass '!$C$10:$F$105,4,)</f>
        <v>3.1</v>
      </c>
      <c r="T344" s="4">
        <f>VLOOKUP(A344,'[1]Carcass '!$C$10:$G$397,5, FALSE)</f>
        <v>0.56000000000000005</v>
      </c>
      <c r="U344" s="29">
        <f>VLOOKUP(A344,'[1]Carcass '!$C$10:$I$105,7,)</f>
        <v>467</v>
      </c>
    </row>
    <row r="345" spans="1:21" x14ac:dyDescent="0.2">
      <c r="A345" s="110">
        <v>4580</v>
      </c>
      <c r="B345" s="111">
        <f>VLOOKUP(A345,[1]Assign!$A:$D,4,FALSE)</f>
        <v>703</v>
      </c>
      <c r="C345" s="4">
        <v>3</v>
      </c>
      <c r="D345" s="4">
        <v>408</v>
      </c>
      <c r="E345" s="4" t="str">
        <f>VLOOKUP(A345,[1]Assign!$A:$I,9,FALSE)</f>
        <v>Control</v>
      </c>
      <c r="F345" s="4">
        <f>VLOOKUP(A345,'[1]Carcass '!$C$10:$D$105,2,FALSE)</f>
        <v>806</v>
      </c>
      <c r="G345" s="4">
        <f t="shared" si="52"/>
        <v>1279.3650793650793</v>
      </c>
      <c r="H345" s="31">
        <f t="shared" si="54"/>
        <v>3.1668410954125235</v>
      </c>
      <c r="I345" s="4">
        <f>VLOOKUP(D345,'[1]DMO head'!A:B,2,FALSE)</f>
        <v>22.630294042240436</v>
      </c>
      <c r="J345" s="19">
        <f>('Final Performance'!G345-'Final Performance'!B345)</f>
        <v>576.36507936507928</v>
      </c>
      <c r="K345" s="4">
        <f t="shared" si="53"/>
        <v>25.46874018911414</v>
      </c>
      <c r="L345" s="4" t="str">
        <f>VLOOKUP('Final Performance'!A345,'[1]Carcass '!$C$10:$J$105,8,FALSE)</f>
        <v>A</v>
      </c>
      <c r="M345" s="4">
        <f t="shared" si="55"/>
        <v>1</v>
      </c>
      <c r="N345" s="4">
        <f t="shared" si="56"/>
        <v>0</v>
      </c>
      <c r="O345" s="4">
        <f t="shared" si="57"/>
        <v>0</v>
      </c>
      <c r="P345" s="4">
        <f t="shared" si="58"/>
        <v>1</v>
      </c>
      <c r="Q345" s="4">
        <f t="shared" si="59"/>
        <v>0</v>
      </c>
      <c r="R345" s="4">
        <f>VLOOKUP(A345,'[1]Carcass '!$C$10:$E$105,3,FALSE)</f>
        <v>14.33</v>
      </c>
      <c r="S345" s="4">
        <f>VLOOKUP(A345,'[1]Carcass '!$C$10:$F$105,4,)</f>
        <v>3.28</v>
      </c>
      <c r="T345" s="4">
        <f>VLOOKUP(A345,'[1]Carcass '!$C$10:$G$397,5, FALSE)</f>
        <v>0.69599999999999995</v>
      </c>
      <c r="U345" s="29">
        <f>VLOOKUP(A345,'[1]Carcass '!$C$10:$I$105,7,)</f>
        <v>611</v>
      </c>
    </row>
    <row r="346" spans="1:21" x14ac:dyDescent="0.2">
      <c r="A346" s="110">
        <v>4569</v>
      </c>
      <c r="B346" s="111">
        <f>VLOOKUP(A346,[1]Assign!$A:$D,4,FALSE)</f>
        <v>692</v>
      </c>
      <c r="C346" s="4">
        <v>3</v>
      </c>
      <c r="D346" s="4">
        <v>409</v>
      </c>
      <c r="E346" s="4" t="str">
        <f>VLOOKUP(A346,[1]Assign!$A:$I,9,FALSE)</f>
        <v xml:space="preserve">25% MDGS Constant </v>
      </c>
      <c r="F346" s="4">
        <f>VLOOKUP(A346,'[1]Carcass '!$C$10:$D$105,2,FALSE)</f>
        <v>896</v>
      </c>
      <c r="G346" s="4">
        <f t="shared" si="52"/>
        <v>1422.2222222222222</v>
      </c>
      <c r="H346" s="31">
        <f t="shared" si="54"/>
        <v>4.0122100122100122</v>
      </c>
      <c r="I346" s="4">
        <f>VLOOKUP(D346,'[1]DMO head'!A:B,2,FALSE)</f>
        <v>25.087520326338783</v>
      </c>
      <c r="J346" s="19">
        <f>('Final Performance'!G346-'Final Performance'!B346)</f>
        <v>730.22222222222217</v>
      </c>
      <c r="K346" s="4">
        <f t="shared" si="53"/>
        <v>29.10699075570173</v>
      </c>
      <c r="L346" s="4">
        <f>VLOOKUP('Final Performance'!A346,'[1]Carcass '!$C$10:$J$105,8,FALSE)</f>
        <v>0</v>
      </c>
      <c r="M346" s="4">
        <f t="shared" si="55"/>
        <v>0</v>
      </c>
      <c r="N346" s="4">
        <f t="shared" si="56"/>
        <v>0</v>
      </c>
      <c r="O346" s="4">
        <f t="shared" si="57"/>
        <v>0</v>
      </c>
      <c r="P346" s="4">
        <f t="shared" si="58"/>
        <v>0</v>
      </c>
      <c r="Q346" s="4">
        <f t="shared" si="59"/>
        <v>0</v>
      </c>
      <c r="R346" s="4">
        <f>VLOOKUP(A346,'[1]Carcass '!$C$10:$E$105,3,FALSE)</f>
        <v>11.8</v>
      </c>
      <c r="S346" s="4">
        <f>VLOOKUP(A346,'[1]Carcass '!$C$10:$F$105,4,)</f>
        <v>4.4000000000000004</v>
      </c>
      <c r="T346" s="4">
        <f>VLOOKUP(A346,'[1]Carcass '!$C$10:$G$397,5, FALSE)</f>
        <v>1.0680000000000001</v>
      </c>
      <c r="U346" s="29">
        <f>VLOOKUP(A346,'[1]Carcass '!$C$10:$I$105,7,)</f>
        <v>774</v>
      </c>
    </row>
    <row r="347" spans="1:21" x14ac:dyDescent="0.2">
      <c r="A347" s="110">
        <v>4505</v>
      </c>
      <c r="B347" s="111">
        <f>VLOOKUP(A347,[1]Assign!$A:$D,4,FALSE)</f>
        <v>700</v>
      </c>
      <c r="C347" s="4">
        <v>3</v>
      </c>
      <c r="D347" s="4">
        <v>410</v>
      </c>
      <c r="E347" s="4" t="str">
        <f>VLOOKUP(A347,[1]Assign!$A:$I,9,FALSE)</f>
        <v>25% MDGS Variable</v>
      </c>
      <c r="F347" s="4">
        <f>VLOOKUP(A347,'[1]Carcass '!$C$10:$D$105,2,FALSE)</f>
        <v>958</v>
      </c>
      <c r="G347" s="4">
        <f t="shared" si="52"/>
        <v>1520.6349206349207</v>
      </c>
      <c r="H347" s="31">
        <f t="shared" si="54"/>
        <v>4.5089830804116522</v>
      </c>
      <c r="I347" s="4">
        <f>VLOOKUP(D347,'[1]DMO head'!A:B,2,FALSE)</f>
        <v>23.110230187377059</v>
      </c>
      <c r="J347" s="19">
        <f>('Final Performance'!G347-'Final Performance'!B347)</f>
        <v>820.63492063492072</v>
      </c>
      <c r="K347" s="4">
        <f t="shared" si="53"/>
        <v>35.509595273661802</v>
      </c>
      <c r="L347" s="4">
        <f>VLOOKUP('Final Performance'!A347,'[1]Carcass '!$C$10:$J$105,8,FALSE)</f>
        <v>0</v>
      </c>
      <c r="M347" s="4">
        <f t="shared" si="55"/>
        <v>0</v>
      </c>
      <c r="N347" s="4">
        <f t="shared" si="56"/>
        <v>0</v>
      </c>
      <c r="O347" s="4">
        <f t="shared" si="57"/>
        <v>0</v>
      </c>
      <c r="P347" s="4">
        <f t="shared" si="58"/>
        <v>0</v>
      </c>
      <c r="Q347" s="4">
        <f t="shared" si="59"/>
        <v>0</v>
      </c>
      <c r="U347" s="29">
        <f>VLOOKUP(A347,'[1]Carcass '!$C$10:$I$105,7,)</f>
        <v>613</v>
      </c>
    </row>
    <row r="348" spans="1:21" x14ac:dyDescent="0.2">
      <c r="A348" s="110">
        <v>4562</v>
      </c>
      <c r="B348" s="111">
        <f>VLOOKUP(A348,[1]Assign!$A:$D,4,FALSE)</f>
        <v>690</v>
      </c>
      <c r="C348" s="4">
        <v>3</v>
      </c>
      <c r="D348" s="4">
        <v>411</v>
      </c>
      <c r="E348" s="4" t="str">
        <f>VLOOKUP(A348,[1]Assign!$A:$I,9,FALSE)</f>
        <v xml:space="preserve">10% MDGS Constant </v>
      </c>
      <c r="F348" s="4">
        <f>VLOOKUP(A348,'[1]Carcass '!$C$10:$D$105,2,FALSE)</f>
        <v>804</v>
      </c>
      <c r="G348" s="4">
        <f t="shared" ref="G348:G389" si="60">F348/0.63</f>
        <v>1276.1904761904761</v>
      </c>
      <c r="H348" s="31">
        <f t="shared" si="54"/>
        <v>3.2208267922553633</v>
      </c>
      <c r="I348" s="4">
        <f>VLOOKUP(D348,'[1]DMO head'!A:B,2,FALSE)</f>
        <v>23.277453122155439</v>
      </c>
      <c r="J348" s="19">
        <f>('Final Performance'!G348-'Final Performance'!B348)</f>
        <v>586.19047619047615</v>
      </c>
      <c r="K348" s="4">
        <f t="shared" si="53"/>
        <v>25.182758316138163</v>
      </c>
      <c r="L348" s="4" t="str">
        <f>VLOOKUP('Final Performance'!A348,'[1]Carcass '!$C$10:$J$105,8,FALSE)</f>
        <v>A+</v>
      </c>
      <c r="M348" s="4">
        <f t="shared" si="55"/>
        <v>0</v>
      </c>
      <c r="N348" s="4">
        <f t="shared" si="56"/>
        <v>0</v>
      </c>
      <c r="O348" s="4">
        <f t="shared" si="57"/>
        <v>1</v>
      </c>
      <c r="P348" s="4">
        <f t="shared" si="58"/>
        <v>1</v>
      </c>
      <c r="Q348" s="4">
        <f t="shared" si="59"/>
        <v>0</v>
      </c>
      <c r="R348" s="4">
        <f>VLOOKUP(A348,'[1]Carcass '!$C$10:$E$105,3,FALSE)</f>
        <v>12.32</v>
      </c>
      <c r="S348" s="4">
        <f>VLOOKUP(A348,'[1]Carcass '!$C$10:$F$105,4,)</f>
        <v>3.52</v>
      </c>
      <c r="T348" s="4">
        <f>VLOOKUP(A348,'[1]Carcass '!$C$10:$G$397,5, FALSE)</f>
        <v>0.69199999999999995</v>
      </c>
      <c r="U348" s="29">
        <f>VLOOKUP(A348,'[1]Carcass '!$C$10:$I$105,7,)</f>
        <v>553</v>
      </c>
    </row>
    <row r="349" spans="1:21" x14ac:dyDescent="0.2">
      <c r="A349" s="110">
        <v>4482</v>
      </c>
      <c r="B349" s="111">
        <f>VLOOKUP(A349,[1]Assign!$A:$D,4,FALSE)</f>
        <v>684</v>
      </c>
      <c r="C349" s="4">
        <v>3</v>
      </c>
      <c r="D349" s="4">
        <v>413</v>
      </c>
      <c r="E349" s="4" t="str">
        <f>VLOOKUP(A349,[1]Assign!$A:$I,9,FALSE)</f>
        <v xml:space="preserve">25% MDGS Constant </v>
      </c>
      <c r="F349" s="4">
        <f>VLOOKUP(A349,'[1]Carcass '!$C$10:$D$105,2,FALSE)</f>
        <v>870</v>
      </c>
      <c r="G349" s="4">
        <f t="shared" si="60"/>
        <v>1380.952380952381</v>
      </c>
      <c r="H349" s="31">
        <f t="shared" si="54"/>
        <v>3.8294086865515435</v>
      </c>
      <c r="I349" s="4">
        <f>VLOOKUP(D349,'[1]DMO head'!A:B,2,FALSE)</f>
        <v>24.396522174486932</v>
      </c>
      <c r="J349" s="19">
        <f>('Final Performance'!G349-'Final Performance'!B349)</f>
        <v>696.95238095238096</v>
      </c>
      <c r="K349" s="4">
        <f t="shared" si="53"/>
        <v>28.567694033095851</v>
      </c>
      <c r="L349" s="4" t="str">
        <f>VLOOKUP('Final Performance'!A349,'[1]Carcass '!$C$10:$J$105,8,FALSE)</f>
        <v>A+</v>
      </c>
      <c r="M349" s="4">
        <f t="shared" si="55"/>
        <v>0</v>
      </c>
      <c r="N349" s="4">
        <f t="shared" si="56"/>
        <v>0</v>
      </c>
      <c r="O349" s="4">
        <f t="shared" si="57"/>
        <v>1</v>
      </c>
      <c r="P349" s="4">
        <f t="shared" si="58"/>
        <v>1</v>
      </c>
      <c r="Q349" s="4">
        <f t="shared" si="59"/>
        <v>0</v>
      </c>
      <c r="R349" s="4">
        <f>VLOOKUP(A349,'[1]Carcass '!$C$10:$E$105,3,FALSE)</f>
        <v>13.42</v>
      </c>
      <c r="S349" s="4">
        <f>VLOOKUP(A349,'[1]Carcass '!$C$10:$F$105,4,)</f>
        <v>3.62</v>
      </c>
      <c r="T349" s="4">
        <f>VLOOKUP(A349,'[1]Carcass '!$C$10:$G$397,5, FALSE)</f>
        <v>0.72</v>
      </c>
      <c r="U349" s="29">
        <f>VLOOKUP(A349,'[1]Carcass '!$C$10:$I$105,7,)</f>
        <v>374</v>
      </c>
    </row>
    <row r="350" spans="1:21" x14ac:dyDescent="0.2">
      <c r="A350" s="110">
        <v>4499</v>
      </c>
      <c r="B350" s="111">
        <f>VLOOKUP(A350,[1]Assign!$A:$D,4,FALSE)</f>
        <v>687</v>
      </c>
      <c r="C350" s="4">
        <v>3</v>
      </c>
      <c r="D350" s="4">
        <v>414</v>
      </c>
      <c r="E350" s="4" t="str">
        <f>VLOOKUP(A350,[1]Assign!$A:$I,9,FALSE)</f>
        <v>10% MDGS Variable</v>
      </c>
      <c r="F350" s="4">
        <f>VLOOKUP(A350,'[1]Carcass '!$C$10:$D$105,2,FALSE)</f>
        <v>822</v>
      </c>
      <c r="G350" s="4">
        <f t="shared" si="60"/>
        <v>1304.7619047619048</v>
      </c>
      <c r="H350" s="31">
        <f t="shared" si="54"/>
        <v>3.3942961800104658</v>
      </c>
      <c r="I350" s="4">
        <f>VLOOKUP(D350,'[1]DMO head'!A:B,2,FALSE)</f>
        <v>24.652027832021865</v>
      </c>
      <c r="J350" s="19">
        <f>('Final Performance'!G350-'Final Performance'!B350)</f>
        <v>617.76190476190482</v>
      </c>
      <c r="K350" s="4">
        <f t="shared" si="53"/>
        <v>25.059273377886591</v>
      </c>
      <c r="L350" s="4" t="str">
        <f>VLOOKUP('Final Performance'!A350,'[1]Carcass '!$C$10:$J$105,8,FALSE)</f>
        <v>A+</v>
      </c>
      <c r="M350" s="4">
        <f t="shared" si="55"/>
        <v>0</v>
      </c>
      <c r="N350" s="4">
        <f t="shared" si="56"/>
        <v>0</v>
      </c>
      <c r="O350" s="4">
        <f t="shared" si="57"/>
        <v>1</v>
      </c>
      <c r="P350" s="4">
        <f t="shared" si="58"/>
        <v>1</v>
      </c>
      <c r="Q350" s="4">
        <f t="shared" si="59"/>
        <v>0</v>
      </c>
      <c r="R350" s="4">
        <f>VLOOKUP(A350,'[1]Carcass '!$C$10:$E$105,3,FALSE)</f>
        <v>13.28</v>
      </c>
      <c r="S350" s="4">
        <f>VLOOKUP(A350,'[1]Carcass '!$C$10:$F$105,4,)</f>
        <v>3.9</v>
      </c>
      <c r="T350" s="4">
        <f>VLOOKUP(A350,'[1]Carcass '!$C$10:$G$397,5, FALSE)</f>
        <v>0.76800000000000002</v>
      </c>
      <c r="U350" s="29">
        <f>VLOOKUP(A350,'[1]Carcass '!$C$10:$I$105,7,)</f>
        <v>616</v>
      </c>
    </row>
    <row r="351" spans="1:21" x14ac:dyDescent="0.2">
      <c r="A351" s="110">
        <v>4567</v>
      </c>
      <c r="B351" s="111">
        <f>VLOOKUP(A351,[1]Assign!$A:$D,4,FALSE)</f>
        <v>704</v>
      </c>
      <c r="C351" s="4">
        <v>3</v>
      </c>
      <c r="D351" s="4">
        <v>405</v>
      </c>
      <c r="E351" s="4" t="str">
        <f>VLOOKUP(A351,[1]Assign!$A:$I,9,FALSE)</f>
        <v>10% MDGS Variable</v>
      </c>
      <c r="F351" s="4">
        <f>VLOOKUP(A351,'[1]Carcass '!$C$10:$D$105,2,FALSE)</f>
        <v>810</v>
      </c>
      <c r="G351" s="4">
        <f t="shared" si="60"/>
        <v>1285.7142857142858</v>
      </c>
      <c r="H351" s="31">
        <f t="shared" si="54"/>
        <v>3.1962323390894825</v>
      </c>
      <c r="I351" s="4">
        <f>VLOOKUP(D351,'[1]DMO head'!A:B,2,FALSE)</f>
        <v>23.841123317486328</v>
      </c>
      <c r="J351" s="19">
        <f>('Final Performance'!G351-'Final Performance'!B351)</f>
        <v>581.71428571428578</v>
      </c>
      <c r="K351" s="4">
        <f t="shared" si="53"/>
        <v>24.399617332108932</v>
      </c>
      <c r="L351" s="4" t="str">
        <f>VLOOKUP('Final Performance'!A351,'[1]Carcass '!$C$10:$J$105,8,FALSE)</f>
        <v>A+</v>
      </c>
      <c r="M351" s="4">
        <f t="shared" si="55"/>
        <v>0</v>
      </c>
      <c r="N351" s="4">
        <f t="shared" si="56"/>
        <v>0</v>
      </c>
      <c r="O351" s="4">
        <f t="shared" si="57"/>
        <v>1</v>
      </c>
      <c r="P351" s="4">
        <f t="shared" si="58"/>
        <v>1</v>
      </c>
      <c r="Q351" s="4">
        <f t="shared" si="59"/>
        <v>0</v>
      </c>
      <c r="R351" s="4">
        <f>VLOOKUP(A351,'[1]Carcass '!$C$10:$E$105,3,FALSE)</f>
        <v>13.21</v>
      </c>
      <c r="S351" s="4">
        <f>VLOOKUP(A351,'[1]Carcass '!$C$10:$F$105,4,)</f>
        <v>3.6</v>
      </c>
      <c r="T351" s="4">
        <f>VLOOKUP(A351,'[1]Carcass '!$C$10:$G$397,5, FALSE)</f>
        <v>0.752</v>
      </c>
      <c r="U351" s="29">
        <f>VLOOKUP(A351,'[1]Carcass '!$C$10:$I$105,7,)</f>
        <v>698</v>
      </c>
    </row>
    <row r="352" spans="1:21" x14ac:dyDescent="0.2">
      <c r="A352" s="110">
        <v>4335</v>
      </c>
      <c r="B352" s="111">
        <f>VLOOKUP(A352,[1]Assign!$A:$D,4,FALSE)</f>
        <v>706</v>
      </c>
      <c r="C352" s="4">
        <v>3</v>
      </c>
      <c r="D352" s="4">
        <v>406</v>
      </c>
      <c r="E352" s="4" t="str">
        <f>VLOOKUP(A352,[1]Assign!$A:$I,9,FALSE)</f>
        <v xml:space="preserve">10% MDGS Constant </v>
      </c>
      <c r="F352" s="4">
        <f>VLOOKUP(A352,'[1]Carcass '!$C$10:$D$105,2,FALSE)</f>
        <v>859</v>
      </c>
      <c r="G352" s="4">
        <f t="shared" si="60"/>
        <v>1363.4920634920634</v>
      </c>
      <c r="H352" s="31">
        <f t="shared" si="54"/>
        <v>3.6125937554508978</v>
      </c>
      <c r="I352" s="4">
        <f>VLOOKUP(D352,'[1]DMO head'!A:B,2,FALSE)</f>
        <v>24.456725328579239</v>
      </c>
      <c r="J352" s="19">
        <f>('Final Performance'!G352-'Final Performance'!B352)</f>
        <v>657.49206349206338</v>
      </c>
      <c r="K352" s="4">
        <f t="shared" si="53"/>
        <v>26.883896133213799</v>
      </c>
      <c r="L352" s="4">
        <f>VLOOKUP('Final Performance'!$A$352,'[1]Carcass '!$C$10:$J$105,8,FALSE)</f>
        <v>0</v>
      </c>
      <c r="M352" s="4">
        <f t="shared" si="55"/>
        <v>0</v>
      </c>
      <c r="N352" s="4">
        <f t="shared" si="56"/>
        <v>0</v>
      </c>
      <c r="O352" s="4">
        <f t="shared" si="57"/>
        <v>0</v>
      </c>
      <c r="P352" s="4">
        <f t="shared" si="58"/>
        <v>0</v>
      </c>
      <c r="Q352" s="4">
        <f t="shared" si="59"/>
        <v>0</v>
      </c>
      <c r="U352" s="29">
        <f>VLOOKUP(A352,'[1]Carcass '!$C$10:$I$105,7,)</f>
        <v>615</v>
      </c>
    </row>
    <row r="353" spans="1:21" x14ac:dyDescent="0.2">
      <c r="A353" s="110">
        <v>4677</v>
      </c>
      <c r="B353" s="111">
        <f>VLOOKUP(A353,[1]Assign!$A:$D,4,FALSE)</f>
        <v>709</v>
      </c>
      <c r="C353" s="4">
        <v>3</v>
      </c>
      <c r="D353" s="4">
        <v>407</v>
      </c>
      <c r="E353" s="4" t="str">
        <f>VLOOKUP(A353,[1]Assign!$A:$I,9,FALSE)</f>
        <v>25% MDGS Variable</v>
      </c>
      <c r="F353" s="4">
        <f>VLOOKUP(A353,'[1]Carcass '!$C$10:$D$105,2,FALSE)</f>
        <v>756</v>
      </c>
      <c r="G353" s="4">
        <f t="shared" si="60"/>
        <v>1200</v>
      </c>
      <c r="H353" s="31">
        <f t="shared" si="54"/>
        <v>2.697802197802198</v>
      </c>
      <c r="I353" s="4">
        <f>VLOOKUP(D353,'[1]DMO head'!A:B,2,FALSE)</f>
        <v>22.840113033442623</v>
      </c>
      <c r="J353" s="19">
        <f>('Final Performance'!G353-'Final Performance'!B353)</f>
        <v>491</v>
      </c>
      <c r="K353" s="4">
        <f t="shared" si="53"/>
        <v>21.497266641416136</v>
      </c>
      <c r="L353" s="4" t="str">
        <f>VLOOKUP('Final Performance'!A353,'[1]Carcass '!$C$10:$J$105,8,FALSE)</f>
        <v>A+</v>
      </c>
      <c r="M353" s="4">
        <f t="shared" si="55"/>
        <v>0</v>
      </c>
      <c r="N353" s="4">
        <f t="shared" si="56"/>
        <v>0</v>
      </c>
      <c r="O353" s="4">
        <f t="shared" si="57"/>
        <v>1</v>
      </c>
      <c r="P353" s="4">
        <f t="shared" si="58"/>
        <v>1</v>
      </c>
      <c r="Q353" s="4">
        <f t="shared" si="59"/>
        <v>0</v>
      </c>
      <c r="R353" s="4">
        <f>VLOOKUP(A353,'[1]Carcass '!$C$10:$E$105,3,FALSE)</f>
        <v>12.7</v>
      </c>
      <c r="S353" s="4">
        <f>VLOOKUP(A353,'[1]Carcass '!$C$10:$F$105,4,)</f>
        <v>3</v>
      </c>
      <c r="T353" s="4">
        <f>VLOOKUP(A353,'[1]Carcass '!$C$10:$G$397,5, FALSE)</f>
        <v>0.4</v>
      </c>
      <c r="U353" s="29">
        <f>VLOOKUP(A353,'[1]Carcass '!$C$10:$I$105,7,)</f>
        <v>361</v>
      </c>
    </row>
    <row r="354" spans="1:21" x14ac:dyDescent="0.2">
      <c r="A354" s="110">
        <v>4680</v>
      </c>
      <c r="B354" s="111">
        <f>VLOOKUP(A354,[1]Assign!$A:$D,4,FALSE)</f>
        <v>702</v>
      </c>
      <c r="C354" s="4">
        <v>3</v>
      </c>
      <c r="D354" s="4">
        <v>408</v>
      </c>
      <c r="E354" s="4" t="str">
        <f>VLOOKUP(A354,[1]Assign!$A:$I,9,FALSE)</f>
        <v>Control</v>
      </c>
      <c r="F354" s="4">
        <f>VLOOKUP(A354,'[1]Carcass '!$C$10:$D$105,2,FALSE)</f>
        <v>882</v>
      </c>
      <c r="G354" s="4">
        <f t="shared" si="60"/>
        <v>1400</v>
      </c>
      <c r="H354" s="31">
        <f t="shared" si="54"/>
        <v>3.8351648351648353</v>
      </c>
      <c r="I354" s="4">
        <f>VLOOKUP(D354,'[1]DMO head'!A:B,2,FALSE)</f>
        <v>22.630294042240436</v>
      </c>
      <c r="J354" s="19">
        <f>('Final Performance'!G354-'Final Performance'!B354)</f>
        <v>698</v>
      </c>
      <c r="K354" s="4">
        <f t="shared" si="53"/>
        <v>30.8436116073946</v>
      </c>
      <c r="L354" s="4" t="str">
        <f>VLOOKUP('Final Performance'!A354,'[1]Carcass '!$C$10:$J$105,8,FALSE)</f>
        <v>A+</v>
      </c>
      <c r="M354" s="4">
        <f t="shared" si="55"/>
        <v>0</v>
      </c>
      <c r="N354" s="4">
        <f t="shared" si="56"/>
        <v>0</v>
      </c>
      <c r="O354" s="4">
        <f t="shared" si="57"/>
        <v>1</v>
      </c>
      <c r="P354" s="4">
        <f t="shared" si="58"/>
        <v>1</v>
      </c>
      <c r="Q354" s="4">
        <f t="shared" si="59"/>
        <v>0</v>
      </c>
      <c r="R354" s="4">
        <f>VLOOKUP(A354,'[1]Carcass '!$C$10:$E$105,3,FALSE)</f>
        <v>13.83</v>
      </c>
      <c r="S354" s="4">
        <f>VLOOKUP(A354,'[1]Carcass '!$C$10:$F$105,4,)</f>
        <v>3.48</v>
      </c>
      <c r="T354" s="4">
        <f>VLOOKUP(A354,'[1]Carcass '!$C$10:$G$397,5, FALSE)</f>
        <v>0.68799999999999994</v>
      </c>
      <c r="U354" s="29">
        <f>VLOOKUP(A354,'[1]Carcass '!$C$10:$I$105,7,)</f>
        <v>460</v>
      </c>
    </row>
    <row r="355" spans="1:21" x14ac:dyDescent="0.2">
      <c r="A355" s="110">
        <v>4724</v>
      </c>
      <c r="B355" s="111">
        <f>VLOOKUP(A355,[1]Assign!$A:$D,4,FALSE)</f>
        <v>700</v>
      </c>
      <c r="C355" s="4">
        <v>3</v>
      </c>
      <c r="D355" s="4">
        <v>409</v>
      </c>
      <c r="E355" s="4" t="str">
        <f>VLOOKUP(A355,[1]Assign!$A:$I,9,FALSE)</f>
        <v xml:space="preserve">25% MDGS Constant </v>
      </c>
      <c r="F355" s="4">
        <f>VLOOKUP(A355,'[1]Carcass '!$C$10:$D$105,2,FALSE)</f>
        <v>929</v>
      </c>
      <c r="G355" s="4">
        <f t="shared" si="60"/>
        <v>1474.6031746031747</v>
      </c>
      <c r="H355" s="31">
        <f t="shared" si="54"/>
        <v>4.2560613989185425</v>
      </c>
      <c r="I355" s="4">
        <f>VLOOKUP(D355,'[1]DMO head'!A:B,2,FALSE)</f>
        <v>25.087520326338783</v>
      </c>
      <c r="J355" s="19">
        <f>('Final Performance'!G355-'Final Performance'!B355)</f>
        <v>774.60317460317469</v>
      </c>
      <c r="K355" s="4">
        <f t="shared" si="53"/>
        <v>30.87603575511357</v>
      </c>
      <c r="L355" s="4">
        <f>VLOOKUP('Final Performance'!A355,'[1]Carcass '!$C$10:$J$105,8,FALSE)</f>
        <v>0</v>
      </c>
      <c r="M355" s="4">
        <f t="shared" si="55"/>
        <v>0</v>
      </c>
      <c r="N355" s="4">
        <f t="shared" si="56"/>
        <v>0</v>
      </c>
      <c r="O355" s="4">
        <f t="shared" si="57"/>
        <v>0</v>
      </c>
      <c r="P355" s="4">
        <f t="shared" si="58"/>
        <v>0</v>
      </c>
      <c r="Q355" s="4">
        <f t="shared" si="59"/>
        <v>0</v>
      </c>
      <c r="R355" s="4">
        <f>VLOOKUP(A355,'[1]Carcass '!$C$10:$E$105,3,FALSE)</f>
        <v>14.97</v>
      </c>
      <c r="S355" s="4">
        <f>VLOOKUP(A355,'[1]Carcass '!$C$10:$F$105,4,)</f>
        <v>3.95</v>
      </c>
      <c r="T355" s="4">
        <f>VLOOKUP(A355,'[1]Carcass '!$C$10:$G$397,5, FALSE)</f>
        <v>0.82399999999999995</v>
      </c>
      <c r="U355" s="29">
        <f>VLOOKUP(A355,'[1]Carcass '!$C$10:$I$105,7,)</f>
        <v>548</v>
      </c>
    </row>
    <row r="356" spans="1:21" x14ac:dyDescent="0.2">
      <c r="A356" s="110">
        <v>4625</v>
      </c>
      <c r="B356" s="111">
        <f>VLOOKUP(A356,[1]Assign!$A:$D,4,FALSE)</f>
        <v>713</v>
      </c>
      <c r="C356" s="4">
        <v>3</v>
      </c>
      <c r="D356" s="4">
        <v>410</v>
      </c>
      <c r="E356" s="4" t="str">
        <f>VLOOKUP(A356,[1]Assign!$A:$I,9,FALSE)</f>
        <v>25% MDGS Variable</v>
      </c>
      <c r="F356" s="4">
        <f>VLOOKUP(A356,'[1]Carcass '!$C$10:$D$105,2,FALSE)</f>
        <v>940</v>
      </c>
      <c r="G356" s="4">
        <f t="shared" si="60"/>
        <v>1492.063492063492</v>
      </c>
      <c r="H356" s="31">
        <f t="shared" si="54"/>
        <v>4.2805686377114949</v>
      </c>
      <c r="I356" s="4">
        <f>VLOOKUP(D356,'[1]DMO head'!A:B,2,FALSE)</f>
        <v>23.110230187377059</v>
      </c>
      <c r="J356" s="19">
        <f>('Final Performance'!G356-'Final Performance'!B356)</f>
        <v>779.06349206349205</v>
      </c>
      <c r="K356" s="4">
        <f t="shared" si="53"/>
        <v>33.710762971500863</v>
      </c>
      <c r="L356" s="4">
        <f>VLOOKUP('Final Performance'!A356,'[1]Carcass '!$C$10:$J$105,8,FALSE)</f>
        <v>0</v>
      </c>
      <c r="M356" s="4">
        <f t="shared" si="55"/>
        <v>0</v>
      </c>
      <c r="N356" s="4">
        <f t="shared" si="56"/>
        <v>0</v>
      </c>
      <c r="O356" s="4">
        <f t="shared" si="57"/>
        <v>0</v>
      </c>
      <c r="P356" s="4">
        <f t="shared" si="58"/>
        <v>0</v>
      </c>
      <c r="Q356" s="4">
        <f t="shared" si="59"/>
        <v>0</v>
      </c>
      <c r="R356" s="4">
        <f>VLOOKUP(A356,'[1]Carcass '!$C$10:$E$105,3,FALSE)</f>
        <v>15.8</v>
      </c>
      <c r="S356" s="4">
        <f>VLOOKUP(A356,'[1]Carcass '!$C$10:$F$105,4,)</f>
        <v>3.26</v>
      </c>
      <c r="T356" s="4">
        <f>VLOOKUP(A356,'[1]Carcass '!$C$10:$G$397,5, FALSE)</f>
        <v>0.57199999999999995</v>
      </c>
      <c r="U356" s="29">
        <f>VLOOKUP(A356,'[1]Carcass '!$C$10:$I$105,7,)</f>
        <v>623</v>
      </c>
    </row>
    <row r="357" spans="1:21" x14ac:dyDescent="0.2">
      <c r="A357" s="110">
        <v>4403</v>
      </c>
      <c r="B357" s="111">
        <f>VLOOKUP(A357,[1]Assign!$A:$D,4,FALSE)</f>
        <v>709</v>
      </c>
      <c r="C357" s="4">
        <v>3</v>
      </c>
      <c r="D357" s="4">
        <v>411</v>
      </c>
      <c r="E357" s="4" t="str">
        <f>VLOOKUP(A357,[1]Assign!$A:$I,9,FALSE)</f>
        <v xml:space="preserve">10% MDGS Constant </v>
      </c>
      <c r="F357" s="4">
        <f>VLOOKUP(A357,'[1]Carcass '!$C$10:$D$105,2,FALSE)</f>
        <v>921</v>
      </c>
      <c r="G357" s="4">
        <f t="shared" si="60"/>
        <v>1461.9047619047619</v>
      </c>
      <c r="H357" s="31">
        <f t="shared" si="54"/>
        <v>4.1368393511250652</v>
      </c>
      <c r="I357" s="4">
        <f>VLOOKUP(D357,'[1]DMO head'!A:B,2,FALSE)</f>
        <v>23.277453122155439</v>
      </c>
      <c r="J357" s="19">
        <f>('Final Performance'!G357-'Final Performance'!B357)</f>
        <v>752.90476190476193</v>
      </c>
      <c r="K357" s="4">
        <f t="shared" si="53"/>
        <v>32.344808427007358</v>
      </c>
      <c r="L357" s="4" t="str">
        <f>VLOOKUP('Final Performance'!A357,'[1]Carcass '!$C$10:$J$105,8,FALSE)</f>
        <v>A+</v>
      </c>
      <c r="M357" s="4">
        <f t="shared" si="55"/>
        <v>0</v>
      </c>
      <c r="N357" s="4">
        <f t="shared" si="56"/>
        <v>0</v>
      </c>
      <c r="O357" s="4">
        <f t="shared" si="57"/>
        <v>1</v>
      </c>
      <c r="P357" s="4">
        <f t="shared" si="58"/>
        <v>1</v>
      </c>
      <c r="Q357" s="4">
        <f t="shared" si="59"/>
        <v>0</v>
      </c>
      <c r="R357" s="4">
        <f>VLOOKUP(A357,'[1]Carcass '!$C$10:$E$105,3,FALSE)</f>
        <v>12.25</v>
      </c>
      <c r="S357" s="4">
        <f>VLOOKUP(A357,'[1]Carcass '!$C$10:$F$105,4,)</f>
        <v>4.2</v>
      </c>
      <c r="T357" s="4">
        <f>VLOOKUP(A357,'[1]Carcass '!$C$10:$G$397,5, FALSE)</f>
        <v>0.88800000000000001</v>
      </c>
      <c r="U357" s="29">
        <f>VLOOKUP(A357,'[1]Carcass '!$C$10:$I$105,7,)</f>
        <v>608</v>
      </c>
    </row>
    <row r="358" spans="1:21" x14ac:dyDescent="0.2">
      <c r="A358" s="110">
        <v>4397</v>
      </c>
      <c r="B358" s="111">
        <f>VLOOKUP(A358,[1]Assign!$A:$D,4,FALSE)</f>
        <v>694</v>
      </c>
      <c r="C358" s="4">
        <v>3</v>
      </c>
      <c r="D358" s="4">
        <v>412</v>
      </c>
      <c r="E358" s="4" t="str">
        <f>VLOOKUP(A358,[1]Assign!$A:$I,9,FALSE)</f>
        <v>Control</v>
      </c>
      <c r="F358" s="4">
        <f>VLOOKUP(A358,'[1]Carcass '!$C$10:$D$105,2,FALSE)</f>
        <v>871</v>
      </c>
      <c r="G358" s="4">
        <f t="shared" si="60"/>
        <v>1382.5396825396824</v>
      </c>
      <c r="H358" s="31">
        <f t="shared" si="54"/>
        <v>3.7831850688993538</v>
      </c>
      <c r="I358" s="4">
        <f>VLOOKUP(D358,'[1]DMO head'!A:B,2,FALSE)</f>
        <v>23.149248339458101</v>
      </c>
      <c r="J358" s="19">
        <f>('Final Performance'!G358-'Final Performance'!B358)</f>
        <v>688.53968253968242</v>
      </c>
      <c r="K358" s="4">
        <f t="shared" ref="K358:K388" si="61">J358/I358</f>
        <v>29.743500628746567</v>
      </c>
      <c r="L358" s="4" t="str">
        <f>VLOOKUP('Final Performance'!A358,'[1]Carcass '!$C$10:$J$105,8,FALSE)</f>
        <v>A-</v>
      </c>
      <c r="M358" s="4">
        <f t="shared" si="55"/>
        <v>0</v>
      </c>
      <c r="N358" s="4">
        <f t="shared" si="56"/>
        <v>1</v>
      </c>
      <c r="O358" s="4">
        <f t="shared" si="57"/>
        <v>0</v>
      </c>
      <c r="P358" s="4">
        <f t="shared" si="58"/>
        <v>1</v>
      </c>
      <c r="Q358" s="4">
        <f t="shared" si="59"/>
        <v>0</v>
      </c>
      <c r="R358" s="4">
        <f>VLOOKUP(A358,'[1]Carcass '!$C$10:$E$105,3,FALSE)</f>
        <v>12.9</v>
      </c>
      <c r="S358" s="4">
        <f>VLOOKUP(A358,'[1]Carcass '!$C$10:$F$105,4,)</f>
        <v>3.23</v>
      </c>
      <c r="T358" s="4">
        <f>VLOOKUP(A358,'[1]Carcass '!$C$10:$G$397,5, FALSE)</f>
        <v>0.628</v>
      </c>
      <c r="U358" s="29">
        <f>VLOOKUP(A358,'[1]Carcass '!$C$10:$I$105,7,)</f>
        <v>546</v>
      </c>
    </row>
    <row r="359" spans="1:21" x14ac:dyDescent="0.2">
      <c r="A359" s="110">
        <v>4405</v>
      </c>
      <c r="B359" s="111">
        <f>VLOOKUP(A359,[1]Assign!$A:$D,4,FALSE)</f>
        <v>702</v>
      </c>
      <c r="C359" s="4">
        <v>3</v>
      </c>
      <c r="D359" s="4">
        <v>413</v>
      </c>
      <c r="E359" s="4" t="str">
        <f>VLOOKUP(A359,[1]Assign!$A:$I,9,FALSE)</f>
        <v xml:space="preserve">25% MDGS Constant </v>
      </c>
      <c r="F359" s="4">
        <f>VLOOKUP(A359,'[1]Carcass '!$C$10:$D$105,2,FALSE)</f>
        <v>837</v>
      </c>
      <c r="G359" s="4">
        <f t="shared" si="60"/>
        <v>1328.5714285714287</v>
      </c>
      <c r="H359" s="31">
        <f t="shared" ref="H359:H389" si="62">(G359-B359)/182</f>
        <v>3.4427001569858717</v>
      </c>
      <c r="I359" s="4">
        <f>VLOOKUP(D359,'[1]DMO head'!A:B,2,FALSE)</f>
        <v>24.396522174486932</v>
      </c>
      <c r="J359" s="19">
        <f>('Final Performance'!G359-'Final Performance'!B359)</f>
        <v>626.57142857142867</v>
      </c>
      <c r="K359" s="4">
        <f t="shared" si="61"/>
        <v>25.682817579084126</v>
      </c>
      <c r="L359" s="4">
        <f>VLOOKUP('Final Performance'!A359,'[1]Carcass '!$C$10:$J$105,8,FALSE)</f>
        <v>0</v>
      </c>
      <c r="M359" s="4">
        <f t="shared" si="55"/>
        <v>0</v>
      </c>
      <c r="N359" s="4">
        <f t="shared" si="56"/>
        <v>0</v>
      </c>
      <c r="O359" s="4">
        <f t="shared" si="57"/>
        <v>0</v>
      </c>
      <c r="P359" s="4">
        <f t="shared" si="58"/>
        <v>0</v>
      </c>
      <c r="Q359" s="4">
        <f t="shared" si="59"/>
        <v>0</v>
      </c>
      <c r="R359" s="4">
        <f>VLOOKUP(A359,'[1]Carcass '!$C$10:$E$105,3,FALSE)</f>
        <v>14.97</v>
      </c>
      <c r="S359" s="4">
        <f>VLOOKUP(A359,'[1]Carcass '!$C$10:$F$105,4,)</f>
        <v>3.5</v>
      </c>
      <c r="T359" s="4">
        <f>VLOOKUP(A359,'[1]Carcass '!$C$10:$G$397,5, FALSE)</f>
        <v>0.66800000000000004</v>
      </c>
      <c r="U359" s="29">
        <f>VLOOKUP(A359,'[1]Carcass '!$C$10:$I$105,7,)</f>
        <v>518</v>
      </c>
    </row>
    <row r="360" spans="1:21" x14ac:dyDescent="0.2">
      <c r="A360" s="110">
        <v>4392</v>
      </c>
      <c r="B360" s="111">
        <f>VLOOKUP(A360,[1]Assign!$A:$D,4,FALSE)</f>
        <v>699</v>
      </c>
      <c r="C360" s="4">
        <v>3</v>
      </c>
      <c r="D360" s="4">
        <v>414</v>
      </c>
      <c r="E360" s="4" t="str">
        <f>VLOOKUP(A360,[1]Assign!$A:$I,9,FALSE)</f>
        <v>10% MDGS Variable</v>
      </c>
      <c r="F360" s="4">
        <f>VLOOKUP(A360,'[1]Carcass '!$C$10:$D$105,2,FALSE)</f>
        <v>886</v>
      </c>
      <c r="G360" s="4">
        <f t="shared" si="60"/>
        <v>1406.3492063492063</v>
      </c>
      <c r="H360" s="31">
        <f t="shared" si="62"/>
        <v>3.8865341008198149</v>
      </c>
      <c r="I360" s="4">
        <f>VLOOKUP(D360,'[1]DMO head'!A:B,2,FALSE)</f>
        <v>24.652027832021865</v>
      </c>
      <c r="J360" s="19">
        <f>('Final Performance'!G360-'Final Performance'!B360)</f>
        <v>707.34920634920627</v>
      </c>
      <c r="K360" s="4">
        <f t="shared" si="61"/>
        <v>28.693347710340962</v>
      </c>
      <c r="L360" s="4" t="str">
        <f>VLOOKUP('Final Performance'!A360,'[1]Carcass '!$C$10:$J$105,8,FALSE)</f>
        <v>A+</v>
      </c>
      <c r="M360" s="4">
        <f t="shared" si="55"/>
        <v>0</v>
      </c>
      <c r="N360" s="4">
        <f t="shared" si="56"/>
        <v>0</v>
      </c>
      <c r="O360" s="4">
        <f t="shared" si="57"/>
        <v>1</v>
      </c>
      <c r="P360" s="4">
        <f t="shared" si="58"/>
        <v>1</v>
      </c>
      <c r="Q360" s="4">
        <f t="shared" si="59"/>
        <v>0</v>
      </c>
      <c r="R360" s="4">
        <f>VLOOKUP(A360,'[1]Carcass '!$C$10:$E$105,3,FALSE)</f>
        <v>13.26</v>
      </c>
      <c r="S360" s="4">
        <f>VLOOKUP(A360,'[1]Carcass '!$C$10:$F$105,4,)</f>
        <v>3.46</v>
      </c>
      <c r="T360" s="4">
        <f>VLOOKUP(A360,'[1]Carcass '!$C$10:$G$397,5, FALSE)</f>
        <v>0.58399999999999996</v>
      </c>
      <c r="U360" s="29">
        <f>VLOOKUP(A360,'[1]Carcass '!$C$10:$I$105,7,)</f>
        <v>651</v>
      </c>
    </row>
    <row r="361" spans="1:21" x14ac:dyDescent="0.2">
      <c r="A361" s="110">
        <v>4685</v>
      </c>
      <c r="B361" s="111">
        <f>VLOOKUP(A361,[1]Assign!$A:$D,4,FALSE)</f>
        <v>712</v>
      </c>
      <c r="C361" s="4">
        <v>3</v>
      </c>
      <c r="D361" s="4">
        <v>405</v>
      </c>
      <c r="E361" s="4" t="str">
        <f>VLOOKUP(A361,[1]Assign!$A:$I,9,FALSE)</f>
        <v>10% MDGS Variable</v>
      </c>
      <c r="F361" s="4">
        <f>VLOOKUP(A361,'[1]Carcass '!$C$10:$D$105,2,FALSE)</f>
        <v>891</v>
      </c>
      <c r="G361" s="4">
        <f t="shared" si="60"/>
        <v>1414.2857142857142</v>
      </c>
      <c r="H361" s="31">
        <f t="shared" si="62"/>
        <v>3.8587127158555727</v>
      </c>
      <c r="I361" s="4">
        <f>VLOOKUP(D361,'[1]DMO head'!A:B,2,FALSE)</f>
        <v>23.841123317486328</v>
      </c>
      <c r="J361" s="19">
        <f>('Final Performance'!G361-'Final Performance'!B361)</f>
        <v>702.28571428571422</v>
      </c>
      <c r="K361" s="4">
        <f t="shared" si="61"/>
        <v>29.456905403891817</v>
      </c>
      <c r="L361" s="4">
        <f>VLOOKUP('Final Performance'!A361,'[1]Carcass '!$C$10:$J$105,8,FALSE)</f>
        <v>0</v>
      </c>
      <c r="M361" s="4">
        <f t="shared" si="55"/>
        <v>0</v>
      </c>
      <c r="N361" s="4">
        <f t="shared" si="56"/>
        <v>0</v>
      </c>
      <c r="O361" s="4">
        <f t="shared" si="57"/>
        <v>0</v>
      </c>
      <c r="P361" s="4">
        <f t="shared" si="58"/>
        <v>0</v>
      </c>
      <c r="Q361" s="4">
        <f t="shared" si="59"/>
        <v>0</v>
      </c>
      <c r="R361" s="4">
        <f>VLOOKUP(A361,'[1]Carcass '!$C$10:$E$105,3,FALSE)</f>
        <v>10.09</v>
      </c>
      <c r="S361" s="4">
        <f>VLOOKUP(A361,'[1]Carcass '!$C$10:$F$105,4,)</f>
        <v>4.21</v>
      </c>
      <c r="T361" s="4">
        <f>VLOOKUP(A361,'[1]Carcass '!$C$10:$G$397,5, FALSE)</f>
        <v>0.88400000000000001</v>
      </c>
      <c r="U361" s="29">
        <f>VLOOKUP(A361,'[1]Carcass '!$C$10:$I$105,7,)</f>
        <v>388</v>
      </c>
    </row>
    <row r="362" spans="1:21" x14ac:dyDescent="0.2">
      <c r="A362" s="110">
        <v>4526</v>
      </c>
      <c r="B362" s="111">
        <f>VLOOKUP(A362,[1]Assign!$A:$D,4,FALSE)</f>
        <v>722</v>
      </c>
      <c r="C362" s="4">
        <v>3</v>
      </c>
      <c r="D362" s="4">
        <v>406</v>
      </c>
      <c r="E362" s="4" t="str">
        <f>VLOOKUP(A362,[1]Assign!$A:$I,9,FALSE)</f>
        <v xml:space="preserve">10% MDGS Constant </v>
      </c>
      <c r="F362" s="4">
        <f>VLOOKUP(A362,'[1]Carcass '!$C$10:$D$105,2,FALSE)</f>
        <v>947</v>
      </c>
      <c r="G362" s="4">
        <f t="shared" si="60"/>
        <v>1503.1746031746031</v>
      </c>
      <c r="H362" s="31">
        <f t="shared" si="62"/>
        <v>4.2921681493110064</v>
      </c>
      <c r="I362" s="4">
        <f>VLOOKUP(D362,'[1]DMO head'!A:B,2,FALSE)</f>
        <v>24.456725328579239</v>
      </c>
      <c r="J362" s="19">
        <f>('Final Performance'!G362-'Final Performance'!B362)</f>
        <v>781.17460317460313</v>
      </c>
      <c r="K362" s="4">
        <f t="shared" si="61"/>
        <v>31.941095656896916</v>
      </c>
      <c r="L362" s="4" t="str">
        <f>VLOOKUP('Final Performance'!A362,'[1]Carcass '!$C$10:$J$105,8,FALSE)</f>
        <v>A+</v>
      </c>
      <c r="M362" s="4">
        <f t="shared" si="55"/>
        <v>0</v>
      </c>
      <c r="N362" s="4">
        <f t="shared" si="56"/>
        <v>0</v>
      </c>
      <c r="O362" s="4">
        <f t="shared" si="57"/>
        <v>1</v>
      </c>
      <c r="P362" s="4">
        <f t="shared" si="58"/>
        <v>1</v>
      </c>
      <c r="Q362" s="4">
        <f t="shared" si="59"/>
        <v>0</v>
      </c>
      <c r="R362" s="4">
        <f>VLOOKUP(A362,'[1]Carcass '!$C$10:$E$105,3,FALSE)</f>
        <v>13.27</v>
      </c>
      <c r="S362" s="4">
        <f>VLOOKUP(A362,'[1]Carcass '!$C$10:$F$105,4,)</f>
        <v>3.93</v>
      </c>
      <c r="T362" s="4">
        <f>VLOOKUP(A362,'[1]Carcass '!$C$10:$G$397,5, FALSE)</f>
        <v>0.85199999999999998</v>
      </c>
      <c r="U362" s="29">
        <f>VLOOKUP(A362,'[1]Carcass '!$C$10:$I$105,7,)</f>
        <v>498</v>
      </c>
    </row>
    <row r="363" spans="1:21" x14ac:dyDescent="0.2">
      <c r="A363" s="110">
        <v>4745</v>
      </c>
      <c r="B363" s="111">
        <f>VLOOKUP(A363,[1]Assign!$A:$D,4,FALSE)</f>
        <v>727</v>
      </c>
      <c r="C363" s="4">
        <v>3</v>
      </c>
      <c r="D363" s="4">
        <v>407</v>
      </c>
      <c r="E363" s="4" t="str">
        <f>VLOOKUP(A363,[1]Assign!$A:$I,9,FALSE)</f>
        <v>25% MDGS Variable</v>
      </c>
      <c r="F363" s="4">
        <f>VLOOKUP(A363,'[1]Carcass '!$C$10:$D$105,2,FALSE)</f>
        <v>804</v>
      </c>
      <c r="G363" s="4">
        <f t="shared" si="60"/>
        <v>1276.1904761904761</v>
      </c>
      <c r="H363" s="31">
        <f t="shared" si="62"/>
        <v>3.0175300889586603</v>
      </c>
      <c r="I363" s="4">
        <f>VLOOKUP(D363,'[1]DMO head'!A:B,2,FALSE)</f>
        <v>22.840113033442623</v>
      </c>
      <c r="J363" s="19">
        <f>('Final Performance'!G363-'Final Performance'!B363)</f>
        <v>549.19047619047615</v>
      </c>
      <c r="K363" s="4">
        <f t="shared" si="61"/>
        <v>24.044998174323759</v>
      </c>
      <c r="L363" s="4">
        <f>VLOOKUP('Final Performance'!A363,'[1]Carcass '!$C$10:$J$105,8,FALSE)</f>
        <v>0</v>
      </c>
      <c r="M363" s="4">
        <f t="shared" si="55"/>
        <v>0</v>
      </c>
      <c r="N363" s="4">
        <f t="shared" si="56"/>
        <v>0</v>
      </c>
      <c r="O363" s="4">
        <f t="shared" si="57"/>
        <v>0</v>
      </c>
      <c r="P363" s="4">
        <f t="shared" si="58"/>
        <v>0</v>
      </c>
      <c r="Q363" s="4">
        <f t="shared" si="59"/>
        <v>0</v>
      </c>
      <c r="R363" s="4">
        <f>VLOOKUP(A363,'[1]Carcass '!$C$10:$E$105,3,FALSE)</f>
        <v>13.32</v>
      </c>
      <c r="S363" s="4">
        <f>VLOOKUP(A363,'[1]Carcass '!$C$10:$F$105,4,)</f>
        <v>3.33</v>
      </c>
      <c r="T363" s="4">
        <f>VLOOKUP(A363,'[1]Carcass '!$C$10:$G$397,5, FALSE)</f>
        <v>0.53200000000000003</v>
      </c>
      <c r="U363" s="29">
        <f>VLOOKUP(A363,'[1]Carcass '!$C$10:$I$105,7,)</f>
        <v>461</v>
      </c>
    </row>
    <row r="364" spans="1:21" x14ac:dyDescent="0.2">
      <c r="A364" s="110">
        <v>4538</v>
      </c>
      <c r="B364" s="111">
        <f>VLOOKUP(A364,[1]Assign!$A:$D,4,FALSE)</f>
        <v>706</v>
      </c>
      <c r="C364" s="4">
        <v>3</v>
      </c>
      <c r="D364" s="4">
        <v>408</v>
      </c>
      <c r="E364" s="4" t="str">
        <f>VLOOKUP(A364,[1]Assign!$A:$I,9,FALSE)</f>
        <v>Control</v>
      </c>
      <c r="F364" s="4">
        <f>VLOOKUP(A364,'[1]Carcass '!$C$10:$D$105,2,FALSE)</f>
        <v>716</v>
      </c>
      <c r="G364" s="4">
        <f t="shared" si="60"/>
        <v>1136.5079365079364</v>
      </c>
      <c r="H364" s="31">
        <f t="shared" si="62"/>
        <v>2.365428222571079</v>
      </c>
      <c r="I364" s="4">
        <f>VLOOKUP(D364,'[1]DMO head'!A:B,2,FALSE)</f>
        <v>22.630294042240436</v>
      </c>
      <c r="J364" s="19">
        <f>('Final Performance'!G364-'Final Performance'!B364)</f>
        <v>430.50793650793639</v>
      </c>
      <c r="K364" s="4">
        <f t="shared" si="61"/>
        <v>19.023523764400693</v>
      </c>
      <c r="L364" s="4" t="str">
        <f>VLOOKUP('Final Performance'!A364,'[1]Carcass '!$C$10:$J$105,8,FALSE)</f>
        <v>A+</v>
      </c>
      <c r="M364" s="4">
        <f t="shared" si="55"/>
        <v>0</v>
      </c>
      <c r="N364" s="4">
        <f t="shared" si="56"/>
        <v>0</v>
      </c>
      <c r="O364" s="4">
        <f t="shared" si="57"/>
        <v>1</v>
      </c>
      <c r="P364" s="4">
        <f t="shared" si="58"/>
        <v>1</v>
      </c>
      <c r="Q364" s="4">
        <f t="shared" si="59"/>
        <v>0</v>
      </c>
      <c r="R364" s="4">
        <f>VLOOKUP(A364,'[1]Carcass '!$C$10:$E$105,3,FALSE)</f>
        <v>11.14</v>
      </c>
      <c r="S364" s="4">
        <f>VLOOKUP(A364,'[1]Carcass '!$C$10:$F$105,4,)</f>
        <v>3.39</v>
      </c>
      <c r="T364" s="4">
        <f>VLOOKUP(A364,'[1]Carcass '!$C$10:$G$397,5, FALSE)</f>
        <v>0.79200000000000004</v>
      </c>
      <c r="U364" s="29">
        <f>VLOOKUP(A364,'[1]Carcass '!$C$10:$I$105,7,)</f>
        <v>580</v>
      </c>
    </row>
    <row r="365" spans="1:21" x14ac:dyDescent="0.2">
      <c r="A365" s="110">
        <v>4688</v>
      </c>
      <c r="B365" s="111">
        <f>VLOOKUP(A365,[1]Assign!$A:$D,4,FALSE)</f>
        <v>708</v>
      </c>
      <c r="C365" s="4">
        <v>3</v>
      </c>
      <c r="D365" s="4">
        <v>409</v>
      </c>
      <c r="E365" s="4" t="str">
        <f>VLOOKUP(A365,[1]Assign!$A:$I,9,FALSE)</f>
        <v xml:space="preserve">25% MDGS Constant </v>
      </c>
      <c r="F365" s="4">
        <f>VLOOKUP(A365,'[1]Carcass '!$C$10:$D$105,2,FALSE)</f>
        <v>811</v>
      </c>
      <c r="G365" s="4">
        <f t="shared" si="60"/>
        <v>1287.3015873015872</v>
      </c>
      <c r="H365" s="31">
        <f t="shared" si="62"/>
        <v>3.1829757544043256</v>
      </c>
      <c r="I365" s="4">
        <f>VLOOKUP(D365,'[1]DMO head'!A:B,2,FALSE)</f>
        <v>25.087520326338783</v>
      </c>
      <c r="J365" s="19">
        <f>('Final Performance'!G365-'Final Performance'!B365)</f>
        <v>579.30158730158723</v>
      </c>
      <c r="K365" s="4">
        <f t="shared" si="61"/>
        <v>23.091225428660341</v>
      </c>
      <c r="L365" s="4" t="str">
        <f>VLOOKUP('Final Performance'!A365,'[1]Carcass '!$C$10:$J$105,8,FALSE)</f>
        <v>A+</v>
      </c>
      <c r="M365" s="4">
        <f t="shared" si="55"/>
        <v>0</v>
      </c>
      <c r="N365" s="4">
        <f t="shared" si="56"/>
        <v>0</v>
      </c>
      <c r="O365" s="4">
        <f t="shared" si="57"/>
        <v>1</v>
      </c>
      <c r="P365" s="4">
        <f t="shared" si="58"/>
        <v>1</v>
      </c>
      <c r="Q365" s="4">
        <f t="shared" si="59"/>
        <v>0</v>
      </c>
      <c r="R365" s="4">
        <f>VLOOKUP(A365,'[1]Carcass '!$C$10:$E$105,3,FALSE)</f>
        <v>17.440000000000001</v>
      </c>
      <c r="S365" s="4">
        <f>VLOOKUP(A365,'[1]Carcass '!$C$10:$F$105,4,)</f>
        <v>2.82</v>
      </c>
      <c r="T365" s="4">
        <f>VLOOKUP(A365,'[1]Carcass '!$C$10:$G$397,5, FALSE)</f>
        <v>0.34399999999999997</v>
      </c>
      <c r="U365" s="29">
        <f>VLOOKUP(A365,'[1]Carcass '!$C$10:$I$105,7,)</f>
        <v>386</v>
      </c>
    </row>
    <row r="366" spans="1:21" x14ac:dyDescent="0.2">
      <c r="A366" s="110">
        <v>4377</v>
      </c>
      <c r="B366" s="111">
        <f>VLOOKUP(A366,[1]Assign!$A:$D,4,FALSE)</f>
        <v>713</v>
      </c>
      <c r="C366" s="4">
        <v>3</v>
      </c>
      <c r="D366" s="4">
        <v>410</v>
      </c>
      <c r="E366" s="4" t="str">
        <f>VLOOKUP(A366,[1]Assign!$A:$I,9,FALSE)</f>
        <v>25% MDGS Variable</v>
      </c>
      <c r="F366" s="4">
        <f>VLOOKUP(A366,'[1]Carcass '!$C$10:$D$105,2,FALSE)</f>
        <v>823</v>
      </c>
      <c r="G366" s="4">
        <f t="shared" si="60"/>
        <v>1306.3492063492063</v>
      </c>
      <c r="H366" s="31">
        <f t="shared" si="62"/>
        <v>3.2601604744461885</v>
      </c>
      <c r="I366" s="4">
        <f>VLOOKUP(D366,'[1]DMO head'!A:B,2,FALSE)</f>
        <v>23.110230187377059</v>
      </c>
      <c r="J366" s="19">
        <f>('Final Performance'!G366-'Final Performance'!B366)</f>
        <v>593.34920634920627</v>
      </c>
      <c r="K366" s="4">
        <f t="shared" si="61"/>
        <v>25.674742377654766</v>
      </c>
      <c r="L366" s="4" t="str">
        <f>VLOOKUP('Final Performance'!A366,'[1]Carcass '!$C$10:$J$105,8,FALSE)</f>
        <v>A+</v>
      </c>
      <c r="M366" s="4">
        <f t="shared" si="55"/>
        <v>0</v>
      </c>
      <c r="N366" s="4">
        <f t="shared" si="56"/>
        <v>0</v>
      </c>
      <c r="O366" s="4">
        <f t="shared" si="57"/>
        <v>1</v>
      </c>
      <c r="P366" s="4">
        <f t="shared" si="58"/>
        <v>1</v>
      </c>
      <c r="Q366" s="4">
        <f t="shared" si="59"/>
        <v>0</v>
      </c>
      <c r="R366" s="4">
        <f>VLOOKUP(A366,'[1]Carcass '!$C$10:$E$105,3,FALSE)</f>
        <v>15.41</v>
      </c>
      <c r="S366" s="4">
        <f>VLOOKUP(A366,'[1]Carcass '!$C$10:$F$105,4,)</f>
        <v>2.95</v>
      </c>
      <c r="T366" s="4">
        <f>VLOOKUP(A366,'[1]Carcass '!$C$10:$G$397,5, FALSE)</f>
        <v>0.60399999999999998</v>
      </c>
      <c r="U366" s="29">
        <f>VLOOKUP(A366,'[1]Carcass '!$C$10:$I$105,7,)</f>
        <v>524</v>
      </c>
    </row>
    <row r="367" spans="1:21" x14ac:dyDescent="0.2">
      <c r="A367" s="110">
        <v>4367</v>
      </c>
      <c r="B367" s="111">
        <f>VLOOKUP(A367,[1]Assign!$A:$D,4,FALSE)</f>
        <v>709</v>
      </c>
      <c r="C367" s="4">
        <v>3</v>
      </c>
      <c r="D367" s="4">
        <v>411</v>
      </c>
      <c r="E367" s="4" t="str">
        <f>VLOOKUP(A367,[1]Assign!$A:$I,9,FALSE)</f>
        <v xml:space="preserve">10% MDGS Constant </v>
      </c>
      <c r="F367" s="4">
        <f>VLOOKUP(A367,'[1]Carcass '!$C$10:$D$105,2,FALSE)</f>
        <v>878</v>
      </c>
      <c r="G367" s="4">
        <f t="shared" si="60"/>
        <v>1393.6507936507937</v>
      </c>
      <c r="H367" s="31">
        <f t="shared" si="62"/>
        <v>3.7618175475318338</v>
      </c>
      <c r="I367" s="4">
        <f>VLOOKUP(D367,'[1]DMO head'!A:B,2,FALSE)</f>
        <v>23.277453122155439</v>
      </c>
      <c r="J367" s="19">
        <f>('Final Performance'!G367-'Final Performance'!B367)</f>
        <v>684.65079365079373</v>
      </c>
      <c r="K367" s="4">
        <f t="shared" si="61"/>
        <v>29.412616150825553</v>
      </c>
      <c r="L367" s="4" t="str">
        <f>VLOOKUP('Final Performance'!A367,'[1]Carcass '!$C$10:$J$105,8,FALSE)</f>
        <v>A-</v>
      </c>
      <c r="M367" s="4">
        <f t="shared" si="55"/>
        <v>0</v>
      </c>
      <c r="N367" s="4">
        <f t="shared" si="56"/>
        <v>1</v>
      </c>
      <c r="O367" s="4">
        <f t="shared" si="57"/>
        <v>0</v>
      </c>
      <c r="P367" s="4">
        <f t="shared" si="58"/>
        <v>1</v>
      </c>
      <c r="Q367" s="4">
        <f t="shared" si="59"/>
        <v>0</v>
      </c>
      <c r="R367" s="4">
        <f>VLOOKUP(A367,'[1]Carcass '!$C$10:$E$105,3,FALSE)</f>
        <v>14.01</v>
      </c>
      <c r="S367" s="4">
        <f>VLOOKUP(A367,'[1]Carcass '!$C$10:$F$105,4,)</f>
        <v>3.56</v>
      </c>
      <c r="T367" s="4">
        <f>VLOOKUP(A367,'[1]Carcass '!$C$10:$G$397,5, FALSE)</f>
        <v>0.72799999999999998</v>
      </c>
      <c r="U367" s="29">
        <f>VLOOKUP(A367,'[1]Carcass '!$C$10:$I$105,7,)</f>
        <v>711</v>
      </c>
    </row>
    <row r="368" spans="1:21" x14ac:dyDescent="0.2">
      <c r="A368" s="110">
        <v>4669</v>
      </c>
      <c r="B368" s="111">
        <f>VLOOKUP(A368,[1]Assign!$A:$D,4,FALSE)</f>
        <v>724</v>
      </c>
      <c r="C368" s="4">
        <v>3</v>
      </c>
      <c r="D368" s="4">
        <v>413</v>
      </c>
      <c r="E368" s="4" t="str">
        <f>VLOOKUP(A368,[1]Assign!$A:$I,9,FALSE)</f>
        <v xml:space="preserve">25% MDGS Constant </v>
      </c>
      <c r="F368" s="4">
        <f>VLOOKUP(A368,'[1]Carcass '!$C$10:$D$105,2,FALSE)</f>
        <v>911</v>
      </c>
      <c r="G368" s="4">
        <f t="shared" si="60"/>
        <v>1446.031746031746</v>
      </c>
      <c r="H368" s="31">
        <f t="shared" si="62"/>
        <v>3.9672073957788245</v>
      </c>
      <c r="I368" s="4">
        <f>VLOOKUP(D368,'[1]DMO head'!A:B,2,FALSE)</f>
        <v>24.396522174486932</v>
      </c>
      <c r="J368" s="19">
        <f>('Final Performance'!G368-'Final Performance'!B368)</f>
        <v>722.03174603174602</v>
      </c>
      <c r="K368" s="4">
        <f t="shared" si="61"/>
        <v>29.595683387479824</v>
      </c>
      <c r="L368" s="4" t="str">
        <f>VLOOKUP('Final Performance'!A368,'[1]Carcass '!$C$10:$J$105,8,FALSE)</f>
        <v>A</v>
      </c>
      <c r="M368" s="4">
        <f t="shared" si="55"/>
        <v>1</v>
      </c>
      <c r="N368" s="4">
        <f t="shared" si="56"/>
        <v>0</v>
      </c>
      <c r="O368" s="4">
        <f t="shared" si="57"/>
        <v>0</v>
      </c>
      <c r="P368" s="4">
        <f t="shared" si="58"/>
        <v>1</v>
      </c>
      <c r="Q368" s="4">
        <f t="shared" si="59"/>
        <v>0</v>
      </c>
      <c r="R368" s="4">
        <f>VLOOKUP(A368,'[1]Carcass '!$C$10:$E$105,3,FALSE)</f>
        <v>13.06</v>
      </c>
      <c r="S368" s="4">
        <f>VLOOKUP(A368,'[1]Carcass '!$C$10:$F$105,4,)</f>
        <v>3.38</v>
      </c>
      <c r="T368" s="4">
        <f>VLOOKUP(A368,'[1]Carcass '!$C$10:$G$397,5, FALSE)</f>
        <v>0.65600000000000003</v>
      </c>
      <c r="U368" s="29"/>
    </row>
    <row r="369" spans="1:21" x14ac:dyDescent="0.2">
      <c r="A369" s="110">
        <v>4478</v>
      </c>
      <c r="B369" s="111">
        <f>VLOOKUP(A369,[1]Assign!$A:$D,4,FALSE)</f>
        <v>707</v>
      </c>
      <c r="C369" s="4">
        <v>3</v>
      </c>
      <c r="D369" s="4">
        <v>414</v>
      </c>
      <c r="E369" s="4" t="str">
        <f>VLOOKUP(A369,[1]Assign!$A:$I,9,FALSE)</f>
        <v>10% MDGS Variable</v>
      </c>
      <c r="F369" s="4">
        <f>VLOOKUP(A369,'[1]Carcass '!$C$10:$D$105,2,FALSE)</f>
        <v>841</v>
      </c>
      <c r="G369" s="4">
        <f t="shared" si="60"/>
        <v>1334.9206349206349</v>
      </c>
      <c r="H369" s="31">
        <f t="shared" si="62"/>
        <v>3.4501133786848075</v>
      </c>
      <c r="I369" s="4">
        <f>VLOOKUP(D369,'[1]DMO head'!A:B,2,FALSE)</f>
        <v>24.652027832021865</v>
      </c>
      <c r="J369" s="19">
        <f>('Final Performance'!G369-'Final Performance'!B369)</f>
        <v>627.92063492063494</v>
      </c>
      <c r="K369" s="4">
        <f t="shared" si="61"/>
        <v>25.471358348257038</v>
      </c>
      <c r="L369" s="4">
        <f>VLOOKUP('Final Performance'!A369,'[1]Carcass '!$C$10:$J$105,8,FALSE)</f>
        <v>0</v>
      </c>
      <c r="M369" s="4">
        <f t="shared" si="55"/>
        <v>0</v>
      </c>
      <c r="N369" s="4">
        <f t="shared" si="56"/>
        <v>0</v>
      </c>
      <c r="O369" s="4">
        <f t="shared" si="57"/>
        <v>0</v>
      </c>
      <c r="P369" s="4">
        <f t="shared" si="58"/>
        <v>0</v>
      </c>
      <c r="Q369" s="4">
        <f t="shared" si="59"/>
        <v>0</v>
      </c>
      <c r="R369" s="4">
        <f>VLOOKUP(A369,'[1]Carcass '!$C$10:$E$105,3,FALSE)</f>
        <v>12.27</v>
      </c>
      <c r="S369" s="4">
        <f>VLOOKUP(A369,'[1]Carcass '!$C$10:$F$105,4,)</f>
        <v>3.34</v>
      </c>
      <c r="T369" s="4">
        <f>VLOOKUP(A369,'[1]Carcass '!$C$10:$G$397,5, FALSE)</f>
        <v>0.752</v>
      </c>
      <c r="U369" s="29">
        <f>VLOOKUP(A369,'[1]Carcass '!$C$10:$I$105,7,)</f>
        <v>629</v>
      </c>
    </row>
    <row r="370" spans="1:21" x14ac:dyDescent="0.2">
      <c r="A370" s="110">
        <v>4635</v>
      </c>
      <c r="B370" s="111">
        <f>VLOOKUP(A370,[1]Assign!$A:$D,4,FALSE)</f>
        <v>726</v>
      </c>
      <c r="C370" s="4">
        <v>3</v>
      </c>
      <c r="D370" s="4">
        <v>405</v>
      </c>
      <c r="E370" s="4" t="str">
        <f>VLOOKUP(A370,[1]Assign!$A:$I,9,FALSE)</f>
        <v>10% MDGS Variable</v>
      </c>
      <c r="F370" s="4">
        <f>VLOOKUP(A370,'[1]Carcass '!$C$10:$D$105,2,FALSE)</f>
        <v>786</v>
      </c>
      <c r="G370" s="4">
        <f t="shared" si="60"/>
        <v>1247.6190476190477</v>
      </c>
      <c r="H370" s="31">
        <f t="shared" si="62"/>
        <v>2.8660387231815809</v>
      </c>
      <c r="I370" s="4">
        <f>VLOOKUP(D370,'[1]DMO head'!A:B,2,FALSE)</f>
        <v>23.841123317486328</v>
      </c>
      <c r="J370" s="19">
        <f>('Final Performance'!G370-'Final Performance'!B370)</f>
        <v>521.61904761904771</v>
      </c>
      <c r="K370" s="4">
        <f t="shared" si="61"/>
        <v>21.878962692855374</v>
      </c>
      <c r="L370" s="4" t="str">
        <f>VLOOKUP('Final Performance'!A370,'[1]Carcass '!$C$10:$J$105,8,FALSE)</f>
        <v>A+</v>
      </c>
      <c r="M370" s="4">
        <f t="shared" si="55"/>
        <v>0</v>
      </c>
      <c r="N370" s="4">
        <f t="shared" si="56"/>
        <v>0</v>
      </c>
      <c r="O370" s="4">
        <f t="shared" si="57"/>
        <v>1</v>
      </c>
      <c r="P370" s="4">
        <f t="shared" si="58"/>
        <v>1</v>
      </c>
      <c r="Q370" s="4">
        <f t="shared" si="59"/>
        <v>0</v>
      </c>
      <c r="U370" s="29"/>
    </row>
    <row r="371" spans="1:21" x14ac:dyDescent="0.2">
      <c r="A371" s="110">
        <v>4436</v>
      </c>
      <c r="B371" s="111">
        <f>VLOOKUP(A371,[1]Assign!$A:$D,4,FALSE)</f>
        <v>742</v>
      </c>
      <c r="C371" s="4">
        <v>3</v>
      </c>
      <c r="D371" s="4">
        <v>406</v>
      </c>
      <c r="E371" s="4" t="str">
        <f>VLOOKUP(A371,[1]Assign!$A:$I,9,FALSE)</f>
        <v xml:space="preserve">10% MDGS Constant </v>
      </c>
      <c r="F371" s="4">
        <f>VLOOKUP(A371,'[1]Carcass '!$C$10:$D$105,2,FALSE)</f>
        <v>989</v>
      </c>
      <c r="G371" s="4">
        <f t="shared" si="60"/>
        <v>1569.8412698412699</v>
      </c>
      <c r="H371" s="31">
        <f t="shared" si="62"/>
        <v>4.5485784057212628</v>
      </c>
      <c r="I371" s="4">
        <f>VLOOKUP(D371,'[1]DMO head'!A:B,2,FALSE)</f>
        <v>24.456725328579239</v>
      </c>
      <c r="J371" s="19">
        <f>('Final Performance'!G371-'Final Performance'!B371)</f>
        <v>827.84126984126988</v>
      </c>
      <c r="K371" s="4">
        <f t="shared" si="61"/>
        <v>33.849227920709595</v>
      </c>
      <c r="L371" s="4" t="str">
        <f>VLOOKUP('Final Performance'!A371,'[1]Carcass '!$C$10:$J$105,8,FALSE)</f>
        <v>A+</v>
      </c>
      <c r="M371" s="4">
        <f t="shared" si="55"/>
        <v>0</v>
      </c>
      <c r="N371" s="4">
        <f t="shared" si="56"/>
        <v>0</v>
      </c>
      <c r="O371" s="4">
        <f t="shared" si="57"/>
        <v>1</v>
      </c>
      <c r="P371" s="4">
        <f t="shared" si="58"/>
        <v>1</v>
      </c>
      <c r="Q371" s="4">
        <f t="shared" si="59"/>
        <v>0</v>
      </c>
      <c r="U371" s="29">
        <f>VLOOKUP(A371,'[1]Carcass '!$C$10:$I$105,7,)</f>
        <v>524</v>
      </c>
    </row>
    <row r="372" spans="1:21" x14ac:dyDescent="0.2">
      <c r="A372" s="110">
        <v>4474</v>
      </c>
      <c r="B372" s="111">
        <f>VLOOKUP(A372,[1]Assign!$A:$D,4,FALSE)</f>
        <v>732</v>
      </c>
      <c r="C372" s="4">
        <v>3</v>
      </c>
      <c r="D372" s="4">
        <v>407</v>
      </c>
      <c r="E372" s="4" t="str">
        <f>VLOOKUP(A372,[1]Assign!$A:$I,9,FALSE)</f>
        <v>25% MDGS Variable</v>
      </c>
      <c r="F372" s="4">
        <f>VLOOKUP(A372,'[1]Carcass '!$C$10:$D$105,2,FALSE)</f>
        <v>952</v>
      </c>
      <c r="G372" s="4">
        <f t="shared" si="60"/>
        <v>1511.1111111111111</v>
      </c>
      <c r="H372" s="31">
        <f t="shared" si="62"/>
        <v>4.2808302808302807</v>
      </c>
      <c r="I372" s="4">
        <f>VLOOKUP(D372,'[1]DMO head'!A:B,2,FALSE)</f>
        <v>22.840113033442623</v>
      </c>
      <c r="J372" s="19">
        <f>('Final Performance'!G372-'Final Performance'!B372)</f>
        <v>779.11111111111109</v>
      </c>
      <c r="K372" s="4">
        <f t="shared" si="61"/>
        <v>34.111526066895209</v>
      </c>
      <c r="L372" s="4">
        <f>VLOOKUP('Final Performance'!A372,'[1]Carcass '!$C$10:$J$105,8,FALSE)</f>
        <v>0</v>
      </c>
      <c r="M372" s="4">
        <f t="shared" si="55"/>
        <v>0</v>
      </c>
      <c r="N372" s="4">
        <f t="shared" si="56"/>
        <v>0</v>
      </c>
      <c r="O372" s="4">
        <f t="shared" si="57"/>
        <v>0</v>
      </c>
      <c r="P372" s="4">
        <f t="shared" si="58"/>
        <v>0</v>
      </c>
      <c r="Q372" s="4">
        <f t="shared" si="59"/>
        <v>0</v>
      </c>
      <c r="R372" s="4">
        <f>VLOOKUP(A372,'[1]Carcass '!$C$10:$E$105,3,FALSE)</f>
        <v>14.38</v>
      </c>
      <c r="S372" s="4">
        <f>VLOOKUP(A372,'[1]Carcass '!$C$10:$F$105,4,)</f>
        <v>4.13</v>
      </c>
      <c r="T372" s="4">
        <f>VLOOKUP(A372,'[1]Carcass '!$C$10:$G$397,5, FALSE)</f>
        <v>0.86</v>
      </c>
      <c r="U372" s="29">
        <f>VLOOKUP(A372,'[1]Carcass '!$C$10:$I$105,7,)</f>
        <v>497</v>
      </c>
    </row>
    <row r="373" spans="1:21" x14ac:dyDescent="0.2">
      <c r="A373" s="110">
        <v>4730</v>
      </c>
      <c r="B373" s="111">
        <f>VLOOKUP(A373,[1]Assign!$A:$D,4,FALSE)</f>
        <v>732</v>
      </c>
      <c r="C373" s="4">
        <v>3</v>
      </c>
      <c r="D373" s="4">
        <v>408</v>
      </c>
      <c r="E373" s="4" t="str">
        <f>VLOOKUP(A373,[1]Assign!$A:$I,9,FALSE)</f>
        <v>Control</v>
      </c>
      <c r="F373" s="4">
        <f>VLOOKUP(A373,'[1]Carcass '!$C$10:$D$105,2,FALSE)</f>
        <v>951</v>
      </c>
      <c r="G373" s="4">
        <f t="shared" si="60"/>
        <v>1509.5238095238094</v>
      </c>
      <c r="H373" s="31">
        <f t="shared" si="62"/>
        <v>4.2721088435374144</v>
      </c>
      <c r="I373" s="4">
        <f>VLOOKUP(D373,'[1]DMO head'!A:B,2,FALSE)</f>
        <v>22.630294042240436</v>
      </c>
      <c r="J373" s="19">
        <f>('Final Performance'!G373-'Final Performance'!B373)</f>
        <v>777.5238095238094</v>
      </c>
      <c r="K373" s="4">
        <f t="shared" si="61"/>
        <v>34.357653863114955</v>
      </c>
      <c r="L373" s="4">
        <f>VLOOKUP('Final Performance'!A373,'[1]Carcass '!$C$10:$J$105,8,FALSE)</f>
        <v>0</v>
      </c>
      <c r="M373" s="4">
        <f t="shared" si="55"/>
        <v>0</v>
      </c>
      <c r="N373" s="4">
        <f t="shared" si="56"/>
        <v>0</v>
      </c>
      <c r="O373" s="4">
        <f t="shared" si="57"/>
        <v>0</v>
      </c>
      <c r="P373" s="4">
        <f t="shared" si="58"/>
        <v>0</v>
      </c>
      <c r="Q373" s="4">
        <f t="shared" si="59"/>
        <v>0</v>
      </c>
      <c r="R373" s="4">
        <f>VLOOKUP(A373,'[1]Carcass '!$C$10:$E$105,3,FALSE)</f>
        <v>14.38</v>
      </c>
      <c r="S373" s="4">
        <f>VLOOKUP(A373,'[1]Carcass '!$C$10:$F$105,4,)</f>
        <v>3.88</v>
      </c>
      <c r="T373" s="4">
        <f>VLOOKUP(A373,'[1]Carcass '!$C$10:$G$397,5, FALSE)</f>
        <v>0.80400000000000005</v>
      </c>
      <c r="U373" s="29">
        <f>VLOOKUP(A373,'[1]Carcass '!$C$10:$I$105,7,)</f>
        <v>796</v>
      </c>
    </row>
    <row r="374" spans="1:21" x14ac:dyDescent="0.2">
      <c r="A374" s="110">
        <v>4654</v>
      </c>
      <c r="B374" s="111">
        <f>VLOOKUP(A374,[1]Assign!$A:$D,4,FALSE)</f>
        <v>729</v>
      </c>
      <c r="C374" s="4">
        <v>3</v>
      </c>
      <c r="D374" s="4">
        <v>409</v>
      </c>
      <c r="E374" s="4" t="str">
        <f>VLOOKUP(A374,[1]Assign!$A:$I,9,FALSE)</f>
        <v xml:space="preserve">25% MDGS Constant </v>
      </c>
      <c r="F374" s="4">
        <f>VLOOKUP(A374,'[1]Carcass '!$C$10:$D$105,2,FALSE)</f>
        <v>904</v>
      </c>
      <c r="G374" s="4">
        <f t="shared" si="60"/>
        <v>1434.9206349206349</v>
      </c>
      <c r="H374" s="31">
        <f t="shared" si="62"/>
        <v>3.8786848072562359</v>
      </c>
      <c r="I374" s="4">
        <f>VLOOKUP(D374,'[1]DMO head'!A:B,2,FALSE)</f>
        <v>25.087520326338783</v>
      </c>
      <c r="J374" s="19">
        <f>('Final Performance'!G374-'Final Performance'!B374)</f>
        <v>705.92063492063494</v>
      </c>
      <c r="K374" s="4">
        <f t="shared" si="61"/>
        <v>28.138318404450114</v>
      </c>
      <c r="L374" s="4" t="str">
        <f>VLOOKUP('Final Performance'!A374,'[1]Carcass '!$C$10:$J$105,8,FALSE)</f>
        <v>A</v>
      </c>
      <c r="M374" s="4">
        <f t="shared" si="55"/>
        <v>1</v>
      </c>
      <c r="N374" s="4">
        <f t="shared" si="56"/>
        <v>0</v>
      </c>
      <c r="O374" s="4">
        <f t="shared" si="57"/>
        <v>0</v>
      </c>
      <c r="P374" s="4">
        <f t="shared" si="58"/>
        <v>1</v>
      </c>
      <c r="Q374" s="4">
        <f t="shared" si="59"/>
        <v>0</v>
      </c>
      <c r="R374" s="4">
        <f>VLOOKUP(A374,'[1]Carcass '!$C$10:$E$105,3,FALSE)</f>
        <v>13.13</v>
      </c>
      <c r="S374" s="4">
        <f>VLOOKUP(A374,'[1]Carcass '!$C$10:$F$105,4,)</f>
        <v>4.3899999999999997</v>
      </c>
      <c r="T374" s="4">
        <f>VLOOKUP(A374,'[1]Carcass '!$C$10:$G$397,5, FALSE)</f>
        <v>1.036</v>
      </c>
      <c r="U374" s="29">
        <f>VLOOKUP(A374,'[1]Carcass '!$C$10:$I$105,7,)</f>
        <v>555</v>
      </c>
    </row>
    <row r="375" spans="1:21" x14ac:dyDescent="0.2">
      <c r="A375" s="110">
        <v>4412</v>
      </c>
      <c r="B375" s="111">
        <f>VLOOKUP(A375,[1]Assign!$A:$D,4,FALSE)</f>
        <v>727</v>
      </c>
      <c r="C375" s="4">
        <v>3</v>
      </c>
      <c r="D375" s="4">
        <v>410</v>
      </c>
      <c r="E375" s="4" t="str">
        <f>VLOOKUP(A375,[1]Assign!$A:$I,9,FALSE)</f>
        <v>25% MDGS Variable</v>
      </c>
      <c r="F375" s="4">
        <f>VLOOKUP(A375,'[1]Carcass '!$C$10:$D$105,2,FALSE)</f>
        <v>822</v>
      </c>
      <c r="G375" s="4">
        <f t="shared" si="60"/>
        <v>1304.7619047619048</v>
      </c>
      <c r="H375" s="31">
        <f t="shared" si="62"/>
        <v>3.1745159602302464</v>
      </c>
      <c r="I375" s="4">
        <f>VLOOKUP(D375,'[1]DMO head'!A:B,2,FALSE)</f>
        <v>23.110230187377059</v>
      </c>
      <c r="J375" s="19">
        <f>('Final Performance'!G375-'Final Performance'!B375)</f>
        <v>577.76190476190482</v>
      </c>
      <c r="K375" s="4">
        <f t="shared" si="61"/>
        <v>25.000266119265298</v>
      </c>
      <c r="L375" s="4">
        <f>VLOOKUP('Final Performance'!A375,'[1]Carcass '!$C$10:$J$105,8,FALSE)</f>
        <v>0</v>
      </c>
      <c r="M375" s="4">
        <f t="shared" si="55"/>
        <v>0</v>
      </c>
      <c r="N375" s="4">
        <f t="shared" si="56"/>
        <v>0</v>
      </c>
      <c r="O375" s="4">
        <f t="shared" si="57"/>
        <v>0</v>
      </c>
      <c r="P375" s="4">
        <f t="shared" si="58"/>
        <v>0</v>
      </c>
      <c r="Q375" s="4">
        <f t="shared" si="59"/>
        <v>0</v>
      </c>
      <c r="R375" s="4">
        <f>VLOOKUP(A375,'[1]Carcass '!$C$10:$E$105,3,FALSE)</f>
        <v>13.29</v>
      </c>
      <c r="S375" s="4">
        <f>VLOOKUP(A375,'[1]Carcass '!$C$10:$F$105,4,)</f>
        <v>3.93</v>
      </c>
      <c r="T375" s="4">
        <f>VLOOKUP(A375,'[1]Carcass '!$C$10:$G$397,5, FALSE)</f>
        <v>0.89800000000000002</v>
      </c>
      <c r="U375" s="29">
        <f>VLOOKUP(A375,'[1]Carcass '!$C$10:$I$105,7,)</f>
        <v>676</v>
      </c>
    </row>
    <row r="376" spans="1:21" x14ac:dyDescent="0.2">
      <c r="A376" s="110">
        <v>4606</v>
      </c>
      <c r="B376" s="111">
        <f>VLOOKUP(A376,[1]Assign!$A:$D,4,FALSE)</f>
        <v>735</v>
      </c>
      <c r="C376" s="4">
        <v>3</v>
      </c>
      <c r="D376" s="4">
        <v>411</v>
      </c>
      <c r="E376" s="4" t="str">
        <f>VLOOKUP(A376,[1]Assign!$A:$I,9,FALSE)</f>
        <v xml:space="preserve">10% MDGS Constant </v>
      </c>
      <c r="F376" s="4">
        <f>VLOOKUP(A376,'[1]Carcass '!$C$10:$D$105,2,FALSE)</f>
        <v>954</v>
      </c>
      <c r="G376" s="4">
        <f t="shared" si="60"/>
        <v>1514.2857142857142</v>
      </c>
      <c r="H376" s="31">
        <f t="shared" si="62"/>
        <v>4.2817896389324961</v>
      </c>
      <c r="I376" s="4">
        <f>VLOOKUP(D376,'[1]DMO head'!A:B,2,FALSE)</f>
        <v>23.277453122155439</v>
      </c>
      <c r="J376" s="19">
        <f>('Final Performance'!G376-'Final Performance'!B376)</f>
        <v>779.28571428571422</v>
      </c>
      <c r="K376" s="4">
        <f t="shared" si="61"/>
        <v>33.478134837010643</v>
      </c>
      <c r="L376" s="4">
        <f>VLOOKUP('Final Performance'!A376,'[1]Carcass '!$C$10:$J$105,8,FALSE)</f>
        <v>0</v>
      </c>
      <c r="M376" s="4">
        <f t="shared" si="55"/>
        <v>0</v>
      </c>
      <c r="N376" s="4">
        <f t="shared" si="56"/>
        <v>0</v>
      </c>
      <c r="O376" s="4">
        <f t="shared" si="57"/>
        <v>0</v>
      </c>
      <c r="P376" s="4">
        <f t="shared" si="58"/>
        <v>0</v>
      </c>
      <c r="Q376" s="4">
        <f t="shared" si="59"/>
        <v>0</v>
      </c>
      <c r="U376" s="29"/>
    </row>
    <row r="377" spans="1:21" x14ac:dyDescent="0.2">
      <c r="A377" s="110">
        <v>4723</v>
      </c>
      <c r="B377" s="111">
        <f>VLOOKUP(A377,[1]Assign!$A:$D,4,FALSE)</f>
        <v>734</v>
      </c>
      <c r="C377" s="4">
        <v>3</v>
      </c>
      <c r="D377" s="4">
        <v>412</v>
      </c>
      <c r="E377" s="4" t="str">
        <f>VLOOKUP(A377,[1]Assign!$A:$I,9,FALSE)</f>
        <v>Control</v>
      </c>
      <c r="F377" s="4">
        <f>VLOOKUP(A377,'[1]Carcass '!$C$10:$D$105,2,FALSE)</f>
        <v>798</v>
      </c>
      <c r="G377" s="4">
        <f t="shared" si="60"/>
        <v>1266.6666666666667</v>
      </c>
      <c r="H377" s="31">
        <f t="shared" si="62"/>
        <v>2.926739926739927</v>
      </c>
      <c r="I377" s="4">
        <f>VLOOKUP(D377,'[1]DMO head'!A:B,2,FALSE)</f>
        <v>23.149248339458101</v>
      </c>
      <c r="J377" s="19">
        <f>('Final Performance'!G377-'Final Performance'!B377)</f>
        <v>532.66666666666674</v>
      </c>
      <c r="K377" s="4">
        <f t="shared" si="61"/>
        <v>23.010106369576228</v>
      </c>
      <c r="L377" s="4" t="str">
        <f>VLOOKUP('Final Performance'!A377,'[1]Carcass '!$C$10:$J$105,8,FALSE)</f>
        <v>A+</v>
      </c>
      <c r="M377" s="4">
        <f t="shared" si="55"/>
        <v>0</v>
      </c>
      <c r="N377" s="4">
        <f t="shared" si="56"/>
        <v>0</v>
      </c>
      <c r="O377" s="4">
        <f t="shared" si="57"/>
        <v>1</v>
      </c>
      <c r="P377" s="4">
        <f t="shared" si="58"/>
        <v>1</v>
      </c>
      <c r="Q377" s="4">
        <f t="shared" si="59"/>
        <v>0</v>
      </c>
      <c r="R377" s="4">
        <f>VLOOKUP(A377,'[1]Carcass '!$C$10:$E$105,3,FALSE)</f>
        <v>12.59</v>
      </c>
      <c r="S377" s="4">
        <f>VLOOKUP(A377,'[1]Carcass '!$C$10:$F$105,4,)</f>
        <v>3.14</v>
      </c>
      <c r="T377" s="4">
        <f>VLOOKUP(A377,'[1]Carcass '!$C$10:$G$397,5, FALSE)</f>
        <v>0.49199999999999999</v>
      </c>
      <c r="U377" s="29">
        <f>VLOOKUP(A377,'[1]Carcass '!$C$10:$I$105,7,)</f>
        <v>460</v>
      </c>
    </row>
    <row r="378" spans="1:21" x14ac:dyDescent="0.2">
      <c r="A378" s="110">
        <v>4687</v>
      </c>
      <c r="B378" s="111">
        <f>VLOOKUP(A378,[1]Assign!$A:$D,4,FALSE)</f>
        <v>739</v>
      </c>
      <c r="C378" s="4">
        <v>3</v>
      </c>
      <c r="D378" s="4">
        <v>413</v>
      </c>
      <c r="E378" s="4" t="str">
        <f>VLOOKUP(A378,[1]Assign!$A:$I,9,FALSE)</f>
        <v xml:space="preserve">25% MDGS Constant </v>
      </c>
      <c r="F378" s="4">
        <f>VLOOKUP(A378,'[1]Carcass '!$C$10:$D$105,2,FALSE)</f>
        <v>917</v>
      </c>
      <c r="G378" s="4">
        <f t="shared" si="60"/>
        <v>1455.5555555555557</v>
      </c>
      <c r="H378" s="31">
        <f t="shared" si="62"/>
        <v>3.9371184371184378</v>
      </c>
      <c r="I378" s="4">
        <f>VLOOKUP(D378,'[1]DMO head'!A:B,2,FALSE)</f>
        <v>24.396522174486932</v>
      </c>
      <c r="J378" s="19">
        <f>('Final Performance'!G378-'Final Performance'!B378)</f>
        <v>716.55555555555566</v>
      </c>
      <c r="K378" s="4">
        <f t="shared" si="61"/>
        <v>29.37121735756687</v>
      </c>
      <c r="L378" s="4" t="str">
        <f>VLOOKUP('Final Performance'!A378,'[1]Carcass '!$C$10:$J$105,8,FALSE)</f>
        <v>A</v>
      </c>
      <c r="M378" s="4">
        <f t="shared" si="55"/>
        <v>1</v>
      </c>
      <c r="N378" s="4">
        <f t="shared" si="56"/>
        <v>0</v>
      </c>
      <c r="O378" s="4">
        <f t="shared" si="57"/>
        <v>0</v>
      </c>
      <c r="P378" s="4">
        <f t="shared" si="58"/>
        <v>1</v>
      </c>
      <c r="Q378" s="4">
        <f t="shared" si="59"/>
        <v>0</v>
      </c>
      <c r="R378" s="4">
        <f>VLOOKUP(A378,'[1]Carcass '!$C$10:$E$105,3,FALSE)</f>
        <v>15.32</v>
      </c>
      <c r="S378" s="4">
        <f>VLOOKUP(A378,'[1]Carcass '!$C$10:$F$105,4,)</f>
        <v>3.68</v>
      </c>
      <c r="T378" s="4">
        <f>VLOOKUP(A378,'[1]Carcass '!$C$10:$G$397,5, FALSE)</f>
        <v>0.67200000000000004</v>
      </c>
      <c r="U378" s="29">
        <f>VLOOKUP(A378,'[1]Carcass '!$C$10:$I$105,7,)</f>
        <v>536</v>
      </c>
    </row>
    <row r="379" spans="1:21" x14ac:dyDescent="0.2">
      <c r="A379" s="110">
        <v>4627</v>
      </c>
      <c r="B379" s="111">
        <f>VLOOKUP(A379,[1]Assign!$A:$D,4,FALSE)</f>
        <v>731</v>
      </c>
      <c r="C379" s="4">
        <v>3</v>
      </c>
      <c r="D379" s="4">
        <v>414</v>
      </c>
      <c r="E379" s="4" t="str">
        <f>VLOOKUP(A379,[1]Assign!$A:$I,9,FALSE)</f>
        <v>10% MDGS Variable</v>
      </c>
      <c r="F379" s="4">
        <f>VLOOKUP(A379,'[1]Carcass '!$C$10:$D$105,2,FALSE)</f>
        <v>882</v>
      </c>
      <c r="G379" s="4">
        <f t="shared" si="60"/>
        <v>1400</v>
      </c>
      <c r="H379" s="31">
        <f t="shared" si="62"/>
        <v>3.6758241758241756</v>
      </c>
      <c r="I379" s="4">
        <f>VLOOKUP(D379,'[1]DMO head'!A:B,2,FALSE)</f>
        <v>24.652027832021865</v>
      </c>
      <c r="J379" s="19">
        <f>('Final Performance'!G379-'Final Performance'!B379)</f>
        <v>669</v>
      </c>
      <c r="K379" s="4">
        <f t="shared" si="61"/>
        <v>27.13772694719253</v>
      </c>
      <c r="L379" s="4" t="str">
        <f>VLOOKUP('Final Performance'!A379,'[1]Carcass '!$C$10:$J$105,8,FALSE)</f>
        <v>A+</v>
      </c>
      <c r="M379" s="4">
        <f t="shared" si="55"/>
        <v>0</v>
      </c>
      <c r="N379" s="4">
        <f t="shared" si="56"/>
        <v>0</v>
      </c>
      <c r="O379" s="4">
        <f t="shared" si="57"/>
        <v>1</v>
      </c>
      <c r="P379" s="4">
        <f t="shared" si="58"/>
        <v>1</v>
      </c>
      <c r="Q379" s="4">
        <f t="shared" si="59"/>
        <v>0</v>
      </c>
      <c r="R379" s="4">
        <f>VLOOKUP(A379,'[1]Carcass '!$C$10:$E$105,3,FALSE)</f>
        <v>13.82</v>
      </c>
      <c r="U379" s="29">
        <f>VLOOKUP(A379,'[1]Carcass '!$C$10:$I$105,7,)</f>
        <v>513</v>
      </c>
    </row>
    <row r="380" spans="1:21" x14ac:dyDescent="0.2">
      <c r="A380" s="110">
        <v>4656</v>
      </c>
      <c r="B380" s="111">
        <f>VLOOKUP(A380,[1]Assign!$A:$D,4,FALSE)</f>
        <v>749</v>
      </c>
      <c r="C380" s="4">
        <v>3</v>
      </c>
      <c r="D380" s="4">
        <v>405</v>
      </c>
      <c r="E380" s="4" t="str">
        <f>VLOOKUP(A380,[1]Assign!$A:$I,9,FALSE)</f>
        <v>10% MDGS Variable</v>
      </c>
      <c r="F380" s="4">
        <f>VLOOKUP(A380,'[1]Carcass '!$C$10:$D$105,2,FALSE)</f>
        <v>916</v>
      </c>
      <c r="G380" s="4">
        <f t="shared" si="60"/>
        <v>1453.968253968254</v>
      </c>
      <c r="H380" s="31">
        <f t="shared" si="62"/>
        <v>3.8734519448805163</v>
      </c>
      <c r="I380" s="4">
        <f>VLOOKUP(D380,'[1]DMO head'!A:B,2,FALSE)</f>
        <v>23.841123317486328</v>
      </c>
      <c r="J380" s="19">
        <f>('Final Performance'!G380-'Final Performance'!B380)</f>
        <v>704.96825396825398</v>
      </c>
      <c r="K380" s="4">
        <f t="shared" si="61"/>
        <v>29.569422739875403</v>
      </c>
      <c r="L380" s="4" t="str">
        <f>VLOOKUP('Final Performance'!A380,'[1]Carcass '!$C$10:$J$105,8,FALSE)</f>
        <v>A+</v>
      </c>
      <c r="M380" s="4">
        <f t="shared" si="55"/>
        <v>0</v>
      </c>
      <c r="N380" s="4">
        <f t="shared" si="56"/>
        <v>0</v>
      </c>
      <c r="O380" s="4">
        <f t="shared" si="57"/>
        <v>1</v>
      </c>
      <c r="P380" s="4">
        <f t="shared" si="58"/>
        <v>1</v>
      </c>
      <c r="Q380" s="4">
        <f t="shared" si="59"/>
        <v>0</v>
      </c>
      <c r="R380" s="4">
        <f>VLOOKUP(A380,'[1]Carcass '!$C$10:$E$105,3,FALSE)</f>
        <v>13.21</v>
      </c>
      <c r="S380" s="4">
        <f>VLOOKUP(A380,'[1]Carcass '!$C$10:$F$105,4,)</f>
        <v>3.21</v>
      </c>
      <c r="T380" s="4">
        <f>VLOOKUP(A380,'[1]Carcass '!$C$10:$G$397,5, FALSE)</f>
        <v>0.51200000000000001</v>
      </c>
      <c r="U380" s="29">
        <f>VLOOKUP(A380,'[1]Carcass '!$C$10:$I$105,7,)</f>
        <v>597</v>
      </c>
    </row>
    <row r="381" spans="1:21" x14ac:dyDescent="0.2">
      <c r="A381" s="110">
        <v>4441</v>
      </c>
      <c r="B381" s="111">
        <f>VLOOKUP(A381,[1]Assign!$A:$D,4,FALSE)</f>
        <v>763</v>
      </c>
      <c r="C381" s="4">
        <v>3</v>
      </c>
      <c r="D381" s="4">
        <v>406</v>
      </c>
      <c r="E381" s="4" t="str">
        <f>VLOOKUP(A381,[1]Assign!$A:$I,9,FALSE)</f>
        <v xml:space="preserve">10% MDGS Constant </v>
      </c>
      <c r="F381" s="4">
        <f>VLOOKUP(A381,'[1]Carcass '!$C$10:$D$105,2,FALSE)</f>
        <v>1002</v>
      </c>
      <c r="G381" s="4">
        <f t="shared" si="60"/>
        <v>1590.4761904761904</v>
      </c>
      <c r="H381" s="31">
        <f t="shared" si="62"/>
        <v>4.5465724751439032</v>
      </c>
      <c r="I381" s="4">
        <f>VLOOKUP(D381,'[1]DMO head'!A:B,2,FALSE)</f>
        <v>24.456725328579239</v>
      </c>
      <c r="J381" s="19">
        <f>('Final Performance'!G381-'Final Performance'!B381)</f>
        <v>827.47619047619037</v>
      </c>
      <c r="K381" s="4">
        <f t="shared" si="61"/>
        <v>33.834300355380442</v>
      </c>
      <c r="L381" s="4" t="str">
        <f>VLOOKUP('Final Performance'!A381,'[1]Carcass '!$C$10:$J$105,8,FALSE)</f>
        <v>A+</v>
      </c>
      <c r="M381" s="4">
        <f t="shared" si="55"/>
        <v>0</v>
      </c>
      <c r="N381" s="4">
        <f t="shared" si="56"/>
        <v>0</v>
      </c>
      <c r="O381" s="4">
        <f t="shared" si="57"/>
        <v>1</v>
      </c>
      <c r="P381" s="4">
        <f t="shared" si="58"/>
        <v>1</v>
      </c>
      <c r="Q381" s="4">
        <f t="shared" si="59"/>
        <v>0</v>
      </c>
      <c r="R381" s="4">
        <f>VLOOKUP(A381,'[1]Carcass '!$C$10:$E$105,3,FALSE)</f>
        <v>12.6</v>
      </c>
      <c r="S381" s="4">
        <f>VLOOKUP(A381,'[1]Carcass '!$C$10:$F$105,4,)</f>
        <v>3.58</v>
      </c>
      <c r="T381" s="4">
        <f>VLOOKUP(A381,'[1]Carcass '!$C$10:$G$397,5, FALSE)</f>
        <v>0.79200000000000004</v>
      </c>
      <c r="U381" s="29">
        <f>VLOOKUP(A381,'[1]Carcass '!$C$10:$I$105,7,)</f>
        <v>623</v>
      </c>
    </row>
    <row r="382" spans="1:21" x14ac:dyDescent="0.2">
      <c r="A382" s="110">
        <v>4539</v>
      </c>
      <c r="B382" s="111">
        <f>VLOOKUP(A382,[1]Assign!$A:$D,4,FALSE)</f>
        <v>750</v>
      </c>
      <c r="C382" s="4">
        <v>3</v>
      </c>
      <c r="D382" s="4">
        <v>407</v>
      </c>
      <c r="E382" s="4" t="str">
        <f>VLOOKUP(A382,[1]Assign!$A:$I,9,FALSE)</f>
        <v>25% MDGS Variable</v>
      </c>
      <c r="F382" s="4">
        <f>VLOOKUP(A382,'[1]Carcass '!$C$10:$D$105,2,FALSE)</f>
        <v>791</v>
      </c>
      <c r="G382" s="4">
        <f t="shared" si="60"/>
        <v>1255.5555555555557</v>
      </c>
      <c r="H382" s="31">
        <f t="shared" si="62"/>
        <v>2.7777777777777781</v>
      </c>
      <c r="I382" s="4">
        <f>VLOOKUP(D382,'[1]DMO head'!A:B,2,FALSE)</f>
        <v>22.840113033442623</v>
      </c>
      <c r="J382" s="19">
        <f>('Final Performance'!G382-'Final Performance'!B382)</f>
        <v>505.55555555555566</v>
      </c>
      <c r="K382" s="4">
        <f t="shared" si="61"/>
        <v>22.134547005757735</v>
      </c>
      <c r="L382" s="4">
        <f>VLOOKUP('Final Performance'!A382,'[1]Carcass '!$C$10:$J$105,8,FALSE)</f>
        <v>0</v>
      </c>
      <c r="M382" s="4">
        <f t="shared" si="55"/>
        <v>0</v>
      </c>
      <c r="N382" s="4">
        <f t="shared" si="56"/>
        <v>0</v>
      </c>
      <c r="O382" s="4">
        <f t="shared" si="57"/>
        <v>0</v>
      </c>
      <c r="P382" s="4">
        <f t="shared" si="58"/>
        <v>0</v>
      </c>
      <c r="Q382" s="4">
        <f t="shared" si="59"/>
        <v>0</v>
      </c>
      <c r="R382" s="4">
        <f>VLOOKUP(A382,'[1]Carcass '!$C$10:$E$105,3,FALSE)</f>
        <v>12.86</v>
      </c>
      <c r="S382" s="4">
        <f>VLOOKUP(A382,'[1]Carcass '!$C$10:$F$105,4,)</f>
        <v>3.32</v>
      </c>
      <c r="T382" s="4">
        <f>VLOOKUP(A382,'[1]Carcass '!$C$10:$G$397,5, FALSE)</f>
        <v>0.63200000000000001</v>
      </c>
      <c r="U382" s="29">
        <f>VLOOKUP(A382,'[1]Carcass '!$C$10:$I$105,7,)</f>
        <v>460</v>
      </c>
    </row>
    <row r="383" spans="1:21" x14ac:dyDescent="0.2">
      <c r="A383" s="110">
        <v>4451</v>
      </c>
      <c r="B383" s="111">
        <f>VLOOKUP(A383,[1]Assign!$A:$D,4,FALSE)</f>
        <v>752</v>
      </c>
      <c r="C383" s="4">
        <v>3</v>
      </c>
      <c r="D383" s="4">
        <v>408</v>
      </c>
      <c r="E383" s="4" t="str">
        <f>VLOOKUP(A383,[1]Assign!$A:$I,9,FALSE)</f>
        <v>Control</v>
      </c>
      <c r="F383" s="4">
        <f>VLOOKUP(A383,'[1]Carcass '!$C$10:$D$105,2,FALSE)</f>
        <v>900</v>
      </c>
      <c r="G383" s="4">
        <f t="shared" si="60"/>
        <v>1428.5714285714287</v>
      </c>
      <c r="H383" s="31">
        <f t="shared" si="62"/>
        <v>3.7174254317111464</v>
      </c>
      <c r="I383" s="4">
        <f>VLOOKUP(D383,'[1]DMO head'!A:B,2,FALSE)</f>
        <v>22.630294042240436</v>
      </c>
      <c r="J383" s="19">
        <f>('Final Performance'!G383-'Final Performance'!B383)</f>
        <v>676.57142857142867</v>
      </c>
      <c r="K383" s="4">
        <f t="shared" si="61"/>
        <v>29.896713993577741</v>
      </c>
      <c r="L383" s="4">
        <f>VLOOKUP('Final Performance'!A383,'[1]Carcass '!$C$10:$J$105,8,FALSE)</f>
        <v>0</v>
      </c>
      <c r="M383" s="4">
        <f t="shared" si="55"/>
        <v>0</v>
      </c>
      <c r="N383" s="4">
        <f t="shared" si="56"/>
        <v>0</v>
      </c>
      <c r="O383" s="4">
        <f t="shared" si="57"/>
        <v>0</v>
      </c>
      <c r="P383" s="4">
        <f t="shared" si="58"/>
        <v>0</v>
      </c>
      <c r="Q383" s="4">
        <f t="shared" si="59"/>
        <v>0</v>
      </c>
      <c r="R383" s="4">
        <f>VLOOKUP(A383,'[1]Carcass '!$C$10:$E$105,3,FALSE)</f>
        <v>14.38</v>
      </c>
      <c r="S383" s="4">
        <f>VLOOKUP(A383,'[1]Carcass '!$C$10:$F$105,4,)</f>
        <v>3.62</v>
      </c>
      <c r="T383" s="4">
        <f>VLOOKUP(A383,'[1]Carcass '!$C$10:$G$397,5, FALSE)</f>
        <v>0.73199999999999998</v>
      </c>
      <c r="U383" s="29"/>
    </row>
    <row r="384" spans="1:21" x14ac:dyDescent="0.2">
      <c r="A384" s="110">
        <v>4447</v>
      </c>
      <c r="B384" s="111">
        <f>VLOOKUP(A384,[1]Assign!$A:$D,4,FALSE)</f>
        <v>743</v>
      </c>
      <c r="C384" s="4">
        <v>3</v>
      </c>
      <c r="D384" s="4">
        <v>409</v>
      </c>
      <c r="E384" s="4" t="str">
        <f>VLOOKUP(A384,[1]Assign!$A:$I,9,FALSE)</f>
        <v xml:space="preserve">25% MDGS Constant </v>
      </c>
      <c r="F384" s="4">
        <f>VLOOKUP(A384,'[1]Carcass '!$C$10:$D$105,2,FALSE)</f>
        <v>973</v>
      </c>
      <c r="G384" s="4">
        <f t="shared" si="60"/>
        <v>1544.4444444444443</v>
      </c>
      <c r="H384" s="31">
        <f t="shared" si="62"/>
        <v>4.403540903540903</v>
      </c>
      <c r="I384" s="4">
        <f>VLOOKUP(D384,'[1]DMO head'!A:B,2,FALSE)</f>
        <v>25.087520326338783</v>
      </c>
      <c r="J384" s="19">
        <f>('Final Performance'!G384-'Final Performance'!B384)</f>
        <v>801.44444444444434</v>
      </c>
      <c r="K384" s="4">
        <f t="shared" si="61"/>
        <v>31.945941010480304</v>
      </c>
      <c r="L384" s="4" t="str">
        <f>VLOOKUP('Final Performance'!A384,'[1]Carcass '!$C$10:$J$105,8,FALSE)</f>
        <v>A-</v>
      </c>
      <c r="M384" s="4">
        <f t="shared" si="55"/>
        <v>0</v>
      </c>
      <c r="N384" s="4">
        <f t="shared" si="56"/>
        <v>1</v>
      </c>
      <c r="O384" s="4">
        <f t="shared" si="57"/>
        <v>0</v>
      </c>
      <c r="P384" s="4">
        <f t="shared" si="58"/>
        <v>1</v>
      </c>
      <c r="Q384" s="4">
        <f t="shared" si="59"/>
        <v>0</v>
      </c>
      <c r="R384" s="4">
        <f>VLOOKUP(A384,'[1]Carcass '!$C$10:$E$105,3,FALSE)</f>
        <v>13.29</v>
      </c>
      <c r="S384" s="4">
        <f>VLOOKUP(A384,'[1]Carcass '!$C$10:$F$105,4,)</f>
        <v>4.54</v>
      </c>
      <c r="T384" s="4">
        <f>VLOOKUP(A384,'[1]Carcass '!$C$10:$G$397,5, FALSE)</f>
        <v>1.08</v>
      </c>
      <c r="U384" s="29">
        <f>VLOOKUP(A384,'[1]Carcass '!$C$10:$I$105,7,)</f>
        <v>518</v>
      </c>
    </row>
    <row r="385" spans="1:22" x14ac:dyDescent="0.2">
      <c r="A385" s="110">
        <v>4641</v>
      </c>
      <c r="B385" s="111">
        <f>VLOOKUP(A385,[1]Assign!$A:$D,4,FALSE)</f>
        <v>739</v>
      </c>
      <c r="C385" s="4">
        <v>3</v>
      </c>
      <c r="D385" s="4">
        <v>410</v>
      </c>
      <c r="E385" s="4" t="str">
        <f>VLOOKUP(A385,[1]Assign!$A:$I,9,FALSE)</f>
        <v>25% MDGS Variable</v>
      </c>
      <c r="F385" s="4">
        <f>VLOOKUP(A385,'[1]Carcass '!$C$10:$D$105,2,FALSE)</f>
        <v>852</v>
      </c>
      <c r="G385" s="4">
        <f t="shared" si="60"/>
        <v>1352.3809523809523</v>
      </c>
      <c r="H385" s="31">
        <f t="shared" si="62"/>
        <v>3.3702250130821554</v>
      </c>
      <c r="I385" s="4">
        <f>VLOOKUP(D385,'[1]DMO head'!A:B,2,FALSE)</f>
        <v>23.110230187377059</v>
      </c>
      <c r="J385" s="19">
        <f>('Final Performance'!G385-'Final Performance'!B385)</f>
        <v>613.38095238095229</v>
      </c>
      <c r="K385" s="4">
        <f t="shared" si="61"/>
        <v>26.541533658802955</v>
      </c>
      <c r="L385" s="4">
        <f>VLOOKUP('Final Performance'!A385,'[1]Carcass '!$C$10:$J$105,8,FALSE)</f>
        <v>0</v>
      </c>
      <c r="M385" s="4">
        <f t="shared" si="55"/>
        <v>0</v>
      </c>
      <c r="N385" s="4">
        <f t="shared" si="56"/>
        <v>0</v>
      </c>
      <c r="O385" s="4">
        <f t="shared" si="57"/>
        <v>0</v>
      </c>
      <c r="P385" s="4">
        <f t="shared" si="58"/>
        <v>0</v>
      </c>
      <c r="Q385" s="4">
        <f t="shared" si="59"/>
        <v>0</v>
      </c>
      <c r="R385" s="4">
        <f>VLOOKUP(A385,'[1]Carcass '!$C$10:$E$105,3,FALSE)</f>
        <v>11.9</v>
      </c>
      <c r="S385" s="4">
        <f>VLOOKUP(A385,'[1]Carcass '!$C$10:$F$105,4,)</f>
        <v>3.48</v>
      </c>
      <c r="T385" s="4">
        <f>VLOOKUP(A385,'[1]Carcass '!$C$10:$G$397,5, FALSE)</f>
        <v>0.59199999999999997</v>
      </c>
      <c r="U385" s="29">
        <f>VLOOKUP(A385,'[1]Carcass '!$C$10:$I$105,7,)</f>
        <v>679</v>
      </c>
    </row>
    <row r="386" spans="1:22" x14ac:dyDescent="0.2">
      <c r="A386" s="110">
        <v>4707</v>
      </c>
      <c r="B386" s="111">
        <f>VLOOKUP(A386,[1]Assign!$A:$D,4,FALSE)</f>
        <v>735</v>
      </c>
      <c r="C386" s="4">
        <v>3</v>
      </c>
      <c r="D386" s="4">
        <v>411</v>
      </c>
      <c r="E386" s="4" t="str">
        <f>VLOOKUP(A386,[1]Assign!$A:$I,9,FALSE)</f>
        <v xml:space="preserve">10% MDGS Constant </v>
      </c>
      <c r="F386" s="4">
        <f>VLOOKUP(A386,'[1]Carcass '!$C$10:$D$105,2,FALSE)</f>
        <v>990</v>
      </c>
      <c r="G386" s="4">
        <f t="shared" si="60"/>
        <v>1571.4285714285713</v>
      </c>
      <c r="H386" s="31">
        <f t="shared" si="62"/>
        <v>4.5957613814756666</v>
      </c>
      <c r="I386" s="4">
        <f>VLOOKUP(D386,'[1]DMO head'!A:B,2,FALSE)</f>
        <v>23.277453122155439</v>
      </c>
      <c r="J386" s="19">
        <f>('Final Performance'!G386-'Final Performance'!B386)</f>
        <v>836.42857142857133</v>
      </c>
      <c r="K386" s="4">
        <f t="shared" si="61"/>
        <v>35.932993486837276</v>
      </c>
      <c r="L386" s="4">
        <f>VLOOKUP('Final Performance'!A386,'[1]Carcass '!$C$10:$J$105,8,FALSE)</f>
        <v>0</v>
      </c>
      <c r="M386" s="4">
        <f t="shared" si="55"/>
        <v>0</v>
      </c>
      <c r="N386" s="4">
        <f t="shared" si="56"/>
        <v>0</v>
      </c>
      <c r="O386" s="4">
        <f t="shared" si="57"/>
        <v>0</v>
      </c>
      <c r="P386" s="4">
        <f t="shared" si="58"/>
        <v>0</v>
      </c>
      <c r="Q386" s="4">
        <f t="shared" si="59"/>
        <v>0</v>
      </c>
      <c r="R386" s="4">
        <f>VLOOKUP(A386,'[1]Carcass '!$C$10:$E$105,3,FALSE)</f>
        <v>13.12</v>
      </c>
      <c r="S386" s="4">
        <f>VLOOKUP(A386,'[1]Carcass '!$C$10:$F$105,4,)</f>
        <v>3.81</v>
      </c>
      <c r="T386" s="4">
        <f>VLOOKUP(A386,'[1]Carcass '!$C$10:$G$397,5, FALSE)</f>
        <v>0.74399999999999999</v>
      </c>
      <c r="U386" s="29">
        <f>VLOOKUP(A386,'[1]Carcass '!$C$10:$I$105,7,)</f>
        <v>659</v>
      </c>
    </row>
    <row r="387" spans="1:22" x14ac:dyDescent="0.2">
      <c r="A387" s="110">
        <v>4748</v>
      </c>
      <c r="B387" s="111">
        <f>VLOOKUP(A387,[1]Assign!$A:$D,4,FALSE)</f>
        <v>765</v>
      </c>
      <c r="C387" s="4">
        <v>3</v>
      </c>
      <c r="D387" s="4">
        <v>412</v>
      </c>
      <c r="E387" s="4" t="str">
        <f>VLOOKUP(A387,[1]Assign!$A:$I,9,FALSE)</f>
        <v>Control</v>
      </c>
      <c r="F387" s="4">
        <f>VLOOKUP(A387,'[1]Carcass '!$C$10:$D$105,2,FALSE)</f>
        <v>884</v>
      </c>
      <c r="G387" s="4">
        <f t="shared" si="60"/>
        <v>1403.1746031746031</v>
      </c>
      <c r="H387" s="31">
        <f t="shared" si="62"/>
        <v>3.5064538635967204</v>
      </c>
      <c r="I387" s="4">
        <f>VLOOKUP(D387,'[1]DMO head'!A:B,2,FALSE)</f>
        <v>23.149248339458101</v>
      </c>
      <c r="J387" s="19">
        <f>('Final Performance'!G387-'Final Performance'!B387)</f>
        <v>638.17460317460313</v>
      </c>
      <c r="K387" s="4">
        <f t="shared" si="61"/>
        <v>27.567832605900591</v>
      </c>
      <c r="L387" s="4" t="str">
        <f>VLOOKUP('Final Performance'!A387,'[1]Carcass '!$C$10:$J$105,8,FALSE)</f>
        <v>A-</v>
      </c>
      <c r="M387" s="4">
        <f t="shared" ref="M387:M390" si="63">COUNTIF(L387,"A")</f>
        <v>0</v>
      </c>
      <c r="N387" s="4">
        <f t="shared" ref="N387:N390" si="64">COUNTIF(L387,"A-")</f>
        <v>1</v>
      </c>
      <c r="O387" s="4">
        <f t="shared" ref="O387:O390" si="65">COUNTIF(L387,"A+")</f>
        <v>0</v>
      </c>
      <c r="P387" s="4">
        <f t="shared" ref="P387:P390" si="66">SUM(M387:O387)</f>
        <v>1</v>
      </c>
      <c r="Q387" s="4">
        <f t="shared" ref="Q387:Q390" si="67">COUNTIF(L387,"C")</f>
        <v>0</v>
      </c>
      <c r="R387" s="4">
        <f>VLOOKUP(A387,'[1]Carcass '!$C$10:$E$105,3,FALSE)</f>
        <v>15.79</v>
      </c>
      <c r="S387" s="4">
        <f>VLOOKUP(A387,'[1]Carcass '!$C$10:$F$105,4,)</f>
        <v>3.21</v>
      </c>
      <c r="T387" s="4">
        <f>VLOOKUP(A387,'[1]Carcass '!$C$10:$G$397,5, FALSE)</f>
        <v>0.55200000000000005</v>
      </c>
      <c r="U387" s="29"/>
    </row>
    <row r="388" spans="1:22" ht="16" thickBot="1" x14ac:dyDescent="0.25">
      <c r="A388" s="112">
        <v>4364</v>
      </c>
      <c r="B388" s="113">
        <f>VLOOKUP(A388,[1]Assign!$A:$D,4,FALSE)</f>
        <v>751</v>
      </c>
      <c r="C388" s="40">
        <v>3</v>
      </c>
      <c r="D388" s="40">
        <v>414</v>
      </c>
      <c r="E388" s="40" t="str">
        <f>VLOOKUP(A388,[1]Assign!$A:$I,9,FALSE)</f>
        <v>10% MDGS Variable</v>
      </c>
      <c r="F388" s="40">
        <f>VLOOKUP(A388,'[1]Carcass '!$C$10:$D$105,2,FALSE)</f>
        <v>896</v>
      </c>
      <c r="G388" s="40">
        <f t="shared" si="60"/>
        <v>1422.2222222222222</v>
      </c>
      <c r="H388" s="105">
        <f t="shared" si="62"/>
        <v>3.6880341880341878</v>
      </c>
      <c r="I388" s="40">
        <f>VLOOKUP(D388,'[1]DMO head'!A:B,2,FALSE)</f>
        <v>24.652027832021865</v>
      </c>
      <c r="J388" s="106">
        <f>('Final Performance'!G388-'Final Performance'!B388)</f>
        <v>671.22222222222217</v>
      </c>
      <c r="K388" s="107">
        <f t="shared" si="61"/>
        <v>27.227870534461061</v>
      </c>
      <c r="L388" s="40">
        <f>VLOOKUP('Final Performance'!A388,'[1]Carcass '!$C$10:$J$105,8,FALSE)</f>
        <v>0</v>
      </c>
      <c r="M388" s="107">
        <f t="shared" si="63"/>
        <v>0</v>
      </c>
      <c r="N388" s="107">
        <f t="shared" si="64"/>
        <v>0</v>
      </c>
      <c r="O388" s="107">
        <f t="shared" si="65"/>
        <v>0</v>
      </c>
      <c r="P388" s="107">
        <f t="shared" si="66"/>
        <v>0</v>
      </c>
      <c r="Q388" s="107">
        <f t="shared" si="67"/>
        <v>0</v>
      </c>
      <c r="R388" s="107">
        <f>VLOOKUP(A388,'[1]Carcass '!$C$10:$E$105,3,FALSE)</f>
        <v>11.89</v>
      </c>
      <c r="S388" s="40">
        <f>VLOOKUP(A388,'[1]Carcass '!$C$10:$F$105,4,)</f>
        <v>4.75</v>
      </c>
      <c r="T388" s="107">
        <f>VLOOKUP(A388,'[1]Carcass '!$C$10:$G$397,5, FALSE)</f>
        <v>1.1240000000000001</v>
      </c>
      <c r="U388" s="41">
        <f>VLOOKUP(A388,'[1]Carcass '!$C$10:$I$105,7,)</f>
        <v>748</v>
      </c>
    </row>
    <row r="389" spans="1:22" x14ac:dyDescent="0.2">
      <c r="A389" s="28">
        <v>0</v>
      </c>
      <c r="B389" s="29">
        <v>39</v>
      </c>
      <c r="C389" s="62">
        <v>0</v>
      </c>
      <c r="D389" s="65">
        <v>154</v>
      </c>
      <c r="V389" s="4"/>
    </row>
    <row r="390" spans="1:22" x14ac:dyDescent="0.2">
      <c r="A390" s="28" t="s">
        <v>67</v>
      </c>
      <c r="B390" s="29">
        <v>19</v>
      </c>
      <c r="C390" s="28" t="s">
        <v>67</v>
      </c>
      <c r="D390" s="29">
        <v>57</v>
      </c>
      <c r="V390" s="4"/>
    </row>
    <row r="391" spans="1:22" x14ac:dyDescent="0.2">
      <c r="A391" s="28" t="s">
        <v>68</v>
      </c>
      <c r="B391" s="29">
        <v>8</v>
      </c>
      <c r="C391" s="28" t="s">
        <v>68</v>
      </c>
      <c r="D391" s="29">
        <v>13</v>
      </c>
      <c r="V391" s="4"/>
    </row>
    <row r="392" spans="1:22" x14ac:dyDescent="0.2">
      <c r="A392" s="28" t="s">
        <v>65</v>
      </c>
      <c r="B392" s="29">
        <v>29</v>
      </c>
      <c r="C392" s="28" t="s">
        <v>65</v>
      </c>
      <c r="D392" s="29">
        <v>26</v>
      </c>
      <c r="V392" s="4"/>
    </row>
    <row r="393" spans="1:22" ht="16" thickBot="1" x14ac:dyDescent="0.25">
      <c r="A393" s="39" t="s">
        <v>69</v>
      </c>
      <c r="B393" s="41" t="s">
        <v>70</v>
      </c>
      <c r="C393" s="39" t="s">
        <v>71</v>
      </c>
      <c r="D393" s="41" t="s">
        <v>72</v>
      </c>
      <c r="V393" s="4"/>
    </row>
    <row r="394" spans="1:22" x14ac:dyDescent="0.2">
      <c r="A394" s="4" t="s">
        <v>73</v>
      </c>
      <c r="B394" s="4"/>
      <c r="C394" s="4" t="s">
        <v>74</v>
      </c>
      <c r="V394" s="4"/>
    </row>
    <row r="395" spans="1:22" ht="16" thickBot="1" x14ac:dyDescent="0.25">
      <c r="A395" s="45"/>
      <c r="B395" s="45"/>
      <c r="V395" s="4"/>
    </row>
    <row r="396" spans="1:22" x14ac:dyDescent="0.2">
      <c r="A396" s="114" t="s">
        <v>75</v>
      </c>
      <c r="B396" s="115"/>
      <c r="V396" s="4"/>
    </row>
    <row r="397" spans="1:22" x14ac:dyDescent="0.2">
      <c r="A397" s="116">
        <v>0</v>
      </c>
      <c r="B397" s="117">
        <v>193</v>
      </c>
      <c r="V397" s="4"/>
    </row>
    <row r="398" spans="1:22" x14ac:dyDescent="0.2">
      <c r="A398" s="116" t="s">
        <v>67</v>
      </c>
      <c r="B398" s="117">
        <v>76</v>
      </c>
      <c r="V398" s="4"/>
    </row>
    <row r="399" spans="1:22" x14ac:dyDescent="0.2">
      <c r="A399" s="118" t="s">
        <v>68</v>
      </c>
      <c r="B399" s="119">
        <v>21</v>
      </c>
      <c r="V399" s="4"/>
    </row>
    <row r="400" spans="1:22" x14ac:dyDescent="0.2">
      <c r="A400" s="118" t="s">
        <v>65</v>
      </c>
      <c r="B400" s="119">
        <v>55</v>
      </c>
      <c r="V400" s="4"/>
    </row>
    <row r="401" spans="1:22" ht="16" thickBot="1" x14ac:dyDescent="0.25">
      <c r="A401" s="120" t="s">
        <v>76</v>
      </c>
      <c r="B401" s="121" t="s">
        <v>77</v>
      </c>
      <c r="V401" s="4"/>
    </row>
    <row r="402" spans="1:22" x14ac:dyDescent="0.2">
      <c r="A402" s="44"/>
      <c r="B402" s="44"/>
      <c r="V402" s="4"/>
    </row>
    <row r="403" spans="1:22" x14ac:dyDescent="0.2">
      <c r="A403" s="4"/>
      <c r="B403" s="4"/>
      <c r="V403" s="4"/>
    </row>
    <row r="404" spans="1:22" x14ac:dyDescent="0.2">
      <c r="A404" s="4"/>
      <c r="B404" s="4"/>
      <c r="V404" s="4"/>
    </row>
    <row r="405" spans="1:22" x14ac:dyDescent="0.2">
      <c r="A405" s="44"/>
      <c r="B405" s="44"/>
      <c r="V405" s="4"/>
    </row>
    <row r="406" spans="1:22" x14ac:dyDescent="0.2">
      <c r="A406" s="44"/>
      <c r="B406" s="44"/>
      <c r="V406" s="4"/>
    </row>
    <row r="407" spans="1:22" x14ac:dyDescent="0.2">
      <c r="A407" s="44"/>
      <c r="B407" s="44"/>
      <c r="V407" s="4"/>
    </row>
    <row r="408" spans="1:22" x14ac:dyDescent="0.2">
      <c r="A408" s="44"/>
      <c r="B408" s="44"/>
      <c r="V408" s="4"/>
    </row>
    <row r="409" spans="1:22" x14ac:dyDescent="0.2">
      <c r="A409" s="44"/>
      <c r="B409" s="44"/>
      <c r="V409" s="4"/>
    </row>
    <row r="410" spans="1:22" x14ac:dyDescent="0.2">
      <c r="A410" s="45"/>
      <c r="B410" s="45"/>
      <c r="V410" s="4"/>
    </row>
    <row r="411" spans="1:22" x14ac:dyDescent="0.2">
      <c r="A411" s="44"/>
      <c r="B411" s="44"/>
      <c r="V411" s="4"/>
    </row>
    <row r="412" spans="1:22" x14ac:dyDescent="0.2">
      <c r="A412" s="45"/>
      <c r="B412" s="45"/>
      <c r="V412" s="4"/>
    </row>
    <row r="413" spans="1:22" x14ac:dyDescent="0.2">
      <c r="A413" s="44"/>
      <c r="B413" s="44"/>
      <c r="V413" s="4"/>
    </row>
    <row r="414" spans="1:22" x14ac:dyDescent="0.2">
      <c r="A414" s="4"/>
      <c r="B414" s="4"/>
      <c r="V414" s="4"/>
    </row>
    <row r="415" spans="1:22" x14ac:dyDescent="0.2">
      <c r="A415" s="4"/>
      <c r="B415" s="4"/>
      <c r="V415" s="4"/>
    </row>
    <row r="416" spans="1:22" x14ac:dyDescent="0.2">
      <c r="A416" s="45"/>
      <c r="B416" s="45"/>
      <c r="V416" s="4"/>
    </row>
    <row r="417" spans="1:22" x14ac:dyDescent="0.2">
      <c r="A417" s="4"/>
      <c r="B417" s="4"/>
      <c r="V417" s="4"/>
    </row>
    <row r="418" spans="1:22" x14ac:dyDescent="0.2">
      <c r="A418" s="44"/>
      <c r="B418" s="44"/>
      <c r="V418" s="4"/>
    </row>
    <row r="419" spans="1:22" x14ac:dyDescent="0.2">
      <c r="A419" s="4"/>
      <c r="B419" s="4"/>
      <c r="V419" s="4"/>
    </row>
    <row r="420" spans="1:22" x14ac:dyDescent="0.2">
      <c r="A420" s="4"/>
      <c r="B420" s="4"/>
      <c r="V420" s="4"/>
    </row>
    <row r="421" spans="1:22" x14ac:dyDescent="0.2">
      <c r="A421" s="45"/>
      <c r="B421" s="45"/>
      <c r="V421" s="4"/>
    </row>
    <row r="422" spans="1:22" x14ac:dyDescent="0.2">
      <c r="A422" s="44"/>
      <c r="B422" s="44"/>
      <c r="V422" s="4"/>
    </row>
    <row r="423" spans="1:22" x14ac:dyDescent="0.2">
      <c r="A423" s="45"/>
      <c r="B423" s="45"/>
      <c r="V423" s="4"/>
    </row>
    <row r="424" spans="1:22" x14ac:dyDescent="0.2">
      <c r="A424" s="44"/>
      <c r="B424" s="44"/>
      <c r="V424" s="4"/>
    </row>
    <row r="425" spans="1:22" x14ac:dyDescent="0.2">
      <c r="A425" s="4"/>
      <c r="B425" s="4"/>
      <c r="V425" s="4"/>
    </row>
    <row r="426" spans="1:22" x14ac:dyDescent="0.2">
      <c r="A426" s="44"/>
      <c r="B426" s="44"/>
      <c r="V426" s="4"/>
    </row>
    <row r="427" spans="1:22" x14ac:dyDescent="0.2">
      <c r="A427" s="44"/>
      <c r="B427" s="44"/>
      <c r="V427" s="4"/>
    </row>
    <row r="428" spans="1:22" x14ac:dyDescent="0.2">
      <c r="A428" s="45"/>
      <c r="B428" s="45"/>
      <c r="V428" s="4"/>
    </row>
    <row r="429" spans="1:22" x14ac:dyDescent="0.2">
      <c r="A429" s="4"/>
      <c r="B429" s="4"/>
      <c r="V429" s="4"/>
    </row>
    <row r="430" spans="1:22" x14ac:dyDescent="0.2">
      <c r="A430" s="4"/>
      <c r="B430" s="4"/>
      <c r="V430" s="4"/>
    </row>
    <row r="431" spans="1:22" x14ac:dyDescent="0.2">
      <c r="A431" s="44"/>
      <c r="B431" s="44"/>
      <c r="V431" s="4"/>
    </row>
    <row r="432" spans="1:22" x14ac:dyDescent="0.2">
      <c r="A432" s="4"/>
      <c r="B432" s="4"/>
      <c r="V432" s="4"/>
    </row>
    <row r="433" spans="1:22" x14ac:dyDescent="0.2">
      <c r="A433" s="45"/>
      <c r="B433" s="45"/>
      <c r="V433" s="4"/>
    </row>
    <row r="434" spans="1:22" x14ac:dyDescent="0.2">
      <c r="A434" s="44"/>
      <c r="B434" s="44"/>
      <c r="V434" s="4"/>
    </row>
    <row r="435" spans="1:22" x14ac:dyDescent="0.2">
      <c r="A435" s="44"/>
      <c r="B435" s="44"/>
      <c r="V435" s="4"/>
    </row>
    <row r="436" spans="1:22" x14ac:dyDescent="0.2">
      <c r="A436" s="44"/>
      <c r="B436" s="44"/>
      <c r="V436" s="4"/>
    </row>
    <row r="437" spans="1:22" x14ac:dyDescent="0.2">
      <c r="A437" s="45"/>
      <c r="B437" s="45"/>
      <c r="V437" s="4"/>
    </row>
    <row r="438" spans="1:22" x14ac:dyDescent="0.2">
      <c r="A438" s="44"/>
      <c r="B438" s="44"/>
      <c r="V438" s="4"/>
    </row>
    <row r="439" spans="1:22" x14ac:dyDescent="0.2">
      <c r="A439" s="4"/>
      <c r="B439" s="4"/>
      <c r="V439" s="4"/>
    </row>
    <row r="440" spans="1:22" x14ac:dyDescent="0.2">
      <c r="A440" s="44"/>
      <c r="B440" s="44"/>
      <c r="V440" s="4"/>
    </row>
    <row r="441" spans="1:22" x14ac:dyDescent="0.2">
      <c r="A441" s="4"/>
      <c r="B441" s="4"/>
      <c r="V441" s="4"/>
    </row>
    <row r="442" spans="1:22" x14ac:dyDescent="0.2">
      <c r="A442" s="45"/>
      <c r="B442" s="45"/>
      <c r="V442" s="4"/>
    </row>
    <row r="443" spans="1:22" x14ac:dyDescent="0.2">
      <c r="A443" s="44"/>
      <c r="B443" s="44"/>
      <c r="V443" s="4"/>
    </row>
    <row r="444" spans="1:22" x14ac:dyDescent="0.2">
      <c r="A444" s="4"/>
      <c r="B444" s="4"/>
      <c r="V444" s="4"/>
    </row>
    <row r="445" spans="1:22" x14ac:dyDescent="0.2">
      <c r="A445" s="44"/>
      <c r="B445" s="44"/>
      <c r="V445" s="4"/>
    </row>
    <row r="446" spans="1:22" x14ac:dyDescent="0.2">
      <c r="A446" s="44"/>
      <c r="B446" s="44"/>
      <c r="V446" s="4"/>
    </row>
    <row r="447" spans="1:22" x14ac:dyDescent="0.2">
      <c r="A447" s="4"/>
      <c r="B447" s="4"/>
      <c r="V447" s="4"/>
    </row>
    <row r="448" spans="1:22" x14ac:dyDescent="0.2">
      <c r="A448" s="44"/>
      <c r="B448" s="44"/>
      <c r="V448" s="4"/>
    </row>
    <row r="449" spans="1:22" x14ac:dyDescent="0.2">
      <c r="A449" s="44"/>
      <c r="B449" s="44"/>
      <c r="V449" s="4"/>
    </row>
    <row r="450" spans="1:22" x14ac:dyDescent="0.2">
      <c r="A450" s="45"/>
      <c r="B450" s="45"/>
      <c r="V450" s="4"/>
    </row>
    <row r="451" spans="1:22" x14ac:dyDescent="0.2">
      <c r="A451" s="44"/>
      <c r="B451" s="44"/>
      <c r="V451" s="4"/>
    </row>
    <row r="452" spans="1:22" x14ac:dyDescent="0.2">
      <c r="A452" s="44"/>
      <c r="B452" s="44"/>
      <c r="V452" s="4"/>
    </row>
    <row r="453" spans="1:22" x14ac:dyDescent="0.2">
      <c r="A453" s="4"/>
      <c r="B453" s="4"/>
      <c r="V453" s="4"/>
    </row>
    <row r="454" spans="1:22" x14ac:dyDescent="0.2">
      <c r="A454" s="4"/>
      <c r="B454" s="4"/>
      <c r="V454" s="4"/>
    </row>
    <row r="455" spans="1:22" x14ac:dyDescent="0.2">
      <c r="A455" s="4"/>
      <c r="B455" s="4"/>
      <c r="V455" s="4"/>
    </row>
    <row r="456" spans="1:22" x14ac:dyDescent="0.2">
      <c r="A456" s="4"/>
      <c r="B456" s="4"/>
      <c r="V456" s="4"/>
    </row>
    <row r="457" spans="1:22" x14ac:dyDescent="0.2">
      <c r="A457" s="4"/>
      <c r="B457" s="4"/>
      <c r="V457" s="4"/>
    </row>
    <row r="458" spans="1:22" x14ac:dyDescent="0.2">
      <c r="A458" s="4"/>
      <c r="B458" s="4"/>
      <c r="V458" s="4"/>
    </row>
    <row r="459" spans="1:22" x14ac:dyDescent="0.2">
      <c r="A459" s="45"/>
      <c r="B459" s="45"/>
      <c r="V459" s="4"/>
    </row>
    <row r="460" spans="1:22" x14ac:dyDescent="0.2">
      <c r="A460" s="4"/>
      <c r="B460" s="4"/>
      <c r="V460" s="4"/>
    </row>
    <row r="461" spans="1:22" x14ac:dyDescent="0.2">
      <c r="A461" s="44"/>
      <c r="B461" s="44"/>
      <c r="V461" s="4"/>
    </row>
    <row r="462" spans="1:22" x14ac:dyDescent="0.2">
      <c r="A462" s="44"/>
      <c r="B462" s="44"/>
      <c r="V462" s="4"/>
    </row>
    <row r="463" spans="1:22" x14ac:dyDescent="0.2">
      <c r="A463" s="45"/>
      <c r="B463" s="45"/>
      <c r="V463" s="4"/>
    </row>
    <row r="464" spans="1:22" x14ac:dyDescent="0.2">
      <c r="A464" s="4"/>
      <c r="B464" s="4"/>
      <c r="V464" s="4"/>
    </row>
    <row r="465" spans="1:22" x14ac:dyDescent="0.2">
      <c r="A465" s="45"/>
      <c r="B465" s="45"/>
      <c r="V465" s="4"/>
    </row>
    <row r="466" spans="1:22" x14ac:dyDescent="0.2">
      <c r="A466" s="45"/>
      <c r="B466" s="45"/>
      <c r="V466" s="4"/>
    </row>
    <row r="467" spans="1:22" x14ac:dyDescent="0.2">
      <c r="A467" s="4"/>
      <c r="B467" s="4"/>
      <c r="V467" s="4"/>
    </row>
    <row r="468" spans="1:22" x14ac:dyDescent="0.2">
      <c r="A468" s="4"/>
      <c r="B468" s="4"/>
      <c r="V468" s="4"/>
    </row>
    <row r="469" spans="1:22" x14ac:dyDescent="0.2">
      <c r="A469" s="46"/>
      <c r="B469" s="46"/>
      <c r="V469" s="4"/>
    </row>
    <row r="470" spans="1:22" x14ac:dyDescent="0.2">
      <c r="A470" s="46"/>
      <c r="B470" s="46"/>
      <c r="V470" s="4"/>
    </row>
    <row r="471" spans="1:22" x14ac:dyDescent="0.2">
      <c r="A471" s="46"/>
      <c r="B471" s="46"/>
      <c r="V471" s="4"/>
    </row>
    <row r="472" spans="1:22" x14ac:dyDescent="0.2">
      <c r="A472" s="46"/>
      <c r="B472" s="46"/>
      <c r="V472" s="4"/>
    </row>
    <row r="473" spans="1:22" x14ac:dyDescent="0.2">
      <c r="A473" s="46"/>
      <c r="B473" s="46"/>
      <c r="V473" s="4"/>
    </row>
    <row r="474" spans="1:22" x14ac:dyDescent="0.2">
      <c r="A474" s="46"/>
      <c r="B474" s="46"/>
      <c r="V474" s="4"/>
    </row>
    <row r="475" spans="1:22" x14ac:dyDescent="0.2">
      <c r="A475" s="46"/>
      <c r="B475" s="46"/>
      <c r="V475" s="4"/>
    </row>
    <row r="476" spans="1:22" x14ac:dyDescent="0.2">
      <c r="A476" s="46"/>
      <c r="B476" s="46"/>
      <c r="V476" s="4"/>
    </row>
    <row r="477" spans="1:22" x14ac:dyDescent="0.2">
      <c r="A477" s="46"/>
      <c r="B477" s="46"/>
      <c r="V477" s="4"/>
    </row>
    <row r="478" spans="1:22" x14ac:dyDescent="0.2">
      <c r="A478" s="46"/>
      <c r="B478" s="46"/>
      <c r="V478" s="4"/>
    </row>
    <row r="479" spans="1:22" x14ac:dyDescent="0.2">
      <c r="A479" s="46"/>
      <c r="B479" s="46"/>
      <c r="V479" s="4"/>
    </row>
    <row r="480" spans="1:22" x14ac:dyDescent="0.2">
      <c r="A480" s="46"/>
      <c r="B480" s="46"/>
      <c r="V480" s="4"/>
    </row>
    <row r="481" spans="1:22" x14ac:dyDescent="0.2">
      <c r="A481" s="46"/>
      <c r="B481" s="46"/>
      <c r="V481" s="4"/>
    </row>
    <row r="482" spans="1:22" x14ac:dyDescent="0.2">
      <c r="A482" s="46"/>
      <c r="B482" s="46"/>
      <c r="V482" s="4"/>
    </row>
    <row r="483" spans="1:22" x14ac:dyDescent="0.2">
      <c r="A483" s="46"/>
      <c r="B483" s="46"/>
      <c r="V483" s="4"/>
    </row>
    <row r="484" spans="1:22" x14ac:dyDescent="0.2">
      <c r="A484" s="46"/>
      <c r="B484" s="46"/>
      <c r="V484" s="4"/>
    </row>
    <row r="485" spans="1:22" x14ac:dyDescent="0.2">
      <c r="A485" s="46"/>
      <c r="B485" s="46"/>
      <c r="V485" s="4"/>
    </row>
    <row r="486" spans="1:22" x14ac:dyDescent="0.2">
      <c r="A486" s="46"/>
      <c r="B486" s="46"/>
      <c r="V486" s="4"/>
    </row>
    <row r="487" spans="1:22" x14ac:dyDescent="0.2">
      <c r="A487" s="46"/>
      <c r="B487" s="46"/>
      <c r="V487" s="4"/>
    </row>
    <row r="488" spans="1:22" x14ac:dyDescent="0.2">
      <c r="A488" s="46"/>
      <c r="B488" s="46"/>
      <c r="V488" s="4"/>
    </row>
    <row r="489" spans="1:22" x14ac:dyDescent="0.2">
      <c r="A489" s="46"/>
      <c r="B489" s="46"/>
      <c r="V489" s="4"/>
    </row>
    <row r="490" spans="1:22" x14ac:dyDescent="0.2">
      <c r="A490" s="46"/>
      <c r="B490" s="46"/>
      <c r="V490" s="4"/>
    </row>
    <row r="491" spans="1:22" x14ac:dyDescent="0.2">
      <c r="A491" s="46"/>
      <c r="B491" s="46"/>
      <c r="V491" s="4"/>
    </row>
    <row r="492" spans="1:22" x14ac:dyDescent="0.2">
      <c r="A492" s="46"/>
      <c r="B492" s="46"/>
      <c r="V492" s="4"/>
    </row>
    <row r="493" spans="1:22" x14ac:dyDescent="0.2">
      <c r="A493" s="46"/>
      <c r="B493" s="46"/>
      <c r="V493" s="4"/>
    </row>
    <row r="494" spans="1:22" x14ac:dyDescent="0.2">
      <c r="A494" s="46"/>
      <c r="B494" s="46"/>
      <c r="V494" s="4"/>
    </row>
    <row r="495" spans="1:22" x14ac:dyDescent="0.2">
      <c r="A495" s="46"/>
      <c r="B495" s="46"/>
      <c r="V495" s="4"/>
    </row>
    <row r="496" spans="1:22" x14ac:dyDescent="0.2">
      <c r="A496" s="46"/>
      <c r="B496" s="46"/>
      <c r="V496" s="4"/>
    </row>
    <row r="497" spans="1:22" x14ac:dyDescent="0.2">
      <c r="A497" s="46"/>
      <c r="B497" s="46"/>
      <c r="V497" s="4"/>
    </row>
    <row r="498" spans="1:22" x14ac:dyDescent="0.2">
      <c r="A498" s="46"/>
      <c r="B498" s="46"/>
      <c r="V498" s="4"/>
    </row>
    <row r="499" spans="1:22" x14ac:dyDescent="0.2">
      <c r="A499" s="46"/>
      <c r="B499" s="46"/>
      <c r="V499" s="4"/>
    </row>
    <row r="500" spans="1:22" x14ac:dyDescent="0.2">
      <c r="A500" s="46"/>
      <c r="B500" s="46"/>
      <c r="V500" s="4"/>
    </row>
    <row r="501" spans="1:22" x14ac:dyDescent="0.2">
      <c r="A501" s="46"/>
      <c r="B501" s="46"/>
      <c r="V501" s="4"/>
    </row>
    <row r="502" spans="1:22" x14ac:dyDescent="0.2">
      <c r="A502" s="46"/>
      <c r="B502" s="46"/>
      <c r="V502" s="4"/>
    </row>
    <row r="503" spans="1:22" x14ac:dyDescent="0.2">
      <c r="A503" s="46"/>
      <c r="B503" s="46"/>
      <c r="V503" s="4"/>
    </row>
    <row r="504" spans="1:22" x14ac:dyDescent="0.2">
      <c r="A504" s="46"/>
      <c r="B504" s="46"/>
      <c r="V504" s="4"/>
    </row>
    <row r="505" spans="1:22" x14ac:dyDescent="0.2">
      <c r="A505" s="46"/>
      <c r="B505" s="46"/>
      <c r="V505" s="4"/>
    </row>
    <row r="506" spans="1:22" x14ac:dyDescent="0.2">
      <c r="A506" s="46"/>
      <c r="B506" s="46"/>
      <c r="V506" s="4"/>
    </row>
    <row r="507" spans="1:22" x14ac:dyDescent="0.2">
      <c r="A507" s="46"/>
      <c r="B507" s="46"/>
      <c r="V507" s="4"/>
    </row>
    <row r="508" spans="1:22" x14ac:dyDescent="0.2">
      <c r="A508" s="46"/>
      <c r="B508" s="46"/>
      <c r="V508" s="4"/>
    </row>
    <row r="509" spans="1:22" x14ac:dyDescent="0.2">
      <c r="A509" s="46"/>
      <c r="B509" s="46"/>
      <c r="V509" s="4"/>
    </row>
    <row r="510" spans="1:22" x14ac:dyDescent="0.2">
      <c r="A510" s="46"/>
      <c r="B510" s="46"/>
      <c r="V510" s="4"/>
    </row>
    <row r="511" spans="1:22" x14ac:dyDescent="0.2">
      <c r="A511" s="46"/>
      <c r="B511" s="46"/>
      <c r="V511" s="4"/>
    </row>
    <row r="512" spans="1:22" x14ac:dyDescent="0.2">
      <c r="A512" s="46"/>
      <c r="B512" s="46"/>
      <c r="V512" s="4"/>
    </row>
    <row r="513" spans="1:22" x14ac:dyDescent="0.2">
      <c r="A513" s="46"/>
      <c r="B513" s="46"/>
      <c r="V513" s="4"/>
    </row>
    <row r="514" spans="1:22" x14ac:dyDescent="0.2">
      <c r="A514" s="46"/>
      <c r="B514" s="46"/>
      <c r="V514" s="4"/>
    </row>
    <row r="515" spans="1:22" x14ac:dyDescent="0.2">
      <c r="A515" s="46"/>
      <c r="B515" s="46"/>
      <c r="V515" s="4"/>
    </row>
    <row r="516" spans="1:22" x14ac:dyDescent="0.2">
      <c r="A516" s="46"/>
      <c r="B516" s="46"/>
      <c r="V516" s="4"/>
    </row>
    <row r="517" spans="1:22" x14ac:dyDescent="0.2">
      <c r="A517" s="46"/>
      <c r="B517" s="46"/>
      <c r="V517" s="4"/>
    </row>
    <row r="518" spans="1:22" x14ac:dyDescent="0.2">
      <c r="A518" s="46"/>
      <c r="B518" s="46"/>
    </row>
    <row r="519" spans="1:22" x14ac:dyDescent="0.2">
      <c r="A519" s="46"/>
      <c r="B519" s="46"/>
    </row>
    <row r="520" spans="1:22" x14ac:dyDescent="0.2">
      <c r="A520" s="46"/>
      <c r="B520" s="46"/>
    </row>
    <row r="521" spans="1:22" x14ac:dyDescent="0.2">
      <c r="A521" s="46"/>
      <c r="B521" s="46"/>
    </row>
    <row r="522" spans="1:22" x14ac:dyDescent="0.2">
      <c r="A522" s="46"/>
      <c r="B522" s="46"/>
    </row>
    <row r="523" spans="1:22" x14ac:dyDescent="0.2">
      <c r="A523" s="46"/>
      <c r="B523" s="46"/>
    </row>
    <row r="524" spans="1:22" x14ac:dyDescent="0.2">
      <c r="A524" s="46"/>
      <c r="B524" s="46"/>
    </row>
    <row r="525" spans="1:22" x14ac:dyDescent="0.2">
      <c r="A525" s="46"/>
      <c r="B525" s="46"/>
    </row>
    <row r="526" spans="1:22" x14ac:dyDescent="0.2">
      <c r="A526" s="46"/>
      <c r="B526" s="46"/>
    </row>
    <row r="527" spans="1:22" x14ac:dyDescent="0.2">
      <c r="A527" s="46"/>
      <c r="B527" s="46"/>
    </row>
    <row r="528" spans="1:22" x14ac:dyDescent="0.2">
      <c r="A528" s="46"/>
      <c r="B528" s="46"/>
    </row>
    <row r="529" spans="1:2" x14ac:dyDescent="0.2">
      <c r="A529" s="46"/>
      <c r="B529" s="46"/>
    </row>
    <row r="530" spans="1:2" x14ac:dyDescent="0.2">
      <c r="A530" s="46"/>
      <c r="B530" s="46"/>
    </row>
    <row r="531" spans="1:2" x14ac:dyDescent="0.2">
      <c r="A531" s="46"/>
      <c r="B531" s="46"/>
    </row>
    <row r="532" spans="1:2" x14ac:dyDescent="0.2">
      <c r="A532" s="46"/>
      <c r="B532" s="46"/>
    </row>
    <row r="533" spans="1:2" x14ac:dyDescent="0.2">
      <c r="A533" s="46"/>
      <c r="B533" s="46"/>
    </row>
    <row r="534" spans="1:2" x14ac:dyDescent="0.2">
      <c r="A534" s="46"/>
      <c r="B534" s="46"/>
    </row>
    <row r="535" spans="1:2" x14ac:dyDescent="0.2">
      <c r="A535" s="46"/>
      <c r="B535" s="46"/>
    </row>
    <row r="536" spans="1:2" x14ac:dyDescent="0.2">
      <c r="A536" s="46"/>
      <c r="B536" s="46"/>
    </row>
    <row r="537" spans="1:2" x14ac:dyDescent="0.2">
      <c r="A537" s="46"/>
      <c r="B537" s="46"/>
    </row>
    <row r="538" spans="1:2" x14ac:dyDescent="0.2">
      <c r="A538" s="46"/>
      <c r="B538" s="46"/>
    </row>
    <row r="539" spans="1:2" x14ac:dyDescent="0.2">
      <c r="A539" s="46"/>
      <c r="B539" s="46"/>
    </row>
    <row r="540" spans="1:2" x14ac:dyDescent="0.2">
      <c r="A540" s="46"/>
      <c r="B540" s="46"/>
    </row>
    <row r="541" spans="1:2" x14ac:dyDescent="0.2">
      <c r="A541" s="46"/>
      <c r="B541" s="46"/>
    </row>
    <row r="542" spans="1:2" x14ac:dyDescent="0.2">
      <c r="A542" s="46"/>
      <c r="B542" s="46"/>
    </row>
    <row r="543" spans="1:2" x14ac:dyDescent="0.2">
      <c r="A543" s="46"/>
      <c r="B543" s="46"/>
    </row>
    <row r="544" spans="1:2" x14ac:dyDescent="0.2">
      <c r="A544" s="46"/>
      <c r="B544" s="46"/>
    </row>
    <row r="545" spans="1:2" x14ac:dyDescent="0.2">
      <c r="A545" s="46"/>
      <c r="B545" s="46"/>
    </row>
    <row r="546" spans="1:2" x14ac:dyDescent="0.2">
      <c r="A546" s="46"/>
      <c r="B546" s="46"/>
    </row>
    <row r="547" spans="1:2" x14ac:dyDescent="0.2">
      <c r="A547" s="46"/>
      <c r="B547" s="46"/>
    </row>
    <row r="548" spans="1:2" x14ac:dyDescent="0.2">
      <c r="A548" s="46"/>
      <c r="B548" s="46"/>
    </row>
    <row r="549" spans="1:2" x14ac:dyDescent="0.2">
      <c r="A549" s="46"/>
      <c r="B549" s="46"/>
    </row>
    <row r="550" spans="1:2" x14ac:dyDescent="0.2">
      <c r="A550" s="46"/>
      <c r="B550" s="46"/>
    </row>
    <row r="551" spans="1:2" x14ac:dyDescent="0.2">
      <c r="A551" s="46"/>
      <c r="B551" s="46"/>
    </row>
    <row r="552" spans="1:2" x14ac:dyDescent="0.2">
      <c r="A552" s="46"/>
      <c r="B552" s="46"/>
    </row>
    <row r="553" spans="1:2" x14ac:dyDescent="0.2">
      <c r="A553" s="46"/>
      <c r="B553" s="46"/>
    </row>
    <row r="554" spans="1:2" x14ac:dyDescent="0.2">
      <c r="A554" s="46"/>
      <c r="B554" s="46"/>
    </row>
    <row r="555" spans="1:2" x14ac:dyDescent="0.2">
      <c r="A555" s="46"/>
      <c r="B555" s="46"/>
    </row>
    <row r="556" spans="1:2" x14ac:dyDescent="0.2">
      <c r="A556" s="46"/>
      <c r="B556" s="46"/>
    </row>
    <row r="557" spans="1:2" x14ac:dyDescent="0.2">
      <c r="A557" s="46"/>
      <c r="B557" s="46"/>
    </row>
    <row r="558" spans="1:2" x14ac:dyDescent="0.2">
      <c r="A558" s="46"/>
      <c r="B558" s="46"/>
    </row>
    <row r="559" spans="1:2" x14ac:dyDescent="0.2">
      <c r="A559" s="46"/>
      <c r="B559" s="46"/>
    </row>
    <row r="560" spans="1:2" x14ac:dyDescent="0.2">
      <c r="A560" s="46"/>
      <c r="B560" s="46"/>
    </row>
    <row r="561" spans="1:2" x14ac:dyDescent="0.2">
      <c r="A561" s="46"/>
      <c r="B561" s="46"/>
    </row>
    <row r="562" spans="1:2" x14ac:dyDescent="0.2">
      <c r="A562" s="46"/>
      <c r="B562" s="46"/>
    </row>
    <row r="563" spans="1:2" x14ac:dyDescent="0.2">
      <c r="A563" s="46"/>
      <c r="B563" s="46"/>
    </row>
    <row r="564" spans="1:2" x14ac:dyDescent="0.2">
      <c r="A564" s="46"/>
      <c r="B564" s="46"/>
    </row>
    <row r="565" spans="1:2" x14ac:dyDescent="0.2">
      <c r="A565" s="47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4C98-CFC4-124E-9D7D-9E972DC3E919}">
  <sheetPr>
    <pageSetUpPr fitToPage="1"/>
  </sheetPr>
  <dimension ref="A1:E41"/>
  <sheetViews>
    <sheetView zoomScale="176" workbookViewId="0">
      <selection activeCell="F4" sqref="F4"/>
    </sheetView>
  </sheetViews>
  <sheetFormatPr baseColWidth="10" defaultColWidth="11.5" defaultRowHeight="15" x14ac:dyDescent="0.2"/>
  <cols>
    <col min="1" max="2" width="11.5" style="4"/>
    <col min="3" max="3" width="19.83203125" style="4" bestFit="1" customWidth="1"/>
    <col min="4" max="5" width="11.5" style="4"/>
    <col min="6" max="16384" width="11.5" style="48"/>
  </cols>
  <sheetData>
    <row r="1" spans="1:5" x14ac:dyDescent="0.2">
      <c r="A1" s="4" t="s">
        <v>2</v>
      </c>
      <c r="B1" s="4" t="s">
        <v>5</v>
      </c>
      <c r="C1" s="4" t="s">
        <v>51</v>
      </c>
      <c r="D1" s="4" t="s">
        <v>78</v>
      </c>
      <c r="E1" s="4" t="s">
        <v>79</v>
      </c>
    </row>
    <row r="2" spans="1:5" x14ac:dyDescent="0.2">
      <c r="A2" s="4">
        <v>1</v>
      </c>
      <c r="B2" s="4">
        <v>210</v>
      </c>
      <c r="C2" s="4" t="s">
        <v>22</v>
      </c>
      <c r="D2" s="4">
        <v>0</v>
      </c>
      <c r="E2" s="4">
        <v>8</v>
      </c>
    </row>
    <row r="3" spans="1:5" x14ac:dyDescent="0.2">
      <c r="A3" s="4">
        <v>1</v>
      </c>
      <c r="B3" s="4">
        <v>213</v>
      </c>
      <c r="C3" s="4" t="s">
        <v>24</v>
      </c>
      <c r="D3" s="4">
        <v>1</v>
      </c>
      <c r="E3" s="4">
        <v>8</v>
      </c>
    </row>
    <row r="4" spans="1:5" x14ac:dyDescent="0.2">
      <c r="A4" s="4">
        <v>2</v>
      </c>
      <c r="B4" s="4">
        <v>311</v>
      </c>
      <c r="C4" s="4" t="s">
        <v>22</v>
      </c>
      <c r="D4" s="4">
        <v>1</v>
      </c>
      <c r="E4" s="4">
        <v>8</v>
      </c>
    </row>
    <row r="5" spans="1:5" x14ac:dyDescent="0.2">
      <c r="A5" s="4">
        <v>2</v>
      </c>
      <c r="B5" s="4">
        <v>315</v>
      </c>
      <c r="C5" s="4" t="s">
        <v>25</v>
      </c>
      <c r="D5" s="4">
        <v>1</v>
      </c>
      <c r="E5" s="4">
        <v>9</v>
      </c>
    </row>
    <row r="6" spans="1:5" x14ac:dyDescent="0.2">
      <c r="A6" s="4">
        <v>2</v>
      </c>
      <c r="B6" s="4">
        <v>318</v>
      </c>
      <c r="C6" s="4" t="s">
        <v>24</v>
      </c>
      <c r="D6" s="4">
        <v>1</v>
      </c>
      <c r="E6" s="4">
        <v>7</v>
      </c>
    </row>
    <row r="7" spans="1:5" x14ac:dyDescent="0.2">
      <c r="A7" s="4">
        <v>1</v>
      </c>
      <c r="B7" s="4">
        <v>205</v>
      </c>
      <c r="C7" s="4" t="s">
        <v>22</v>
      </c>
      <c r="D7" s="4">
        <v>2</v>
      </c>
      <c r="E7" s="4">
        <v>9</v>
      </c>
    </row>
    <row r="8" spans="1:5" x14ac:dyDescent="0.2">
      <c r="A8" s="4">
        <v>1</v>
      </c>
      <c r="B8" s="4">
        <v>207</v>
      </c>
      <c r="C8" s="4" t="s">
        <v>21</v>
      </c>
      <c r="D8" s="4">
        <v>2</v>
      </c>
      <c r="E8" s="4">
        <v>9</v>
      </c>
    </row>
    <row r="9" spans="1:5" x14ac:dyDescent="0.2">
      <c r="A9" s="4">
        <v>1</v>
      </c>
      <c r="B9" s="4">
        <v>211</v>
      </c>
      <c r="C9" s="4" t="s">
        <v>21</v>
      </c>
      <c r="D9" s="4">
        <v>2</v>
      </c>
      <c r="E9" s="4">
        <v>10</v>
      </c>
    </row>
    <row r="10" spans="1:5" x14ac:dyDescent="0.2">
      <c r="A10" s="4">
        <v>1</v>
      </c>
      <c r="B10" s="4">
        <v>214</v>
      </c>
      <c r="C10" s="4" t="s">
        <v>25</v>
      </c>
      <c r="D10" s="4">
        <v>2</v>
      </c>
      <c r="E10" s="4">
        <v>8</v>
      </c>
    </row>
    <row r="11" spans="1:5" x14ac:dyDescent="0.2">
      <c r="A11" s="4">
        <v>2</v>
      </c>
      <c r="B11" s="4">
        <v>305</v>
      </c>
      <c r="C11" s="4" t="s">
        <v>22</v>
      </c>
      <c r="D11" s="4">
        <v>2</v>
      </c>
      <c r="E11" s="4">
        <v>8</v>
      </c>
    </row>
    <row r="12" spans="1:5" x14ac:dyDescent="0.2">
      <c r="A12" s="4">
        <v>2</v>
      </c>
      <c r="B12" s="4">
        <v>306</v>
      </c>
      <c r="C12" s="4" t="s">
        <v>21</v>
      </c>
      <c r="D12" s="4">
        <v>2</v>
      </c>
      <c r="E12" s="4">
        <v>7</v>
      </c>
    </row>
    <row r="13" spans="1:5" x14ac:dyDescent="0.2">
      <c r="A13" s="4">
        <v>1</v>
      </c>
      <c r="B13" s="4">
        <v>209</v>
      </c>
      <c r="C13" s="4" t="s">
        <v>25</v>
      </c>
      <c r="D13" s="4">
        <v>3</v>
      </c>
      <c r="E13" s="4">
        <v>8</v>
      </c>
    </row>
    <row r="14" spans="1:5" x14ac:dyDescent="0.2">
      <c r="A14" s="4">
        <v>2</v>
      </c>
      <c r="B14" s="4">
        <v>301</v>
      </c>
      <c r="C14" s="4" t="s">
        <v>25</v>
      </c>
      <c r="D14" s="4">
        <v>3</v>
      </c>
      <c r="E14" s="4">
        <v>7</v>
      </c>
    </row>
    <row r="15" spans="1:5" x14ac:dyDescent="0.2">
      <c r="A15" s="4">
        <v>2</v>
      </c>
      <c r="B15" s="4">
        <v>303</v>
      </c>
      <c r="C15" s="4" t="s">
        <v>21</v>
      </c>
      <c r="D15" s="4">
        <v>3</v>
      </c>
      <c r="E15" s="4">
        <v>10</v>
      </c>
    </row>
    <row r="16" spans="1:5" x14ac:dyDescent="0.2">
      <c r="A16" s="4">
        <v>2</v>
      </c>
      <c r="B16" s="4">
        <v>307</v>
      </c>
      <c r="C16" s="4" t="s">
        <v>26</v>
      </c>
      <c r="D16" s="4">
        <v>3</v>
      </c>
      <c r="E16" s="4">
        <v>8</v>
      </c>
    </row>
    <row r="17" spans="1:5" x14ac:dyDescent="0.2">
      <c r="A17" s="4">
        <v>2</v>
      </c>
      <c r="B17" s="4">
        <v>313</v>
      </c>
      <c r="C17" s="4" t="s">
        <v>26</v>
      </c>
      <c r="D17" s="4">
        <v>3</v>
      </c>
      <c r="E17" s="4">
        <v>6</v>
      </c>
    </row>
    <row r="18" spans="1:5" x14ac:dyDescent="0.2">
      <c r="A18" s="4">
        <v>2</v>
      </c>
      <c r="B18" s="4">
        <v>314</v>
      </c>
      <c r="C18" s="4" t="s">
        <v>26</v>
      </c>
      <c r="D18" s="4">
        <v>3</v>
      </c>
      <c r="E18" s="4">
        <v>9</v>
      </c>
    </row>
    <row r="19" spans="1:5" x14ac:dyDescent="0.2">
      <c r="A19" s="4">
        <v>3</v>
      </c>
      <c r="B19" s="4">
        <v>409</v>
      </c>
      <c r="C19" s="4" t="s">
        <v>25</v>
      </c>
      <c r="D19" s="4">
        <v>3</v>
      </c>
      <c r="E19" s="4">
        <v>10</v>
      </c>
    </row>
    <row r="20" spans="1:5" x14ac:dyDescent="0.2">
      <c r="A20" s="4">
        <v>3</v>
      </c>
      <c r="B20" s="4">
        <v>410</v>
      </c>
      <c r="C20" s="4" t="s">
        <v>26</v>
      </c>
      <c r="D20" s="4">
        <v>3</v>
      </c>
      <c r="E20" s="4">
        <v>10</v>
      </c>
    </row>
    <row r="21" spans="1:5" x14ac:dyDescent="0.2">
      <c r="A21" s="4">
        <v>1</v>
      </c>
      <c r="B21" s="4">
        <v>206</v>
      </c>
      <c r="C21" s="4" t="s">
        <v>24</v>
      </c>
      <c r="D21" s="4">
        <v>4</v>
      </c>
      <c r="E21" s="4">
        <v>8</v>
      </c>
    </row>
    <row r="22" spans="1:5" x14ac:dyDescent="0.2">
      <c r="A22" s="4">
        <v>1</v>
      </c>
      <c r="B22" s="4">
        <v>208</v>
      </c>
      <c r="C22" s="4" t="s">
        <v>26</v>
      </c>
      <c r="D22" s="4">
        <v>4</v>
      </c>
      <c r="E22" s="4">
        <v>7</v>
      </c>
    </row>
    <row r="23" spans="1:5" x14ac:dyDescent="0.2">
      <c r="A23" s="4">
        <v>1</v>
      </c>
      <c r="B23" s="4">
        <v>212</v>
      </c>
      <c r="C23" s="4" t="s">
        <v>26</v>
      </c>
      <c r="D23" s="4">
        <v>4</v>
      </c>
      <c r="E23" s="4">
        <v>9</v>
      </c>
    </row>
    <row r="24" spans="1:5" x14ac:dyDescent="0.2">
      <c r="A24" s="4">
        <v>2</v>
      </c>
      <c r="B24" s="4">
        <v>215</v>
      </c>
      <c r="C24" s="4" t="s">
        <v>24</v>
      </c>
      <c r="D24" s="4">
        <v>4</v>
      </c>
      <c r="E24" s="4">
        <v>9</v>
      </c>
    </row>
    <row r="25" spans="1:5" x14ac:dyDescent="0.2">
      <c r="A25" s="4">
        <v>2</v>
      </c>
      <c r="B25" s="4">
        <v>216</v>
      </c>
      <c r="C25" s="4" t="s">
        <v>22</v>
      </c>
      <c r="D25" s="4">
        <v>4</v>
      </c>
      <c r="E25" s="4">
        <v>9</v>
      </c>
    </row>
    <row r="26" spans="1:5" x14ac:dyDescent="0.2">
      <c r="A26" s="4">
        <v>2</v>
      </c>
      <c r="B26" s="4">
        <v>309</v>
      </c>
      <c r="C26" s="4" t="s">
        <v>21</v>
      </c>
      <c r="D26" s="4">
        <v>4</v>
      </c>
      <c r="E26" s="4">
        <v>9</v>
      </c>
    </row>
    <row r="27" spans="1:5" x14ac:dyDescent="0.2">
      <c r="A27" s="4">
        <v>2</v>
      </c>
      <c r="B27" s="4">
        <v>310</v>
      </c>
      <c r="C27" s="4" t="s">
        <v>24</v>
      </c>
      <c r="D27" s="4">
        <v>4</v>
      </c>
      <c r="E27" s="4">
        <v>8</v>
      </c>
    </row>
    <row r="28" spans="1:5" x14ac:dyDescent="0.2">
      <c r="A28" s="4">
        <v>2</v>
      </c>
      <c r="B28" s="4">
        <v>312</v>
      </c>
      <c r="C28" s="4" t="s">
        <v>25</v>
      </c>
      <c r="D28" s="4">
        <v>4</v>
      </c>
      <c r="E28" s="4">
        <v>10</v>
      </c>
    </row>
    <row r="29" spans="1:5" x14ac:dyDescent="0.2">
      <c r="A29" s="4">
        <v>2</v>
      </c>
      <c r="B29" s="4">
        <v>317</v>
      </c>
      <c r="C29" s="4" t="s">
        <v>21</v>
      </c>
      <c r="D29" s="4">
        <v>4</v>
      </c>
      <c r="E29" s="4">
        <v>10</v>
      </c>
    </row>
    <row r="30" spans="1:5" x14ac:dyDescent="0.2">
      <c r="A30" s="4">
        <v>2</v>
      </c>
      <c r="B30" s="4">
        <v>304</v>
      </c>
      <c r="C30" s="4" t="s">
        <v>24</v>
      </c>
      <c r="D30" s="4">
        <v>5</v>
      </c>
      <c r="E30" s="4">
        <v>8</v>
      </c>
    </row>
    <row r="31" spans="1:5" x14ac:dyDescent="0.2">
      <c r="A31" s="4">
        <v>2</v>
      </c>
      <c r="B31" s="4">
        <v>308</v>
      </c>
      <c r="C31" s="4" t="s">
        <v>25</v>
      </c>
      <c r="D31" s="4">
        <v>5</v>
      </c>
      <c r="E31" s="4">
        <v>9</v>
      </c>
    </row>
    <row r="32" spans="1:5" x14ac:dyDescent="0.2">
      <c r="A32" s="4">
        <v>3</v>
      </c>
      <c r="B32" s="4">
        <v>407</v>
      </c>
      <c r="C32" s="4" t="s">
        <v>26</v>
      </c>
      <c r="D32" s="4">
        <v>5</v>
      </c>
      <c r="E32" s="4">
        <v>10</v>
      </c>
    </row>
    <row r="33" spans="1:5" x14ac:dyDescent="0.2">
      <c r="A33" s="4">
        <v>3</v>
      </c>
      <c r="B33" s="4">
        <v>408</v>
      </c>
      <c r="C33" s="4" t="s">
        <v>21</v>
      </c>
      <c r="D33" s="4">
        <v>5</v>
      </c>
      <c r="E33" s="4">
        <v>10</v>
      </c>
    </row>
    <row r="34" spans="1:5" x14ac:dyDescent="0.2">
      <c r="A34" s="4">
        <v>3</v>
      </c>
      <c r="B34" s="4">
        <v>413</v>
      </c>
      <c r="C34" s="4" t="s">
        <v>25</v>
      </c>
      <c r="D34" s="4">
        <v>5</v>
      </c>
      <c r="E34" s="4">
        <v>9</v>
      </c>
    </row>
    <row r="35" spans="1:5" x14ac:dyDescent="0.2">
      <c r="A35" s="4">
        <v>2</v>
      </c>
      <c r="B35" s="4">
        <v>302</v>
      </c>
      <c r="C35" s="4" t="s">
        <v>26</v>
      </c>
      <c r="D35" s="4">
        <v>6</v>
      </c>
      <c r="E35" s="4">
        <v>8</v>
      </c>
    </row>
    <row r="36" spans="1:5" x14ac:dyDescent="0.2">
      <c r="A36" s="4">
        <v>3</v>
      </c>
      <c r="B36" s="4">
        <v>411</v>
      </c>
      <c r="C36" s="4" t="s">
        <v>22</v>
      </c>
      <c r="D36" s="4">
        <v>6</v>
      </c>
      <c r="E36" s="4">
        <v>9</v>
      </c>
    </row>
    <row r="37" spans="1:5" x14ac:dyDescent="0.2">
      <c r="A37" s="4">
        <v>3</v>
      </c>
      <c r="B37" s="4">
        <v>412</v>
      </c>
      <c r="C37" s="4" t="s">
        <v>21</v>
      </c>
      <c r="D37" s="4">
        <v>6</v>
      </c>
      <c r="E37" s="4">
        <v>8</v>
      </c>
    </row>
    <row r="38" spans="1:5" x14ac:dyDescent="0.2">
      <c r="A38" s="4">
        <v>2</v>
      </c>
      <c r="B38" s="4">
        <v>316</v>
      </c>
      <c r="C38" s="4" t="s">
        <v>22</v>
      </c>
      <c r="D38" s="4">
        <v>7</v>
      </c>
      <c r="E38" s="4">
        <v>8</v>
      </c>
    </row>
    <row r="39" spans="1:5" x14ac:dyDescent="0.2">
      <c r="A39" s="4">
        <v>3</v>
      </c>
      <c r="B39" s="4">
        <v>405</v>
      </c>
      <c r="C39" s="4" t="s">
        <v>24</v>
      </c>
      <c r="D39" s="4">
        <v>7</v>
      </c>
      <c r="E39" s="4">
        <v>10</v>
      </c>
    </row>
    <row r="40" spans="1:5" x14ac:dyDescent="0.2">
      <c r="A40" s="4">
        <v>3</v>
      </c>
      <c r="B40" s="4">
        <v>406</v>
      </c>
      <c r="C40" s="4" t="s">
        <v>22</v>
      </c>
      <c r="D40" s="4">
        <v>8</v>
      </c>
      <c r="E40" s="4">
        <v>10</v>
      </c>
    </row>
    <row r="41" spans="1:5" x14ac:dyDescent="0.2">
      <c r="A41" s="4">
        <v>3</v>
      </c>
      <c r="B41" s="4">
        <v>414</v>
      </c>
      <c r="C41" s="4" t="s">
        <v>24</v>
      </c>
      <c r="D41" s="4">
        <v>8</v>
      </c>
      <c r="E41" s="4">
        <v>10</v>
      </c>
    </row>
  </sheetData>
  <pageMargins left="0.7" right="0.7" top="0.75" bottom="0.75" header="0.3" footer="0.3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579D-B05D-1347-8FEA-D2E695608190}">
  <dimension ref="A1:AK816"/>
  <sheetViews>
    <sheetView zoomScale="75" workbookViewId="0">
      <pane ySplit="1" topLeftCell="A13" activePane="bottomLeft" state="frozen"/>
      <selection activeCell="AA1" sqref="AA1"/>
      <selection pane="bottomLeft" activeCell="K123" sqref="K123"/>
    </sheetView>
  </sheetViews>
  <sheetFormatPr baseColWidth="10" defaultColWidth="8.83203125" defaultRowHeight="15" x14ac:dyDescent="0.2"/>
  <cols>
    <col min="1" max="1" width="8.83203125" style="48"/>
    <col min="2" max="2" width="10.6640625" style="48" bestFit="1" customWidth="1"/>
    <col min="3" max="3" width="10.6640625" style="4" bestFit="1" customWidth="1"/>
    <col min="4" max="4" width="8.33203125" style="4" bestFit="1" customWidth="1"/>
    <col min="5" max="8" width="8.83203125" style="4"/>
    <col min="9" max="9" width="18.1640625" style="4" bestFit="1" customWidth="1"/>
    <col min="10" max="10" width="8.83203125" style="4"/>
    <col min="11" max="11" width="19.83203125" style="4" customWidth="1"/>
    <col min="12" max="14" width="8.83203125" style="4"/>
    <col min="15" max="15" width="9.6640625" style="4" bestFit="1" customWidth="1"/>
    <col min="16" max="20" width="8.83203125" style="4"/>
    <col min="21" max="21" width="18.1640625" style="4" bestFit="1" customWidth="1"/>
    <col min="22" max="22" width="8.83203125" style="5" customWidth="1"/>
    <col min="23" max="23" width="9.5" style="26" customWidth="1"/>
    <col min="24" max="24" width="9.5" style="22" customWidth="1"/>
    <col min="25" max="25" width="8.83203125" style="23"/>
    <col min="26" max="26" width="8.83203125" style="22"/>
    <col min="27" max="27" width="8.83203125" style="24"/>
    <col min="28" max="28" width="8.83203125" style="25"/>
    <col min="29" max="29" width="10.6640625" style="42" bestFit="1" customWidth="1"/>
    <col min="30" max="30" width="8.83203125" style="43"/>
    <col min="31" max="16384" width="8.83203125" style="4"/>
  </cols>
  <sheetData>
    <row r="1" spans="1:37" x14ac:dyDescent="0.2">
      <c r="A1" s="1" t="s">
        <v>0</v>
      </c>
      <c r="B1" s="2">
        <v>45257</v>
      </c>
      <c r="C1" s="3">
        <v>45258</v>
      </c>
      <c r="D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K1" s="4" t="s">
        <v>7</v>
      </c>
      <c r="L1" s="4" t="s">
        <v>8</v>
      </c>
      <c r="M1" s="4" t="s">
        <v>9</v>
      </c>
      <c r="Q1" s="4" t="s">
        <v>5</v>
      </c>
      <c r="R1" s="4" t="s">
        <v>2</v>
      </c>
      <c r="S1" s="4" t="s">
        <v>10</v>
      </c>
      <c r="T1" s="4" t="s">
        <v>4</v>
      </c>
      <c r="U1" s="4" t="s">
        <v>6</v>
      </c>
      <c r="V1" s="5" t="s">
        <v>5</v>
      </c>
      <c r="W1" s="6" t="s">
        <v>8</v>
      </c>
      <c r="X1" s="7" t="s">
        <v>11</v>
      </c>
      <c r="Y1" s="8" t="s">
        <v>12</v>
      </c>
      <c r="Z1" s="7" t="s">
        <v>13</v>
      </c>
      <c r="AA1" s="9" t="s">
        <v>14</v>
      </c>
      <c r="AB1" s="10" t="s">
        <v>15</v>
      </c>
      <c r="AC1" s="11" t="s">
        <v>16</v>
      </c>
      <c r="AD1" s="12" t="s">
        <v>17</v>
      </c>
      <c r="AE1" s="13" t="s">
        <v>18</v>
      </c>
      <c r="AF1" s="14" t="s">
        <v>19</v>
      </c>
      <c r="AG1" s="15" t="s">
        <v>20</v>
      </c>
      <c r="AH1" s="5" t="s">
        <v>5</v>
      </c>
    </row>
    <row r="2" spans="1:37" x14ac:dyDescent="0.2">
      <c r="A2" s="16">
        <v>4437</v>
      </c>
      <c r="B2" s="17">
        <f>VLOOKUP(A2,'[1]Nebris 11.27'!E:I,5,FALSE)</f>
        <v>554</v>
      </c>
      <c r="C2" s="4">
        <f>VLOOKUP(A2,'[1]Nebris 11.28.23'!$E:$I,5,FALSE)</f>
        <v>568</v>
      </c>
      <c r="D2" s="18">
        <f>AVERAGE(B2:C2)</f>
        <v>561</v>
      </c>
      <c r="E2" s="4">
        <v>1</v>
      </c>
      <c r="F2" s="4">
        <v>1</v>
      </c>
      <c r="G2" s="4">
        <v>0.13223911051971071</v>
      </c>
      <c r="H2" s="4">
        <v>205</v>
      </c>
      <c r="I2" s="4" t="str">
        <f>VLOOKUP(H2,$Q$2:$U$41,5,FALSE)</f>
        <v xml:space="preserve">10% MDGS Constant </v>
      </c>
      <c r="K2" s="4" t="s">
        <v>21</v>
      </c>
      <c r="L2" s="19">
        <f>AVERAGEIF($I$2:$I$577,K2,$D$2:$D$577)</f>
        <v>631.9375</v>
      </c>
      <c r="M2" s="4">
        <f>COUNTIF($I$2:$I$577,K2)</f>
        <v>80</v>
      </c>
      <c r="O2" s="4">
        <f>(1450-630)/3.5</f>
        <v>234.28571428571428</v>
      </c>
      <c r="Q2" s="4">
        <v>205</v>
      </c>
      <c r="R2" s="4">
        <v>1</v>
      </c>
      <c r="S2" s="4">
        <v>1</v>
      </c>
      <c r="T2" s="4">
        <v>0.44075805963026427</v>
      </c>
      <c r="U2" s="4" t="s">
        <v>22</v>
      </c>
      <c r="V2" s="5">
        <v>205</v>
      </c>
      <c r="W2" s="21">
        <f t="shared" ref="W2:W41" si="0">AVERAGEIF($H$2:$H$577,Q2,$D$2:$D$577)</f>
        <v>572.4</v>
      </c>
      <c r="X2" s="22">
        <f>W2*0.4536</f>
        <v>259.64064000000002</v>
      </c>
      <c r="Y2" s="23">
        <f>'[1]Final Performance'!AC2</f>
        <v>1233.1746031746031</v>
      </c>
      <c r="Z2" s="22">
        <f>Y2*0.4536</f>
        <v>559.36799999999994</v>
      </c>
      <c r="AA2" s="24">
        <f>'[1]Final Performance'!AE2</f>
        <v>21.582642370891651</v>
      </c>
      <c r="AB2" s="25">
        <f>AA2*0.4536</f>
        <v>9.7898865794364536</v>
      </c>
      <c r="AC2" s="26">
        <v>3.3712989957887922</v>
      </c>
      <c r="AD2" s="27">
        <f>AC2*0.4536</f>
        <v>1.5292212244897962</v>
      </c>
      <c r="AE2" s="28">
        <v>1.79</v>
      </c>
      <c r="AF2" s="4">
        <v>1.1599999999999999</v>
      </c>
      <c r="AG2" s="29">
        <v>2.72</v>
      </c>
      <c r="AH2" s="4">
        <v>205</v>
      </c>
      <c r="AI2" s="30" t="s">
        <v>23</v>
      </c>
      <c r="AJ2" s="30"/>
      <c r="AK2" s="30"/>
    </row>
    <row r="3" spans="1:37" x14ac:dyDescent="0.2">
      <c r="A3" s="16">
        <v>4315</v>
      </c>
      <c r="B3" s="17">
        <f>VLOOKUP(A3,'[1]Nebris 11.27'!E:I,5,FALSE)</f>
        <v>554</v>
      </c>
      <c r="C3" s="4">
        <f>VLOOKUP(A3,'[1]Nebris 11.28.23'!$E:$I,5,FALSE)</f>
        <v>554</v>
      </c>
      <c r="D3" s="18">
        <f t="shared" ref="D3:D66" si="1">AVERAGE(B3:C3)</f>
        <v>554</v>
      </c>
      <c r="E3" s="4">
        <v>1</v>
      </c>
      <c r="F3" s="4">
        <v>1</v>
      </c>
      <c r="G3" s="4">
        <v>0.16749633367577954</v>
      </c>
      <c r="H3" s="4">
        <v>206</v>
      </c>
      <c r="I3" s="4" t="str">
        <f>VLOOKUP(H3,$Q$2:$U$57,5,FALSE)</f>
        <v>10% MDGS Variable</v>
      </c>
      <c r="K3" s="4" t="s">
        <v>22</v>
      </c>
      <c r="L3" s="19">
        <f>AVERAGEIF($I$2:$I$577,K3,$D$2:$D$577)</f>
        <v>631.95624999999995</v>
      </c>
      <c r="M3" s="4">
        <f t="shared" ref="M3:M6" si="2">COUNTIF($I$2:$I$577,K3)</f>
        <v>80</v>
      </c>
      <c r="O3" s="20"/>
      <c r="Q3" s="4">
        <v>206</v>
      </c>
      <c r="R3" s="4">
        <v>1</v>
      </c>
      <c r="S3" s="4">
        <v>1</v>
      </c>
      <c r="T3" s="4">
        <v>0.49100692422175718</v>
      </c>
      <c r="U3" s="4" t="s">
        <v>24</v>
      </c>
      <c r="V3" s="5">
        <v>206</v>
      </c>
      <c r="W3" s="21">
        <f t="shared" si="0"/>
        <v>575.4</v>
      </c>
      <c r="X3" s="22">
        <f>W3*0.4536</f>
        <v>261.00144</v>
      </c>
      <c r="Y3" s="23">
        <f>'[1]Final Performance'!AC3</f>
        <v>1232.1428571428573</v>
      </c>
      <c r="Z3" s="22">
        <f t="shared" ref="Z3:Z41" si="3">Y3*0.4536</f>
        <v>558.90000000000009</v>
      </c>
      <c r="AA3" s="24">
        <f>'[1]Final Performance'!AE3</f>
        <v>20.595227026767663</v>
      </c>
      <c r="AB3" s="25">
        <f t="shared" ref="AB3:AB41" si="4">AA3*0.4536</f>
        <v>9.3419949793418127</v>
      </c>
      <c r="AC3" s="26">
        <v>3.3597849854227397</v>
      </c>
      <c r="AD3" s="27">
        <f t="shared" ref="AD3:AD41" si="5">AC3*0.4536</f>
        <v>1.5239984693877549</v>
      </c>
      <c r="AE3" s="28">
        <v>1.87</v>
      </c>
      <c r="AF3" s="4">
        <v>1.23</v>
      </c>
      <c r="AG3" s="29">
        <v>2.81</v>
      </c>
      <c r="AH3" s="4">
        <v>206</v>
      </c>
    </row>
    <row r="4" spans="1:37" x14ac:dyDescent="0.2">
      <c r="A4" s="16">
        <v>4322</v>
      </c>
      <c r="B4" s="17">
        <f>VLOOKUP(A4,'[1]Nebris 11.27'!E:I,5,FALSE)</f>
        <v>554</v>
      </c>
      <c r="C4" s="4">
        <f>VLOOKUP(A4,'[1]Nebris 11.28.23'!$E:$I,5,FALSE)</f>
        <v>576</v>
      </c>
      <c r="D4" s="18">
        <f t="shared" si="1"/>
        <v>565</v>
      </c>
      <c r="E4" s="4">
        <v>1</v>
      </c>
      <c r="F4" s="4">
        <v>1</v>
      </c>
      <c r="G4" s="4">
        <v>0.41796759822454332</v>
      </c>
      <c r="H4" s="4">
        <v>207</v>
      </c>
      <c r="I4" s="4" t="str">
        <f>VLOOKUP(H4,$Q$2:$U$57,5,FALSE)</f>
        <v>Control</v>
      </c>
      <c r="K4" s="4" t="s">
        <v>24</v>
      </c>
      <c r="L4" s="19">
        <f t="shared" ref="L4:L6" si="6">AVERAGEIF($I$2:$I$577,K4,$D$2:$D$577)</f>
        <v>631.66250000000002</v>
      </c>
      <c r="M4" s="4">
        <f t="shared" si="2"/>
        <v>80</v>
      </c>
      <c r="Q4" s="4">
        <v>207</v>
      </c>
      <c r="R4" s="4">
        <v>1</v>
      </c>
      <c r="S4" s="4">
        <v>1</v>
      </c>
      <c r="T4" s="4">
        <v>0.64886894771280934</v>
      </c>
      <c r="U4" s="4" t="s">
        <v>21</v>
      </c>
      <c r="V4" s="5">
        <v>207</v>
      </c>
      <c r="W4" s="21">
        <f t="shared" si="0"/>
        <v>579</v>
      </c>
      <c r="X4" s="22">
        <f t="shared" ref="X4:X41" si="7">W4*0.4536</f>
        <v>262.63440000000003</v>
      </c>
      <c r="Y4" s="23">
        <f>'[1]Final Performance'!AC4</f>
        <v>1273.3333333333333</v>
      </c>
      <c r="Z4" s="22">
        <f t="shared" si="3"/>
        <v>577.58399999999995</v>
      </c>
      <c r="AA4" s="24">
        <f>'[1]Final Performance'!AE4</f>
        <v>21.495747185717072</v>
      </c>
      <c r="AB4" s="25">
        <f t="shared" si="4"/>
        <v>9.750470923441263</v>
      </c>
      <c r="AC4" s="26">
        <v>3.5425170068027221</v>
      </c>
      <c r="AD4" s="27">
        <f t="shared" si="5"/>
        <v>1.6068857142857147</v>
      </c>
      <c r="AE4" s="28">
        <v>1.88</v>
      </c>
      <c r="AF4" s="4">
        <v>1.24</v>
      </c>
      <c r="AG4" s="29">
        <v>2.81</v>
      </c>
      <c r="AH4" s="4">
        <v>207</v>
      </c>
    </row>
    <row r="5" spans="1:37" x14ac:dyDescent="0.2">
      <c r="A5" s="16">
        <v>4743</v>
      </c>
      <c r="B5" s="17">
        <f>VLOOKUP(A5,'[1]Nebris 11.27'!E:I,5,FALSE)</f>
        <v>556</v>
      </c>
      <c r="C5" s="4">
        <f>VLOOKUP(A5,'[1]Nebris 11.28.23'!$E:$I,5,FALSE)</f>
        <v>554</v>
      </c>
      <c r="D5" s="18">
        <f t="shared" si="1"/>
        <v>555</v>
      </c>
      <c r="E5" s="4">
        <v>1</v>
      </c>
      <c r="F5" s="4">
        <v>1</v>
      </c>
      <c r="G5" s="4">
        <v>0.46486563274719161</v>
      </c>
      <c r="H5" s="4">
        <v>208</v>
      </c>
      <c r="I5" s="4" t="str">
        <f>VLOOKUP(H5,$Q$2:$U$57,5,FALSE)</f>
        <v>25% MDGS Variable</v>
      </c>
      <c r="K5" s="4" t="s">
        <v>25</v>
      </c>
      <c r="L5" s="19">
        <f t="shared" si="6"/>
        <v>630.73749999999995</v>
      </c>
      <c r="M5" s="4">
        <f t="shared" si="2"/>
        <v>80</v>
      </c>
      <c r="Q5" s="4">
        <v>208</v>
      </c>
      <c r="R5" s="4">
        <v>1</v>
      </c>
      <c r="S5" s="4">
        <v>1</v>
      </c>
      <c r="T5" s="4">
        <v>0.92391596654513108</v>
      </c>
      <c r="U5" s="4" t="s">
        <v>26</v>
      </c>
      <c r="V5" s="5">
        <v>208</v>
      </c>
      <c r="W5" s="21">
        <f t="shared" si="0"/>
        <v>576.6</v>
      </c>
      <c r="X5" s="22">
        <f t="shared" si="7"/>
        <v>261.54576000000003</v>
      </c>
      <c r="Y5" s="23">
        <f>'[1]Final Performance'!AC5</f>
        <v>1296.031746031746</v>
      </c>
      <c r="Z5" s="22">
        <f t="shared" si="3"/>
        <v>587.88</v>
      </c>
      <c r="AA5" s="24">
        <f>'[1]Final Performance'!AE5</f>
        <v>22.92374071584624</v>
      </c>
      <c r="AB5" s="25">
        <f t="shared" si="4"/>
        <v>10.398208788707855</v>
      </c>
      <c r="AC5" s="26">
        <v>3.650672173631357</v>
      </c>
      <c r="AD5" s="27">
        <f t="shared" si="5"/>
        <v>1.6559448979591835</v>
      </c>
      <c r="AE5" s="28">
        <v>1.83</v>
      </c>
      <c r="AF5" s="4">
        <v>1.19</v>
      </c>
      <c r="AG5" s="29">
        <v>2.76</v>
      </c>
      <c r="AH5" s="4">
        <v>208</v>
      </c>
    </row>
    <row r="6" spans="1:37" x14ac:dyDescent="0.2">
      <c r="A6" s="16">
        <v>4765</v>
      </c>
      <c r="B6" s="17">
        <f>VLOOKUP(A6,'[1]Nebris 11.27'!E:I,5,FALSE)</f>
        <v>552</v>
      </c>
      <c r="C6" s="4">
        <f>VLOOKUP(A6,'[1]Nebris 11.28.23'!$E:$I,5,FALSE)</f>
        <v>560</v>
      </c>
      <c r="D6" s="18">
        <f t="shared" si="1"/>
        <v>556</v>
      </c>
      <c r="E6" s="4">
        <v>1</v>
      </c>
      <c r="F6" s="4">
        <v>1</v>
      </c>
      <c r="G6" s="4">
        <v>0.49088538189215081</v>
      </c>
      <c r="H6" s="4">
        <v>209</v>
      </c>
      <c r="I6" s="4" t="str">
        <f>VLOOKUP(H6,$Q$2:$U$57,5,FALSE)</f>
        <v xml:space="preserve">25% MDGS Constant </v>
      </c>
      <c r="K6" s="4" t="s">
        <v>26</v>
      </c>
      <c r="L6" s="19">
        <f t="shared" si="6"/>
        <v>633.1</v>
      </c>
      <c r="M6" s="4">
        <f t="shared" si="2"/>
        <v>80</v>
      </c>
      <c r="Q6" s="4">
        <v>209</v>
      </c>
      <c r="R6" s="4">
        <v>1</v>
      </c>
      <c r="S6" s="4">
        <v>1</v>
      </c>
      <c r="T6" s="4">
        <v>0.98398342133396577</v>
      </c>
      <c r="U6" s="4" t="s">
        <v>25</v>
      </c>
      <c r="V6" s="5">
        <v>209</v>
      </c>
      <c r="W6" s="21">
        <f t="shared" si="0"/>
        <v>572</v>
      </c>
      <c r="X6" s="22">
        <f t="shared" si="7"/>
        <v>259.45920000000001</v>
      </c>
      <c r="Y6" s="23">
        <f>'[1]Final Performance'!AC6</f>
        <v>1222.7513227513227</v>
      </c>
      <c r="Z6" s="22">
        <f t="shared" si="3"/>
        <v>554.64</v>
      </c>
      <c r="AA6" s="24">
        <f>'[1]Final Performance'!AE6</f>
        <v>21.32140895794052</v>
      </c>
      <c r="AB6" s="25">
        <f t="shared" si="4"/>
        <v>9.6713911033218203</v>
      </c>
      <c r="AC6" s="26">
        <v>3.3122233020192198</v>
      </c>
      <c r="AD6" s="27">
        <f t="shared" si="5"/>
        <v>1.502424489795918</v>
      </c>
      <c r="AE6" s="28">
        <v>1.78</v>
      </c>
      <c r="AF6" s="4">
        <v>1.1499999999999999</v>
      </c>
      <c r="AG6" s="29">
        <v>2.71</v>
      </c>
      <c r="AH6" s="4">
        <v>209</v>
      </c>
    </row>
    <row r="7" spans="1:37" x14ac:dyDescent="0.2">
      <c r="A7" s="16">
        <v>4744</v>
      </c>
      <c r="B7" s="17">
        <f>VLOOKUP(A7,'[1]Nebris 11.27'!E:I,5,FALSE)</f>
        <v>556</v>
      </c>
      <c r="C7" s="4">
        <f>VLOOKUP(A7,'[1]Nebris 11.28.23'!$E:$I,5,FALSE)</f>
        <v>552</v>
      </c>
      <c r="D7" s="18">
        <f t="shared" si="1"/>
        <v>554</v>
      </c>
      <c r="E7" s="4">
        <v>1</v>
      </c>
      <c r="F7" s="4">
        <v>1</v>
      </c>
      <c r="G7" s="4">
        <v>0.50464713665714178</v>
      </c>
      <c r="H7" s="4">
        <v>210</v>
      </c>
      <c r="I7" s="4" t="str">
        <f>VLOOKUP(H7,$Q$2:$U$57,5,FALSE)</f>
        <v xml:space="preserve">10% MDGS Constant </v>
      </c>
      <c r="L7" s="31">
        <f>MAX(L2:L6)-MIN(L2:L6)</f>
        <v>2.3625000000000682</v>
      </c>
      <c r="Q7" s="4">
        <v>210</v>
      </c>
      <c r="R7" s="4">
        <v>1</v>
      </c>
      <c r="S7" s="4">
        <v>2</v>
      </c>
      <c r="T7" s="4">
        <v>0.29345279524279566</v>
      </c>
      <c r="U7" s="4" t="s">
        <v>22</v>
      </c>
      <c r="V7" s="5">
        <v>210</v>
      </c>
      <c r="W7" s="21">
        <f t="shared" si="0"/>
        <v>573.95000000000005</v>
      </c>
      <c r="X7" s="22">
        <f t="shared" si="7"/>
        <v>260.34372000000002</v>
      </c>
      <c r="Y7" s="23">
        <f>'[1]Final Performance'!AC7</f>
        <v>1227.336860670194</v>
      </c>
      <c r="Z7" s="22">
        <f t="shared" si="3"/>
        <v>556.72</v>
      </c>
      <c r="AA7" s="24">
        <f>'[1]Final Performance'!AE7</f>
        <v>19.910351814073994</v>
      </c>
      <c r="AB7" s="25">
        <f t="shared" si="4"/>
        <v>9.0313355828639637</v>
      </c>
      <c r="AC7" s="26">
        <v>3.329099629269697</v>
      </c>
      <c r="AD7" s="27">
        <f t="shared" si="5"/>
        <v>1.5100795918367347</v>
      </c>
      <c r="AE7" s="28">
        <v>1.91</v>
      </c>
      <c r="AF7" s="4">
        <v>1.26</v>
      </c>
      <c r="AG7" s="29">
        <v>2.85</v>
      </c>
      <c r="AH7" s="4">
        <v>210</v>
      </c>
    </row>
    <row r="8" spans="1:37" x14ac:dyDescent="0.2">
      <c r="A8" s="16">
        <v>4773</v>
      </c>
      <c r="B8" s="17">
        <f>VLOOKUP(A8,'[1]Nebris 11.27'!E:I,5,FALSE)</f>
        <v>554</v>
      </c>
      <c r="C8" s="4">
        <f>VLOOKUP(A8,'[1]Nebris 11.28.23'!$E:$I,5,FALSE)</f>
        <v>578</v>
      </c>
      <c r="D8" s="18">
        <f t="shared" si="1"/>
        <v>566</v>
      </c>
      <c r="E8" s="4">
        <v>1</v>
      </c>
      <c r="F8" s="4">
        <v>1</v>
      </c>
      <c r="G8" s="4">
        <v>0.50851688795843586</v>
      </c>
      <c r="H8" s="4">
        <v>211</v>
      </c>
      <c r="I8" s="4" t="str">
        <f>VLOOKUP(H8,$Q$2:$U$57,5,FALSE)</f>
        <v>Control</v>
      </c>
      <c r="Q8" s="4">
        <v>211</v>
      </c>
      <c r="R8" s="4">
        <v>1</v>
      </c>
      <c r="S8" s="4">
        <v>2</v>
      </c>
      <c r="T8" s="4">
        <v>0.44821536648615223</v>
      </c>
      <c r="U8" s="4" t="s">
        <v>21</v>
      </c>
      <c r="V8" s="5">
        <v>211</v>
      </c>
      <c r="W8" s="21">
        <f t="shared" si="0"/>
        <v>575.4</v>
      </c>
      <c r="X8" s="22">
        <f t="shared" si="7"/>
        <v>261.00144</v>
      </c>
      <c r="Y8" s="23">
        <f>'[1]Final Performance'!AC8</f>
        <v>1194.4444444444446</v>
      </c>
      <c r="Z8" s="22">
        <f t="shared" si="3"/>
        <v>541.80000000000007</v>
      </c>
      <c r="AA8" s="24">
        <f>'[1]Final Performance'!AE8</f>
        <v>19.728557757304522</v>
      </c>
      <c r="AB8" s="25">
        <f t="shared" si="4"/>
        <v>8.9488737987133309</v>
      </c>
      <c r="AC8" s="26">
        <v>3.1583900226757367</v>
      </c>
      <c r="AD8" s="27">
        <f t="shared" si="5"/>
        <v>1.4326457142857141</v>
      </c>
      <c r="AE8" s="28">
        <v>1.85</v>
      </c>
      <c r="AF8" s="4">
        <v>1.21</v>
      </c>
      <c r="AG8" s="29">
        <v>2.79</v>
      </c>
      <c r="AH8" s="4">
        <v>211</v>
      </c>
    </row>
    <row r="9" spans="1:37" x14ac:dyDescent="0.2">
      <c r="A9" s="16">
        <v>4739</v>
      </c>
      <c r="B9" s="17">
        <f>VLOOKUP(A9,'[1]Nebris 11.27'!E:I,5,FALSE)</f>
        <v>556</v>
      </c>
      <c r="C9" s="4">
        <f>VLOOKUP(A9,'[1]Nebris 11.28.23'!$E:$I,5,FALSE)</f>
        <v>554</v>
      </c>
      <c r="D9" s="18">
        <f t="shared" si="1"/>
        <v>555</v>
      </c>
      <c r="E9" s="4">
        <v>1</v>
      </c>
      <c r="F9" s="4">
        <v>1</v>
      </c>
      <c r="G9" s="4">
        <v>0.61147469111736896</v>
      </c>
      <c r="H9" s="4">
        <v>212</v>
      </c>
      <c r="I9" s="4" t="str">
        <f>VLOOKUP(H9,$Q$2:$U$57,5,FALSE)</f>
        <v>25% MDGS Variable</v>
      </c>
      <c r="K9" s="4" t="s">
        <v>2</v>
      </c>
      <c r="O9" s="4" t="s">
        <v>27</v>
      </c>
      <c r="Q9" s="4">
        <v>212</v>
      </c>
      <c r="R9" s="4">
        <v>1</v>
      </c>
      <c r="S9" s="4">
        <v>2</v>
      </c>
      <c r="T9" s="4">
        <v>0.88326654905599544</v>
      </c>
      <c r="U9" s="4" t="s">
        <v>26</v>
      </c>
      <c r="V9" s="5">
        <v>212</v>
      </c>
      <c r="W9" s="21">
        <f t="shared" si="0"/>
        <v>575.6</v>
      </c>
      <c r="X9" s="22">
        <f t="shared" si="7"/>
        <v>261.09216000000004</v>
      </c>
      <c r="Y9" s="23">
        <f>'[1]Final Performance'!AC9</f>
        <v>1267.4603174603174</v>
      </c>
      <c r="Z9" s="22">
        <f t="shared" si="3"/>
        <v>574.91999999999996</v>
      </c>
      <c r="AA9" s="24">
        <f>'[1]Final Performance'!AE9</f>
        <v>21.738935573736335</v>
      </c>
      <c r="AB9" s="25">
        <f t="shared" si="4"/>
        <v>9.8607811762468014</v>
      </c>
      <c r="AC9" s="26">
        <v>3.5298995788791707</v>
      </c>
      <c r="AD9" s="27">
        <f t="shared" si="5"/>
        <v>1.6011624489795919</v>
      </c>
      <c r="AE9" s="28">
        <v>1.85</v>
      </c>
      <c r="AF9" s="4">
        <v>1.21</v>
      </c>
      <c r="AG9" s="29">
        <v>2.78</v>
      </c>
      <c r="AH9" s="4">
        <v>212</v>
      </c>
    </row>
    <row r="10" spans="1:37" x14ac:dyDescent="0.2">
      <c r="A10" s="16">
        <v>4485</v>
      </c>
      <c r="B10" s="17">
        <f>VLOOKUP(A10,'[1]Nebris 11.27'!E:I,5,FALSE)</f>
        <v>556</v>
      </c>
      <c r="C10" s="4">
        <f>VLOOKUP(A10,'[1]Nebris 11.28.23'!$E:$I,5,FALSE)</f>
        <v>558</v>
      </c>
      <c r="D10" s="18">
        <f t="shared" si="1"/>
        <v>557</v>
      </c>
      <c r="E10" s="4">
        <v>1</v>
      </c>
      <c r="F10" s="4">
        <v>1</v>
      </c>
      <c r="G10" s="4">
        <v>0.72506520083949644</v>
      </c>
      <c r="H10" s="4">
        <v>213</v>
      </c>
      <c r="I10" s="4" t="str">
        <f>VLOOKUP(H10,$Q$2:$U$57,5,FALSE)</f>
        <v>10% MDGS Variable</v>
      </c>
      <c r="K10" s="4">
        <v>1</v>
      </c>
      <c r="L10" s="18">
        <f>AVERAGEIF($E$2:$E$577,K10,$B$2:$B$577)</f>
        <v>572.89</v>
      </c>
      <c r="M10" s="4">
        <f>COUNTIF($E$2:$E$577,K10)</f>
        <v>100</v>
      </c>
      <c r="N10" s="4" t="s">
        <v>28</v>
      </c>
      <c r="O10" s="4">
        <v>2</v>
      </c>
      <c r="Q10" s="4">
        <v>213</v>
      </c>
      <c r="R10" s="4">
        <v>1</v>
      </c>
      <c r="S10" s="4">
        <v>2</v>
      </c>
      <c r="T10" s="4">
        <v>0.899465294879914</v>
      </c>
      <c r="U10" s="4" t="s">
        <v>24</v>
      </c>
      <c r="V10" s="5">
        <v>213</v>
      </c>
      <c r="W10" s="21">
        <f t="shared" si="0"/>
        <v>571.9</v>
      </c>
      <c r="X10" s="22">
        <f t="shared" si="7"/>
        <v>259.41383999999999</v>
      </c>
      <c r="Y10" s="23">
        <f>'[1]Final Performance'!AC10</f>
        <v>1360.8465608465608</v>
      </c>
      <c r="Z10" s="22">
        <f t="shared" si="3"/>
        <v>617.28</v>
      </c>
      <c r="AA10" s="24">
        <f>'[1]Final Performance'!AE10</f>
        <v>22.955779082777788</v>
      </c>
      <c r="AB10" s="25">
        <f t="shared" si="4"/>
        <v>10.412741391948005</v>
      </c>
      <c r="AC10" s="26">
        <v>4.0371990065867625</v>
      </c>
      <c r="AD10" s="27">
        <f t="shared" si="5"/>
        <v>1.8312734693877555</v>
      </c>
      <c r="AE10" s="28">
        <v>1.97</v>
      </c>
      <c r="AF10" s="4">
        <v>1.32</v>
      </c>
      <c r="AG10" s="29">
        <v>2.93</v>
      </c>
      <c r="AH10" s="4">
        <v>213</v>
      </c>
    </row>
    <row r="11" spans="1:37" x14ac:dyDescent="0.2">
      <c r="A11" s="16">
        <v>4603</v>
      </c>
      <c r="B11" s="17">
        <f>VLOOKUP(A11,'[1]Nebris 11.27'!E:I,5,FALSE)</f>
        <v>554</v>
      </c>
      <c r="C11" s="4">
        <f>VLOOKUP(A11,'[1]Nebris 11.28.23'!$E:$I,5,FALSE)</f>
        <v>570</v>
      </c>
      <c r="D11" s="18">
        <f t="shared" si="1"/>
        <v>562</v>
      </c>
      <c r="E11" s="4">
        <v>1</v>
      </c>
      <c r="F11" s="4">
        <v>1</v>
      </c>
      <c r="G11" s="4">
        <v>0.74773755288838117</v>
      </c>
      <c r="H11" s="4">
        <v>214</v>
      </c>
      <c r="I11" s="4" t="str">
        <f>VLOOKUP(H11,$Q$2:$U$57,5,FALSE)</f>
        <v xml:space="preserve">25% MDGS Constant </v>
      </c>
      <c r="K11" s="4">
        <v>2</v>
      </c>
      <c r="L11" s="18">
        <f t="shared" ref="L11:L12" si="8">AVERAGEIF($E$2:$E$577,K11,$B$2:$B$577)</f>
        <v>626.53</v>
      </c>
      <c r="M11" s="4">
        <f t="shared" ref="M11:M12" si="9">COUNTIF($E$2:$E$577,K11)</f>
        <v>200</v>
      </c>
      <c r="N11" s="4" t="s">
        <v>29</v>
      </c>
      <c r="O11" s="4">
        <v>4</v>
      </c>
      <c r="Q11" s="4">
        <v>214</v>
      </c>
      <c r="R11" s="4">
        <v>1</v>
      </c>
      <c r="S11" s="4">
        <v>2</v>
      </c>
      <c r="T11" s="4">
        <v>0.98038549740203373</v>
      </c>
      <c r="U11" s="4" t="s">
        <v>25</v>
      </c>
      <c r="V11" s="5">
        <v>214</v>
      </c>
      <c r="W11" s="21">
        <f t="shared" si="0"/>
        <v>574</v>
      </c>
      <c r="X11" s="22">
        <f t="shared" si="7"/>
        <v>260.3664</v>
      </c>
      <c r="Y11" s="23">
        <f>'[1]Final Performance'!AC11</f>
        <v>1311.2698412698412</v>
      </c>
      <c r="Z11" s="22">
        <f t="shared" si="3"/>
        <v>594.79200000000003</v>
      </c>
      <c r="AA11" s="24">
        <f>'[1]Final Performance'!AE11</f>
        <v>22.398784651854065</v>
      </c>
      <c r="AB11" s="25">
        <f t="shared" si="4"/>
        <v>10.160088718081004</v>
      </c>
      <c r="AC11" s="26">
        <v>3.7615808228053127</v>
      </c>
      <c r="AD11" s="27">
        <f t="shared" si="5"/>
        <v>1.7062530612244899</v>
      </c>
      <c r="AE11" s="28">
        <v>1.9</v>
      </c>
      <c r="AF11" s="4">
        <v>1.25</v>
      </c>
      <c r="AG11" s="29">
        <v>2.84</v>
      </c>
      <c r="AH11" s="4">
        <v>214</v>
      </c>
    </row>
    <row r="12" spans="1:37" x14ac:dyDescent="0.2">
      <c r="A12" s="16">
        <v>4683</v>
      </c>
      <c r="B12" s="17">
        <f>VLOOKUP(A12,'[1]Nebris 11.27'!E:I,5,FALSE)</f>
        <v>558</v>
      </c>
      <c r="C12" s="4">
        <f>VLOOKUP(A12,'[1]Nebris 11.28.23'!$E:$I,5,FALSE)</f>
        <v>550</v>
      </c>
      <c r="D12" s="18">
        <f t="shared" si="1"/>
        <v>554</v>
      </c>
      <c r="E12" s="4">
        <v>1</v>
      </c>
      <c r="F12" s="4">
        <v>2</v>
      </c>
      <c r="G12" s="4">
        <v>7.3321960657670715E-2</v>
      </c>
      <c r="H12" s="4">
        <v>205</v>
      </c>
      <c r="I12" s="4" t="str">
        <f>VLOOKUP(H12,$Q$2:$U$57,5,FALSE)</f>
        <v xml:space="preserve">10% MDGS Constant </v>
      </c>
      <c r="K12" s="4">
        <v>3</v>
      </c>
      <c r="L12" s="18">
        <f t="shared" si="8"/>
        <v>697.02</v>
      </c>
      <c r="M12" s="4">
        <f t="shared" si="9"/>
        <v>100</v>
      </c>
      <c r="N12" s="4" t="s">
        <v>28</v>
      </c>
      <c r="O12" s="4">
        <v>2</v>
      </c>
      <c r="Q12" s="4">
        <v>215</v>
      </c>
      <c r="R12" s="4">
        <v>2</v>
      </c>
      <c r="S12" s="4">
        <v>3</v>
      </c>
      <c r="T12" s="4">
        <v>0.27775313902274246</v>
      </c>
      <c r="U12" s="4" t="s">
        <v>24</v>
      </c>
      <c r="V12" s="5">
        <v>215</v>
      </c>
      <c r="W12" s="21">
        <f t="shared" si="0"/>
        <v>629.6</v>
      </c>
      <c r="X12" s="22">
        <f t="shared" si="7"/>
        <v>285.58656000000002</v>
      </c>
      <c r="Y12" s="23">
        <f>'[1]Final Performance'!AC12</f>
        <v>1323.9858906525574</v>
      </c>
      <c r="Z12" s="22">
        <f t="shared" si="3"/>
        <v>600.56000000000006</v>
      </c>
      <c r="AA12" s="24">
        <f>'[1]Final Performance'!AE12</f>
        <v>21.5797851350505</v>
      </c>
      <c r="AB12" s="25">
        <f t="shared" si="4"/>
        <v>9.7885905372589068</v>
      </c>
      <c r="AC12" s="26">
        <v>3.5430119137602127</v>
      </c>
      <c r="AD12" s="27">
        <f t="shared" si="5"/>
        <v>1.6071102040816325</v>
      </c>
      <c r="AE12" s="28">
        <v>1.94</v>
      </c>
      <c r="AF12" s="4">
        <v>1.29</v>
      </c>
      <c r="AG12" s="29">
        <v>2.89</v>
      </c>
      <c r="AH12" s="4">
        <v>215</v>
      </c>
    </row>
    <row r="13" spans="1:37" x14ac:dyDescent="0.2">
      <c r="A13" s="16">
        <v>4313</v>
      </c>
      <c r="B13" s="17">
        <f>VLOOKUP(A13,'[1]Nebris 11.27'!E:I,5,FALSE)</f>
        <v>560</v>
      </c>
      <c r="C13" s="4">
        <f>VLOOKUP(A13,'[1]Nebris 11.28.23'!$E:$I,5,FALSE)</f>
        <v>560</v>
      </c>
      <c r="D13" s="18">
        <f t="shared" si="1"/>
        <v>560</v>
      </c>
      <c r="E13" s="4">
        <v>1</v>
      </c>
      <c r="F13" s="4">
        <v>2</v>
      </c>
      <c r="G13" s="4">
        <v>8.0928873033758064E-2</v>
      </c>
      <c r="H13" s="4">
        <v>206</v>
      </c>
      <c r="I13" s="4" t="str">
        <f>VLOOKUP(H13,$Q$2:$U$57,5,FALSE)</f>
        <v>10% MDGS Variable</v>
      </c>
      <c r="L13" s="18"/>
      <c r="Q13" s="4">
        <v>216</v>
      </c>
      <c r="R13" s="4">
        <v>2</v>
      </c>
      <c r="S13" s="4">
        <v>3</v>
      </c>
      <c r="T13" s="4">
        <v>0.51430710986017214</v>
      </c>
      <c r="U13" s="4" t="s">
        <v>22</v>
      </c>
      <c r="V13" s="5">
        <v>216</v>
      </c>
      <c r="W13" s="21">
        <f t="shared" si="0"/>
        <v>625.1</v>
      </c>
      <c r="X13" s="22">
        <f t="shared" si="7"/>
        <v>283.54536000000002</v>
      </c>
      <c r="Y13" s="23">
        <f>'[1]Final Performance'!AC13</f>
        <v>1275.8730158730161</v>
      </c>
      <c r="Z13" s="22">
        <f t="shared" si="3"/>
        <v>578.7360000000001</v>
      </c>
      <c r="AA13" s="24">
        <f>'[1]Final Performance'!AE13</f>
        <v>21.830062429040414</v>
      </c>
      <c r="AB13" s="25">
        <f t="shared" si="4"/>
        <v>9.902116317812732</v>
      </c>
      <c r="AC13" s="26">
        <v>3.3202704891480401</v>
      </c>
      <c r="AD13" s="27">
        <f t="shared" si="5"/>
        <v>1.5060746938775511</v>
      </c>
      <c r="AE13" s="28">
        <v>1.83</v>
      </c>
      <c r="AF13" s="4">
        <v>1.19</v>
      </c>
      <c r="AG13" s="29">
        <v>2.75</v>
      </c>
      <c r="AH13" s="4">
        <v>216</v>
      </c>
    </row>
    <row r="14" spans="1:37" x14ac:dyDescent="0.2">
      <c r="A14" s="16">
        <v>4418</v>
      </c>
      <c r="B14" s="17">
        <f>VLOOKUP(A14,'[1]Nebris 11.27'!E:I,5,FALSE)</f>
        <v>558</v>
      </c>
      <c r="C14" s="4">
        <f>VLOOKUP(A14,'[1]Nebris 11.28.23'!$E:$I,5,FALSE)</f>
        <v>586</v>
      </c>
      <c r="D14" s="18">
        <f t="shared" si="1"/>
        <v>572</v>
      </c>
      <c r="E14" s="4">
        <v>1</v>
      </c>
      <c r="F14" s="4">
        <v>2</v>
      </c>
      <c r="G14" s="4">
        <v>8.6370454462972202E-2</v>
      </c>
      <c r="H14" s="4">
        <v>207</v>
      </c>
      <c r="I14" s="4" t="str">
        <f>VLOOKUP(H14,$Q$2:$U$57,5,FALSE)</f>
        <v>Control</v>
      </c>
      <c r="Q14" s="4">
        <v>301</v>
      </c>
      <c r="R14" s="4">
        <v>2</v>
      </c>
      <c r="S14" s="4">
        <v>3</v>
      </c>
      <c r="T14" s="4">
        <v>0.8299123530357152</v>
      </c>
      <c r="U14" s="4" t="s">
        <v>25</v>
      </c>
      <c r="V14" s="5">
        <v>301</v>
      </c>
      <c r="W14" s="21">
        <f t="shared" si="0"/>
        <v>627.9</v>
      </c>
      <c r="X14" s="22">
        <f t="shared" si="7"/>
        <v>284.81543999999997</v>
      </c>
      <c r="Y14" s="23">
        <f>'[1]Final Performance'!AC14</f>
        <v>1365.8730158730159</v>
      </c>
      <c r="Z14" s="22">
        <f t="shared" si="3"/>
        <v>619.56000000000006</v>
      </c>
      <c r="AA14" s="24">
        <f>'[1]Final Performance'!AE14</f>
        <v>22.630176042777777</v>
      </c>
      <c r="AB14" s="25">
        <f t="shared" si="4"/>
        <v>10.265047853003999</v>
      </c>
      <c r="AC14" s="26">
        <v>3.7651684483317132</v>
      </c>
      <c r="AD14" s="27">
        <f t="shared" si="5"/>
        <v>1.707880408163265</v>
      </c>
      <c r="AE14" s="28">
        <v>1.95</v>
      </c>
      <c r="AF14" s="4">
        <v>1.3</v>
      </c>
      <c r="AG14" s="29">
        <v>2.9</v>
      </c>
      <c r="AH14" s="4">
        <v>301</v>
      </c>
    </row>
    <row r="15" spans="1:37" x14ac:dyDescent="0.2">
      <c r="A15" s="16">
        <v>4376</v>
      </c>
      <c r="B15" s="17">
        <f>VLOOKUP(A15,'[1]Nebris 11.27'!E:I,5,FALSE)</f>
        <v>560</v>
      </c>
      <c r="C15" s="4">
        <f>VLOOKUP(A15,'[1]Nebris 11.28.23'!$E:$I,5,FALSE)</f>
        <v>580</v>
      </c>
      <c r="D15" s="18">
        <f t="shared" si="1"/>
        <v>570</v>
      </c>
      <c r="E15" s="4">
        <v>1</v>
      </c>
      <c r="F15" s="4">
        <v>2</v>
      </c>
      <c r="G15" s="4">
        <v>0.51308818843726045</v>
      </c>
      <c r="H15" s="4">
        <v>208</v>
      </c>
      <c r="I15" s="4" t="str">
        <f>VLOOKUP(H15,$Q$2:$U$57,5,FALSE)</f>
        <v>25% MDGS Variable</v>
      </c>
      <c r="Q15" s="4">
        <v>302</v>
      </c>
      <c r="R15" s="4">
        <v>2</v>
      </c>
      <c r="S15" s="4">
        <v>3</v>
      </c>
      <c r="T15" s="4">
        <v>0.97311400246285151</v>
      </c>
      <c r="U15" s="4" t="s">
        <v>26</v>
      </c>
      <c r="V15" s="5">
        <v>302</v>
      </c>
      <c r="W15" s="21">
        <f t="shared" si="0"/>
        <v>629.9</v>
      </c>
      <c r="X15" s="22">
        <f t="shared" si="7"/>
        <v>285.72264000000001</v>
      </c>
      <c r="Y15" s="23">
        <f>'[1]Final Performance'!AC15</f>
        <v>1319.4444444444443</v>
      </c>
      <c r="Z15" s="22">
        <f t="shared" si="3"/>
        <v>598.5</v>
      </c>
      <c r="AA15" s="24">
        <f>'[1]Final Performance'!AE15</f>
        <v>21.718133105510006</v>
      </c>
      <c r="AB15" s="25">
        <f t="shared" si="4"/>
        <v>9.8513451766593381</v>
      </c>
      <c r="AC15" s="26">
        <v>3.5245890022675734</v>
      </c>
      <c r="AD15" s="27">
        <f t="shared" si="5"/>
        <v>1.5987535714285712</v>
      </c>
      <c r="AE15" s="28">
        <v>1.91</v>
      </c>
      <c r="AF15" s="4">
        <v>1.27</v>
      </c>
      <c r="AG15" s="29">
        <v>2.86</v>
      </c>
      <c r="AH15" s="4">
        <v>302</v>
      </c>
    </row>
    <row r="16" spans="1:37" x14ac:dyDescent="0.2">
      <c r="A16" s="16">
        <v>4605</v>
      </c>
      <c r="B16" s="17">
        <f>VLOOKUP(A16,'[1]Nebris 11.27'!E:I,5,FALSE)</f>
        <v>558</v>
      </c>
      <c r="C16" s="4">
        <f>VLOOKUP(A16,'[1]Nebris 11.28.23'!$E:$I,5,FALSE)</f>
        <v>558</v>
      </c>
      <c r="D16" s="18">
        <f t="shared" si="1"/>
        <v>558</v>
      </c>
      <c r="E16" s="4">
        <v>1</v>
      </c>
      <c r="F16" s="4">
        <v>2</v>
      </c>
      <c r="G16" s="4">
        <v>0.54242732325118459</v>
      </c>
      <c r="H16" s="4">
        <v>209</v>
      </c>
      <c r="I16" s="4" t="str">
        <f>VLOOKUP(H16,$Q$2:$U$57,5,FALSE)</f>
        <v xml:space="preserve">25% MDGS Constant </v>
      </c>
      <c r="Q16" s="4">
        <v>303</v>
      </c>
      <c r="R16" s="4">
        <v>2</v>
      </c>
      <c r="S16" s="4">
        <v>3</v>
      </c>
      <c r="T16" s="4">
        <v>0.97591177694389664</v>
      </c>
      <c r="U16" s="4" t="s">
        <v>21</v>
      </c>
      <c r="V16" s="5">
        <v>303</v>
      </c>
      <c r="W16" s="21">
        <f t="shared" si="0"/>
        <v>627.29999999999995</v>
      </c>
      <c r="X16" s="22">
        <f t="shared" si="7"/>
        <v>284.54327999999998</v>
      </c>
      <c r="Y16" s="23">
        <f>'[1]Final Performance'!AC16</f>
        <v>1320.4761904761906</v>
      </c>
      <c r="Z16" s="22">
        <f t="shared" si="3"/>
        <v>598.96800000000007</v>
      </c>
      <c r="AA16" s="24">
        <f>'[1]Final Performance'!AE16</f>
        <v>21.256780292032506</v>
      </c>
      <c r="AB16" s="25">
        <f t="shared" si="4"/>
        <v>9.6420755404659442</v>
      </c>
      <c r="AC16" s="26">
        <v>3.5366132167152573</v>
      </c>
      <c r="AD16" s="27">
        <f t="shared" si="5"/>
        <v>1.6042077551020408</v>
      </c>
      <c r="AE16" s="28">
        <v>1.96</v>
      </c>
      <c r="AF16" s="4">
        <v>1.31</v>
      </c>
      <c r="AG16" s="29">
        <v>2.92</v>
      </c>
      <c r="AH16" s="4">
        <v>303</v>
      </c>
    </row>
    <row r="17" spans="1:34" x14ac:dyDescent="0.2">
      <c r="A17" s="16">
        <v>4337</v>
      </c>
      <c r="B17" s="17">
        <f>VLOOKUP(A17,'[1]Nebris 11.27'!E:I,5,FALSE)</f>
        <v>558</v>
      </c>
      <c r="C17" s="4">
        <f>VLOOKUP(A17,'[1]Nebris 11.28.23'!$E:$I,5,FALSE)</f>
        <v>574</v>
      </c>
      <c r="D17" s="18">
        <f t="shared" si="1"/>
        <v>566</v>
      </c>
      <c r="E17" s="4">
        <v>1</v>
      </c>
      <c r="F17" s="4">
        <v>2</v>
      </c>
      <c r="G17" s="4">
        <v>0.62471380755587369</v>
      </c>
      <c r="H17" s="4">
        <v>210</v>
      </c>
      <c r="I17" s="4" t="str">
        <f>VLOOKUP(H17,$Q$2:$U$57,5,FALSE)</f>
        <v xml:space="preserve">10% MDGS Constant </v>
      </c>
      <c r="Q17" s="4">
        <v>304</v>
      </c>
      <c r="R17" s="4">
        <v>2</v>
      </c>
      <c r="S17" s="4">
        <v>4</v>
      </c>
      <c r="T17" s="4">
        <v>1.3447880093540587E-2</v>
      </c>
      <c r="U17" s="4" t="s">
        <v>24</v>
      </c>
      <c r="V17" s="5">
        <v>304</v>
      </c>
      <c r="W17" s="21">
        <f t="shared" si="0"/>
        <v>628.1</v>
      </c>
      <c r="X17" s="22">
        <f t="shared" si="7"/>
        <v>284.90616</v>
      </c>
      <c r="Y17" s="23">
        <f>'[1]Final Performance'!AC17</f>
        <v>1283.7301587301586</v>
      </c>
      <c r="Z17" s="22">
        <f t="shared" si="3"/>
        <v>582.29999999999995</v>
      </c>
      <c r="AA17" s="24">
        <f>'[1]Final Performance'!AE17</f>
        <v>21.282594490991229</v>
      </c>
      <c r="AB17" s="25">
        <f t="shared" si="4"/>
        <v>9.6537848611136212</v>
      </c>
      <c r="AC17" s="26">
        <v>3.3417355037252996</v>
      </c>
      <c r="AD17" s="27">
        <f t="shared" si="5"/>
        <v>1.5158112244897959</v>
      </c>
      <c r="AE17" s="28">
        <v>1.87</v>
      </c>
      <c r="AF17" s="4">
        <v>1.23</v>
      </c>
      <c r="AG17" s="29">
        <v>2.81</v>
      </c>
      <c r="AH17" s="4">
        <v>304</v>
      </c>
    </row>
    <row r="18" spans="1:34" x14ac:dyDescent="0.2">
      <c r="A18" s="16">
        <v>4365</v>
      </c>
      <c r="B18" s="17">
        <f>VLOOKUP(A18,'[1]Nebris 11.27'!E:I,5,FALSE)</f>
        <v>558</v>
      </c>
      <c r="C18" s="4">
        <f>VLOOKUP(A18,'[1]Nebris 11.28.23'!$E:$I,5,FALSE)</f>
        <v>574</v>
      </c>
      <c r="D18" s="18">
        <f t="shared" si="1"/>
        <v>566</v>
      </c>
      <c r="E18" s="4">
        <v>1</v>
      </c>
      <c r="F18" s="4">
        <v>2</v>
      </c>
      <c r="G18" s="4">
        <v>0.71135621641375435</v>
      </c>
      <c r="H18" s="4">
        <v>211</v>
      </c>
      <c r="I18" s="4" t="str">
        <f>VLOOKUP(H18,$Q$2:$U$57,5,FALSE)</f>
        <v>Control</v>
      </c>
      <c r="Q18" s="4">
        <v>305</v>
      </c>
      <c r="R18" s="4">
        <v>2</v>
      </c>
      <c r="S18" s="4">
        <v>4</v>
      </c>
      <c r="T18" s="4">
        <v>0.43508578911708573</v>
      </c>
      <c r="U18" s="4" t="s">
        <v>22</v>
      </c>
      <c r="V18" s="5">
        <v>305</v>
      </c>
      <c r="W18" s="21">
        <f t="shared" si="0"/>
        <v>626.29999999999995</v>
      </c>
      <c r="X18" s="22">
        <f t="shared" si="7"/>
        <v>284.08967999999999</v>
      </c>
      <c r="Y18" s="23">
        <f>'[1]Final Performance'!AC18</f>
        <v>1296.6490299823631</v>
      </c>
      <c r="Z18" s="22">
        <f t="shared" si="3"/>
        <v>588.16</v>
      </c>
      <c r="AA18" s="24">
        <f>'[1]Final Performance'!AE18</f>
        <v>20.599573820131273</v>
      </c>
      <c r="AB18" s="25">
        <f t="shared" si="4"/>
        <v>9.3439666848115461</v>
      </c>
      <c r="AC18" s="26">
        <v>3.4114746427671596</v>
      </c>
      <c r="AD18" s="27">
        <f t="shared" si="5"/>
        <v>1.5474448979591837</v>
      </c>
      <c r="AE18" s="28">
        <v>1.96</v>
      </c>
      <c r="AF18" s="4">
        <v>1.31</v>
      </c>
      <c r="AG18" s="29">
        <v>2.92</v>
      </c>
      <c r="AH18" s="4">
        <v>305</v>
      </c>
    </row>
    <row r="19" spans="1:34" x14ac:dyDescent="0.2">
      <c r="A19" s="16">
        <v>4502</v>
      </c>
      <c r="B19" s="17">
        <f>VLOOKUP(A19,'[1]Nebris 11.27'!E:I,5,FALSE)</f>
        <v>558</v>
      </c>
      <c r="C19" s="4">
        <f>VLOOKUP(A19,'[1]Nebris 11.28.23'!$E:$I,5,FALSE)</f>
        <v>570</v>
      </c>
      <c r="D19" s="18">
        <f t="shared" si="1"/>
        <v>564</v>
      </c>
      <c r="E19" s="4">
        <v>1</v>
      </c>
      <c r="F19" s="4">
        <v>2</v>
      </c>
      <c r="G19" s="4">
        <v>0.83731891540621561</v>
      </c>
      <c r="H19" s="4">
        <v>212</v>
      </c>
      <c r="I19" s="4" t="str">
        <f>VLOOKUP(H19,$Q$2:$U$57,5,FALSE)</f>
        <v>25% MDGS Variable</v>
      </c>
      <c r="Q19" s="4">
        <v>306</v>
      </c>
      <c r="R19" s="4">
        <v>2</v>
      </c>
      <c r="S19" s="4">
        <v>4</v>
      </c>
      <c r="T19" s="4">
        <v>0.48109752847975773</v>
      </c>
      <c r="U19" s="4" t="s">
        <v>21</v>
      </c>
      <c r="V19" s="5">
        <v>306</v>
      </c>
      <c r="W19" s="21">
        <f t="shared" si="0"/>
        <v>624.4</v>
      </c>
      <c r="X19" s="22">
        <f t="shared" si="7"/>
        <v>283.22784000000001</v>
      </c>
      <c r="Y19" s="23">
        <f>'[1]Final Performance'!AC19</f>
        <v>1315.5202821869489</v>
      </c>
      <c r="Z19" s="22">
        <f t="shared" si="3"/>
        <v>596.72</v>
      </c>
      <c r="AA19" s="24">
        <f>'[1]Final Performance'!AE19</f>
        <v>23.243543323568986</v>
      </c>
      <c r="AB19" s="25">
        <f t="shared" si="4"/>
        <v>10.543271251570893</v>
      </c>
      <c r="AC19" s="26">
        <v>3.5196613036749089</v>
      </c>
      <c r="AD19" s="27">
        <f t="shared" si="5"/>
        <v>1.5965183673469387</v>
      </c>
      <c r="AE19" s="28">
        <v>1.82</v>
      </c>
      <c r="AF19" s="4">
        <v>1.18</v>
      </c>
      <c r="AG19" s="29">
        <v>2.74</v>
      </c>
      <c r="AH19" s="4">
        <v>306</v>
      </c>
    </row>
    <row r="20" spans="1:34" x14ac:dyDescent="0.2">
      <c r="A20" s="16">
        <v>4755</v>
      </c>
      <c r="B20" s="17">
        <f>VLOOKUP(A20,'[1]Nebris 11.27'!E:I,5,FALSE)</f>
        <v>558</v>
      </c>
      <c r="C20" s="4">
        <f>VLOOKUP(A20,'[1]Nebris 11.28.23'!$E:$I,5,FALSE)</f>
        <v>544</v>
      </c>
      <c r="D20" s="18">
        <f t="shared" si="1"/>
        <v>551</v>
      </c>
      <c r="E20" s="4">
        <v>1</v>
      </c>
      <c r="F20" s="4">
        <v>2</v>
      </c>
      <c r="G20" s="4">
        <v>0.8643499963097353</v>
      </c>
      <c r="H20" s="4">
        <v>213</v>
      </c>
      <c r="I20" s="4" t="str">
        <f>VLOOKUP(H20,$Q$2:$U$57,5,FALSE)</f>
        <v>10% MDGS Variable</v>
      </c>
      <c r="Q20" s="4">
        <v>307</v>
      </c>
      <c r="R20" s="4">
        <v>2</v>
      </c>
      <c r="S20" s="4">
        <v>4</v>
      </c>
      <c r="T20" s="4">
        <v>0.54707951933961074</v>
      </c>
      <c r="U20" s="4" t="s">
        <v>26</v>
      </c>
      <c r="V20" s="5">
        <v>307</v>
      </c>
      <c r="W20" s="21">
        <f t="shared" si="0"/>
        <v>624.70000000000005</v>
      </c>
      <c r="X20" s="22">
        <f t="shared" si="7"/>
        <v>283.36392000000001</v>
      </c>
      <c r="Y20" s="23">
        <f>'[1]Final Performance'!AC20</f>
        <v>1322.6984126984125</v>
      </c>
      <c r="Z20" s="22">
        <f t="shared" si="3"/>
        <v>599.97599999999989</v>
      </c>
      <c r="AA20" s="24">
        <f>'[1]Final Performance'!AE20</f>
        <v>21.697158876111111</v>
      </c>
      <c r="AB20" s="25">
        <f t="shared" si="4"/>
        <v>9.8418312662040002</v>
      </c>
      <c r="AC20" s="26">
        <v>3.5612163913184327</v>
      </c>
      <c r="AD20" s="27">
        <f t="shared" si="5"/>
        <v>1.6153677551020411</v>
      </c>
      <c r="AE20" s="28">
        <v>1.94</v>
      </c>
      <c r="AF20" s="4">
        <v>1.29</v>
      </c>
      <c r="AG20" s="29">
        <v>2.89</v>
      </c>
      <c r="AH20" s="4">
        <v>307</v>
      </c>
    </row>
    <row r="21" spans="1:34" x14ac:dyDescent="0.2">
      <c r="A21" s="16">
        <v>4460</v>
      </c>
      <c r="B21" s="17">
        <f>VLOOKUP(A21,'[1]Nebris 11.27'!E:I,5,FALSE)</f>
        <v>560</v>
      </c>
      <c r="C21" s="4">
        <f>VLOOKUP(A21,'[1]Nebris 11.28.23'!$E:$I,5,FALSE)</f>
        <v>552</v>
      </c>
      <c r="D21" s="18">
        <f t="shared" si="1"/>
        <v>556</v>
      </c>
      <c r="E21" s="4">
        <v>1</v>
      </c>
      <c r="F21" s="4">
        <v>2</v>
      </c>
      <c r="G21" s="4">
        <v>0.9146454426331827</v>
      </c>
      <c r="H21" s="4">
        <v>214</v>
      </c>
      <c r="I21" s="4" t="str">
        <f>VLOOKUP(H21,$Q$2:$U$57,5,FALSE)</f>
        <v xml:space="preserve">25% MDGS Constant </v>
      </c>
      <c r="Q21" s="4">
        <v>308</v>
      </c>
      <c r="R21" s="4">
        <v>2</v>
      </c>
      <c r="S21" s="4">
        <v>4</v>
      </c>
      <c r="T21" s="4">
        <v>0.88115405279948733</v>
      </c>
      <c r="U21" s="4" t="s">
        <v>25</v>
      </c>
      <c r="V21" s="5">
        <v>308</v>
      </c>
      <c r="W21" s="21">
        <f t="shared" si="0"/>
        <v>626.70000000000005</v>
      </c>
      <c r="X21" s="22">
        <f t="shared" si="7"/>
        <v>284.27112</v>
      </c>
      <c r="Y21" s="23">
        <f>'[1]Final Performance'!AC21</f>
        <v>1371.746031746032</v>
      </c>
      <c r="Z21" s="22">
        <f t="shared" si="3"/>
        <v>622.22400000000016</v>
      </c>
      <c r="AA21" s="24">
        <f>'[1]Final Performance'!AE21</f>
        <v>23.183092460704504</v>
      </c>
      <c r="AB21" s="25">
        <f t="shared" si="4"/>
        <v>10.515850740175564</v>
      </c>
      <c r="AC21" s="26">
        <v>3.8012552640103658</v>
      </c>
      <c r="AD21" s="27">
        <f t="shared" si="5"/>
        <v>1.7242493877551019</v>
      </c>
      <c r="AE21" s="28">
        <v>1.93</v>
      </c>
      <c r="AF21" s="4">
        <v>1.28</v>
      </c>
      <c r="AG21" s="29">
        <v>2.87</v>
      </c>
      <c r="AH21" s="4">
        <v>308</v>
      </c>
    </row>
    <row r="22" spans="1:34" x14ac:dyDescent="0.2">
      <c r="A22" s="16">
        <v>4317</v>
      </c>
      <c r="B22" s="17">
        <f>VLOOKUP(A22,'[1]Nebris 11.27'!E:I,5,FALSE)</f>
        <v>562</v>
      </c>
      <c r="C22" s="4">
        <f>VLOOKUP(A22,'[1]Nebris 11.28.23'!$E:$I,5,FALSE)</f>
        <v>564</v>
      </c>
      <c r="D22" s="18">
        <f t="shared" si="1"/>
        <v>563</v>
      </c>
      <c r="E22" s="4">
        <v>1</v>
      </c>
      <c r="F22" s="4">
        <v>3</v>
      </c>
      <c r="G22" s="4">
        <v>0.11651433749690687</v>
      </c>
      <c r="H22" s="4">
        <v>205</v>
      </c>
      <c r="I22" s="4" t="str">
        <f>VLOOKUP(H22,$Q$2:$U$57,5,FALSE)</f>
        <v xml:space="preserve">10% MDGS Constant </v>
      </c>
      <c r="Q22" s="4">
        <v>309</v>
      </c>
      <c r="R22" s="4">
        <v>2</v>
      </c>
      <c r="S22" s="4">
        <v>5</v>
      </c>
      <c r="T22" s="4">
        <v>5.9719457217145222E-2</v>
      </c>
      <c r="U22" s="4" t="s">
        <v>21</v>
      </c>
      <c r="V22" s="5">
        <v>309</v>
      </c>
      <c r="W22" s="21">
        <f t="shared" si="0"/>
        <v>626.70000000000005</v>
      </c>
      <c r="X22" s="22">
        <f t="shared" si="7"/>
        <v>284.27112</v>
      </c>
      <c r="Y22" s="23">
        <f>'[1]Final Performance'!AC22</f>
        <v>1354.2857142857142</v>
      </c>
      <c r="Z22" s="22">
        <f t="shared" si="3"/>
        <v>614.30399999999997</v>
      </c>
      <c r="AA22" s="24">
        <f>'[1]Final Performance'!AE22</f>
        <v>22.382749735000004</v>
      </c>
      <c r="AB22" s="25">
        <f t="shared" si="4"/>
        <v>10.152815279796002</v>
      </c>
      <c r="AC22" s="26">
        <v>3.7121720116618078</v>
      </c>
      <c r="AD22" s="27">
        <f t="shared" si="5"/>
        <v>1.683841224489796</v>
      </c>
      <c r="AE22" s="28">
        <v>1.94</v>
      </c>
      <c r="AF22" s="4">
        <v>1.29</v>
      </c>
      <c r="AG22" s="29">
        <v>2.89</v>
      </c>
      <c r="AH22" s="4">
        <v>309</v>
      </c>
    </row>
    <row r="23" spans="1:34" x14ac:dyDescent="0.2">
      <c r="A23" s="16">
        <v>4333</v>
      </c>
      <c r="B23" s="17">
        <f>VLOOKUP(A23,'[1]Nebris 11.27'!E:I,5,FALSE)</f>
        <v>564</v>
      </c>
      <c r="C23" s="4">
        <f>VLOOKUP(A23,'[1]Nebris 11.28.23'!$E:$I,5,FALSE)</f>
        <v>570</v>
      </c>
      <c r="D23" s="18">
        <f t="shared" si="1"/>
        <v>567</v>
      </c>
      <c r="E23" s="4">
        <v>1</v>
      </c>
      <c r="F23" s="4">
        <v>3</v>
      </c>
      <c r="G23" s="4">
        <v>0.1335462496522577</v>
      </c>
      <c r="H23" s="4">
        <v>206</v>
      </c>
      <c r="I23" s="4" t="str">
        <f>VLOOKUP(H23,$Q$2:$U$57,5,FALSE)</f>
        <v>10% MDGS Variable</v>
      </c>
      <c r="Q23" s="4">
        <v>310</v>
      </c>
      <c r="R23" s="4">
        <v>2</v>
      </c>
      <c r="S23" s="4">
        <v>5</v>
      </c>
      <c r="T23" s="4">
        <v>7.244733983965379E-2</v>
      </c>
      <c r="U23" s="4" t="s">
        <v>24</v>
      </c>
      <c r="V23" s="5">
        <v>310</v>
      </c>
      <c r="W23" s="21">
        <f t="shared" si="0"/>
        <v>629</v>
      </c>
      <c r="X23" s="22">
        <f t="shared" si="7"/>
        <v>285.31439999999998</v>
      </c>
      <c r="Y23" s="23">
        <f>'[1]Final Performance'!AC23</f>
        <v>1368.4303350970017</v>
      </c>
      <c r="Z23" s="22">
        <f t="shared" si="3"/>
        <v>620.72</v>
      </c>
      <c r="AA23" s="24">
        <f>'[1]Final Performance'!AE23</f>
        <v>23.18107161691918</v>
      </c>
      <c r="AB23" s="25">
        <f t="shared" si="4"/>
        <v>10.51493408543454</v>
      </c>
      <c r="AC23" s="26">
        <v>3.7572976280459276</v>
      </c>
      <c r="AD23" s="27">
        <f t="shared" si="5"/>
        <v>1.7043102040816327</v>
      </c>
      <c r="AE23" s="28">
        <v>1.91</v>
      </c>
      <c r="AF23" s="4">
        <v>1.27</v>
      </c>
      <c r="AG23" s="29">
        <v>2.86</v>
      </c>
      <c r="AH23" s="4">
        <v>310</v>
      </c>
    </row>
    <row r="24" spans="1:34" x14ac:dyDescent="0.2">
      <c r="A24" s="16">
        <v>4700</v>
      </c>
      <c r="B24" s="17">
        <f>VLOOKUP(A24,'[1]Nebris 11.27'!E:I,5,FALSE)</f>
        <v>564</v>
      </c>
      <c r="C24" s="4">
        <f>VLOOKUP(A24,'[1]Nebris 11.28.23'!$E:$I,5,FALSE)</f>
        <v>570</v>
      </c>
      <c r="D24" s="18">
        <f t="shared" si="1"/>
        <v>567</v>
      </c>
      <c r="E24" s="4">
        <v>1</v>
      </c>
      <c r="F24" s="4">
        <v>3</v>
      </c>
      <c r="G24" s="4">
        <v>0.13431988002208206</v>
      </c>
      <c r="H24" s="4">
        <v>207</v>
      </c>
      <c r="I24" s="4" t="str">
        <f>VLOOKUP(H24,$Q$2:$U$57,5,FALSE)</f>
        <v>Control</v>
      </c>
      <c r="Q24" s="4">
        <v>311</v>
      </c>
      <c r="R24" s="4">
        <v>2</v>
      </c>
      <c r="S24" s="4">
        <v>5</v>
      </c>
      <c r="T24" s="4">
        <v>0.66857659713571027</v>
      </c>
      <c r="U24" s="4" t="s">
        <v>22</v>
      </c>
      <c r="V24" s="5">
        <v>311</v>
      </c>
      <c r="W24" s="21">
        <f t="shared" si="0"/>
        <v>631.29999999999995</v>
      </c>
      <c r="X24" s="22">
        <f t="shared" si="7"/>
        <v>286.35767999999996</v>
      </c>
      <c r="Y24" s="23">
        <f>'[1]Final Performance'!AC24</f>
        <v>1369.2063492063492</v>
      </c>
      <c r="Z24" s="22">
        <f t="shared" si="3"/>
        <v>621.072</v>
      </c>
      <c r="AA24" s="24">
        <f>'[1]Final Performance'!AE24</f>
        <v>23.779243605703989</v>
      </c>
      <c r="AB24" s="25">
        <f t="shared" si="4"/>
        <v>10.78626489954733</v>
      </c>
      <c r="AC24" s="26">
        <v>3.7648283122772916</v>
      </c>
      <c r="AD24" s="27">
        <f t="shared" si="5"/>
        <v>1.7077261224489795</v>
      </c>
      <c r="AE24" s="28">
        <v>1.88</v>
      </c>
      <c r="AF24" s="4">
        <v>1.24</v>
      </c>
      <c r="AG24" s="29">
        <v>2.82</v>
      </c>
      <c r="AH24" s="4">
        <v>311</v>
      </c>
    </row>
    <row r="25" spans="1:34" x14ac:dyDescent="0.2">
      <c r="A25" s="16">
        <v>4445</v>
      </c>
      <c r="B25" s="17">
        <f>VLOOKUP(A25,'[1]Nebris 11.27'!E:I,5,FALSE)</f>
        <v>562</v>
      </c>
      <c r="C25" s="4">
        <f>VLOOKUP(A25,'[1]Nebris 11.28.23'!$E:$I,5,FALSE)</f>
        <v>572</v>
      </c>
      <c r="D25" s="18">
        <f t="shared" si="1"/>
        <v>567</v>
      </c>
      <c r="E25" s="4">
        <v>1</v>
      </c>
      <c r="F25" s="4">
        <v>3</v>
      </c>
      <c r="G25" s="4">
        <v>0.25443114529148958</v>
      </c>
      <c r="H25" s="4">
        <v>208</v>
      </c>
      <c r="I25" s="4" t="str">
        <f>VLOOKUP(H25,$Q$2:$U$57,5,FALSE)</f>
        <v>25% MDGS Variable</v>
      </c>
      <c r="Q25" s="4">
        <v>312</v>
      </c>
      <c r="R25" s="4">
        <v>2</v>
      </c>
      <c r="S25" s="4">
        <v>5</v>
      </c>
      <c r="T25" s="4">
        <v>0.89781507400813687</v>
      </c>
      <c r="U25" s="4" t="s">
        <v>25</v>
      </c>
      <c r="V25" s="5">
        <v>312</v>
      </c>
      <c r="W25" s="21">
        <f t="shared" si="0"/>
        <v>629.1</v>
      </c>
      <c r="X25" s="22">
        <f t="shared" si="7"/>
        <v>285.35975999999999</v>
      </c>
      <c r="Y25" s="23">
        <f>'[1]Final Performance'!AC25</f>
        <v>1349.3650793650791</v>
      </c>
      <c r="Z25" s="22">
        <f t="shared" si="3"/>
        <v>612.07199999999989</v>
      </c>
      <c r="AA25" s="24">
        <f>'[1]Final Performance'!AE25</f>
        <v>23.507213350404029</v>
      </c>
      <c r="AB25" s="25">
        <f t="shared" si="4"/>
        <v>10.662871975743268</v>
      </c>
      <c r="AC25" s="26">
        <v>3.6748218334953031</v>
      </c>
      <c r="AD25" s="27">
        <f t="shared" si="5"/>
        <v>1.6668991836734695</v>
      </c>
      <c r="AE25" s="28">
        <v>1.85</v>
      </c>
      <c r="AF25" s="4">
        <v>1.22</v>
      </c>
      <c r="AG25" s="29">
        <v>2.79</v>
      </c>
      <c r="AH25" s="4">
        <v>312</v>
      </c>
    </row>
    <row r="26" spans="1:34" x14ac:dyDescent="0.2">
      <c r="A26" s="16">
        <v>4357</v>
      </c>
      <c r="B26" s="17">
        <f>VLOOKUP(A26,'[1]Nebris 11.27'!E:I,5,FALSE)</f>
        <v>562</v>
      </c>
      <c r="C26" s="4">
        <f>VLOOKUP(A26,'[1]Nebris 11.28.23'!$E:$I,5,FALSE)</f>
        <v>556</v>
      </c>
      <c r="D26" s="18">
        <f t="shared" si="1"/>
        <v>559</v>
      </c>
      <c r="E26" s="4">
        <v>1</v>
      </c>
      <c r="F26" s="4">
        <v>3</v>
      </c>
      <c r="G26" s="4">
        <v>0.27863879428570493</v>
      </c>
      <c r="H26" s="4">
        <v>209</v>
      </c>
      <c r="I26" s="4" t="str">
        <f>VLOOKUP(H26,$Q$2:$U$57,5,FALSE)</f>
        <v xml:space="preserve">25% MDGS Constant </v>
      </c>
      <c r="Q26" s="4">
        <v>313</v>
      </c>
      <c r="R26" s="4">
        <v>2</v>
      </c>
      <c r="S26" s="4">
        <v>5</v>
      </c>
      <c r="T26" s="4">
        <v>0.9845007528564651</v>
      </c>
      <c r="U26" s="4" t="s">
        <v>26</v>
      </c>
      <c r="V26" s="5">
        <v>313</v>
      </c>
      <c r="W26" s="21">
        <f t="shared" si="0"/>
        <v>627.29999999999995</v>
      </c>
      <c r="X26" s="22">
        <f t="shared" si="7"/>
        <v>284.54327999999998</v>
      </c>
      <c r="Y26" s="23">
        <f>'[1]Final Performance'!AC26</f>
        <v>1380.952380952381</v>
      </c>
      <c r="Z26" s="22">
        <f t="shared" si="3"/>
        <v>626.4</v>
      </c>
      <c r="AA26" s="24">
        <f>'[1]Final Performance'!AE26</f>
        <v>23.480892071111096</v>
      </c>
      <c r="AB26" s="25">
        <f t="shared" si="4"/>
        <v>10.650932643455993</v>
      </c>
      <c r="AC26" s="26">
        <v>3.8451652089407196</v>
      </c>
      <c r="AD26" s="27">
        <f t="shared" si="5"/>
        <v>1.7441669387755103</v>
      </c>
      <c r="AE26" s="28">
        <v>1.92</v>
      </c>
      <c r="AF26" s="4">
        <v>1.27</v>
      </c>
      <c r="AG26" s="29">
        <v>2.86</v>
      </c>
      <c r="AH26" s="4">
        <v>313</v>
      </c>
    </row>
    <row r="27" spans="1:34" x14ac:dyDescent="0.2">
      <c r="A27" s="16">
        <v>4691</v>
      </c>
      <c r="B27" s="17">
        <f>VLOOKUP(A27,'[1]Nebris 11.27'!E:I,5,FALSE)</f>
        <v>560</v>
      </c>
      <c r="C27" s="4">
        <f>VLOOKUP(A27,'[1]Nebris 11.28.23'!$E:$I,5,FALSE)</f>
        <v>574</v>
      </c>
      <c r="D27" s="18">
        <f t="shared" si="1"/>
        <v>567</v>
      </c>
      <c r="E27" s="4">
        <v>1</v>
      </c>
      <c r="F27" s="4">
        <v>3</v>
      </c>
      <c r="G27" s="4">
        <v>0.34361157060381686</v>
      </c>
      <c r="H27" s="4">
        <v>210</v>
      </c>
      <c r="I27" s="4" t="str">
        <f>VLOOKUP(H27,$Q$2:$U$57,5,FALSE)</f>
        <v xml:space="preserve">10% MDGS Constant </v>
      </c>
      <c r="Q27" s="4">
        <v>314</v>
      </c>
      <c r="R27" s="4">
        <v>2</v>
      </c>
      <c r="S27" s="4">
        <v>6</v>
      </c>
      <c r="T27" s="4">
        <v>0.36164609156362248</v>
      </c>
      <c r="U27" s="4" t="s">
        <v>26</v>
      </c>
      <c r="V27" s="5">
        <v>314</v>
      </c>
      <c r="W27" s="21">
        <f t="shared" si="0"/>
        <v>631.1</v>
      </c>
      <c r="X27" s="22">
        <f t="shared" si="7"/>
        <v>286.26696000000004</v>
      </c>
      <c r="Y27" s="23">
        <f>'[1]Final Performance'!AC27</f>
        <v>1387.3015873015875</v>
      </c>
      <c r="Z27" s="22">
        <f t="shared" si="3"/>
        <v>629.28000000000009</v>
      </c>
      <c r="AA27" s="24">
        <f>'[1]Final Performance'!AE27</f>
        <v>23.926712488585853</v>
      </c>
      <c r="AB27" s="25">
        <f t="shared" si="4"/>
        <v>10.853156784822543</v>
      </c>
      <c r="AC27" s="26">
        <v>3.8632167152575314</v>
      </c>
      <c r="AD27" s="27">
        <f t="shared" si="5"/>
        <v>1.7523551020408163</v>
      </c>
      <c r="AE27" s="28">
        <v>1.9</v>
      </c>
      <c r="AF27" s="4">
        <v>1.25</v>
      </c>
      <c r="AG27" s="29">
        <v>2.84</v>
      </c>
      <c r="AH27" s="4">
        <v>314</v>
      </c>
    </row>
    <row r="28" spans="1:34" x14ac:dyDescent="0.2">
      <c r="A28" s="16">
        <v>4423</v>
      </c>
      <c r="B28" s="17">
        <f>VLOOKUP(A28,'[1]Nebris 11.27'!E:I,5,FALSE)</f>
        <v>564</v>
      </c>
      <c r="C28" s="4">
        <f>VLOOKUP(A28,'[1]Nebris 11.28.23'!$E:$I,5,FALSE)</f>
        <v>580</v>
      </c>
      <c r="D28" s="18">
        <f t="shared" si="1"/>
        <v>572</v>
      </c>
      <c r="E28" s="4">
        <v>1</v>
      </c>
      <c r="F28" s="4">
        <v>3</v>
      </c>
      <c r="G28" s="4">
        <v>0.54959193149644003</v>
      </c>
      <c r="H28" s="4">
        <v>211</v>
      </c>
      <c r="I28" s="4" t="str">
        <f>VLOOKUP(H28,$Q$2:$U$57,5,FALSE)</f>
        <v>Control</v>
      </c>
      <c r="Q28" s="4">
        <v>315</v>
      </c>
      <c r="R28" s="4">
        <v>2</v>
      </c>
      <c r="S28" s="4">
        <v>6</v>
      </c>
      <c r="T28" s="4">
        <v>0.52656807556281593</v>
      </c>
      <c r="U28" s="4" t="s">
        <v>25</v>
      </c>
      <c r="V28" s="5">
        <v>315</v>
      </c>
      <c r="W28" s="21">
        <f t="shared" si="0"/>
        <v>622.9</v>
      </c>
      <c r="X28" s="22">
        <f t="shared" si="7"/>
        <v>282.54743999999999</v>
      </c>
      <c r="Y28" s="23">
        <f>'[1]Final Performance'!AC28</f>
        <v>1382.1869488536156</v>
      </c>
      <c r="Z28" s="22">
        <f t="shared" si="3"/>
        <v>626.96</v>
      </c>
      <c r="AA28" s="24">
        <f>'[1]Final Performance'!AE28</f>
        <v>23.392790065062279</v>
      </c>
      <c r="AB28" s="25">
        <f t="shared" si="4"/>
        <v>10.61096957351225</v>
      </c>
      <c r="AC28" s="26">
        <v>3.8580966778245696</v>
      </c>
      <c r="AD28" s="27">
        <f t="shared" si="5"/>
        <v>1.7500326530612247</v>
      </c>
      <c r="AE28" s="28">
        <v>1.94</v>
      </c>
      <c r="AF28" s="4">
        <v>1.29</v>
      </c>
      <c r="AG28" s="29">
        <v>2.89</v>
      </c>
      <c r="AH28" s="4">
        <v>315</v>
      </c>
    </row>
    <row r="29" spans="1:34" x14ac:dyDescent="0.2">
      <c r="A29" s="16">
        <v>4702</v>
      </c>
      <c r="B29" s="17">
        <f>VLOOKUP(A29,'[1]Nebris 11.27'!E:I,5,FALSE)</f>
        <v>560</v>
      </c>
      <c r="C29" s="4">
        <f>VLOOKUP(A29,'[1]Nebris 11.28.23'!$E:$I,5,FALSE)</f>
        <v>572</v>
      </c>
      <c r="D29" s="18">
        <f t="shared" si="1"/>
        <v>566</v>
      </c>
      <c r="E29" s="4">
        <v>1</v>
      </c>
      <c r="F29" s="4">
        <v>3</v>
      </c>
      <c r="G29" s="4">
        <v>0.61999853472136346</v>
      </c>
      <c r="H29" s="4">
        <v>212</v>
      </c>
      <c r="I29" s="4" t="str">
        <f>VLOOKUP(H29,$Q$2:$U$57,5,FALSE)</f>
        <v>25% MDGS Variable</v>
      </c>
      <c r="Q29" s="4">
        <v>316</v>
      </c>
      <c r="R29" s="4">
        <v>2</v>
      </c>
      <c r="S29" s="4">
        <v>6</v>
      </c>
      <c r="T29" s="4">
        <v>0.58168133150757528</v>
      </c>
      <c r="U29" s="4" t="s">
        <v>22</v>
      </c>
      <c r="V29" s="5">
        <v>316</v>
      </c>
      <c r="W29" s="21">
        <f t="shared" si="0"/>
        <v>626.9</v>
      </c>
      <c r="X29" s="22">
        <f t="shared" si="7"/>
        <v>284.36183999999997</v>
      </c>
      <c r="Y29" s="23">
        <f>'[1]Final Performance'!AC29</f>
        <v>1360.9523809523807</v>
      </c>
      <c r="Z29" s="22">
        <f t="shared" si="3"/>
        <v>617.32799999999986</v>
      </c>
      <c r="AA29" s="24">
        <f>'[1]Final Performance'!AE29</f>
        <v>23.276936370757571</v>
      </c>
      <c r="AB29" s="25">
        <f t="shared" si="4"/>
        <v>10.558418337775635</v>
      </c>
      <c r="AC29" s="26">
        <v>3.745165208940719</v>
      </c>
      <c r="AD29" s="27">
        <f t="shared" si="5"/>
        <v>1.6988069387755103</v>
      </c>
      <c r="AE29" s="28">
        <v>1.89</v>
      </c>
      <c r="AF29" s="4">
        <v>1.25</v>
      </c>
      <c r="AG29" s="29">
        <v>2.83</v>
      </c>
      <c r="AH29" s="4">
        <v>316</v>
      </c>
    </row>
    <row r="30" spans="1:34" x14ac:dyDescent="0.2">
      <c r="A30" s="16">
        <v>4328</v>
      </c>
      <c r="B30" s="17">
        <f>VLOOKUP(A30,'[1]Nebris 11.27'!E:I,5,FALSE)</f>
        <v>564</v>
      </c>
      <c r="C30" s="4">
        <f>VLOOKUP(A30,'[1]Nebris 11.28.23'!$E:$I,5,FALSE)</f>
        <v>556</v>
      </c>
      <c r="D30" s="18">
        <f t="shared" si="1"/>
        <v>560</v>
      </c>
      <c r="E30" s="4">
        <v>1</v>
      </c>
      <c r="F30" s="4">
        <v>3</v>
      </c>
      <c r="G30" s="4">
        <v>0.65759790474622903</v>
      </c>
      <c r="H30" s="4">
        <v>213</v>
      </c>
      <c r="I30" s="4" t="str">
        <f>VLOOKUP(H30,$Q$2:$U$57,5,FALSE)</f>
        <v>10% MDGS Variable</v>
      </c>
      <c r="Q30" s="4">
        <v>317</v>
      </c>
      <c r="R30" s="4">
        <v>2</v>
      </c>
      <c r="S30" s="4">
        <v>6</v>
      </c>
      <c r="T30" s="4">
        <v>0.65938196183029674</v>
      </c>
      <c r="U30" s="4" t="s">
        <v>21</v>
      </c>
      <c r="V30" s="5">
        <v>317</v>
      </c>
      <c r="W30" s="21">
        <f t="shared" si="0"/>
        <v>626.20000000000005</v>
      </c>
      <c r="X30" s="22">
        <f t="shared" si="7"/>
        <v>284.04432000000003</v>
      </c>
      <c r="Y30" s="23">
        <f>'[1]Final Performance'!AC30</f>
        <v>1312.5220458553792</v>
      </c>
      <c r="Z30" s="22">
        <f t="shared" si="3"/>
        <v>595.36</v>
      </c>
      <c r="AA30" s="24">
        <f>'[1]Final Performance'!AE30</f>
        <v>23.188136258216968</v>
      </c>
      <c r="AB30" s="25">
        <f t="shared" si="4"/>
        <v>10.518138606727216</v>
      </c>
      <c r="AC30" s="26">
        <v>3.5037972861102116</v>
      </c>
      <c r="AD30" s="27">
        <f t="shared" si="5"/>
        <v>1.5893224489795921</v>
      </c>
      <c r="AE30" s="28">
        <v>1.81</v>
      </c>
      <c r="AF30" s="4">
        <v>1.18</v>
      </c>
      <c r="AG30" s="29">
        <v>2.74</v>
      </c>
      <c r="AH30" s="4">
        <v>317</v>
      </c>
    </row>
    <row r="31" spans="1:34" x14ac:dyDescent="0.2">
      <c r="A31" s="16">
        <v>4497</v>
      </c>
      <c r="B31" s="17">
        <f>VLOOKUP(A31,'[1]Nebris 11.27'!E:I,5,FALSE)</f>
        <v>564</v>
      </c>
      <c r="C31" s="4">
        <f>VLOOKUP(A31,'[1]Nebris 11.28.23'!$E:$I,5,FALSE)</f>
        <v>550</v>
      </c>
      <c r="D31" s="18">
        <f t="shared" si="1"/>
        <v>557</v>
      </c>
      <c r="E31" s="4">
        <v>1</v>
      </c>
      <c r="F31" s="4">
        <v>3</v>
      </c>
      <c r="G31" s="4">
        <v>0.84590382870718661</v>
      </c>
      <c r="H31" s="4">
        <v>214</v>
      </c>
      <c r="I31" s="4" t="str">
        <f>VLOOKUP(H31,$Q$2:$U$57,5,FALSE)</f>
        <v xml:space="preserve">25% MDGS Constant </v>
      </c>
      <c r="Q31" s="4">
        <v>318</v>
      </c>
      <c r="R31" s="4">
        <v>2</v>
      </c>
      <c r="S31" s="4">
        <v>6</v>
      </c>
      <c r="T31" s="4">
        <v>0.88796535279730304</v>
      </c>
      <c r="U31" s="4" t="s">
        <v>24</v>
      </c>
      <c r="V31" s="5">
        <v>318</v>
      </c>
      <c r="W31" s="21">
        <f t="shared" si="0"/>
        <v>628.5</v>
      </c>
      <c r="X31" s="22">
        <f t="shared" si="7"/>
        <v>285.08760000000001</v>
      </c>
      <c r="Y31" s="23">
        <f>'[1]Final Performance'!AC31</f>
        <v>1306.8783068783068</v>
      </c>
      <c r="Z31" s="22">
        <f t="shared" si="3"/>
        <v>592.79999999999995</v>
      </c>
      <c r="AA31" s="24">
        <f>'[1]Final Performance'!AE31</f>
        <v>23.479164833812241</v>
      </c>
      <c r="AB31" s="25">
        <f t="shared" si="4"/>
        <v>10.650149168617233</v>
      </c>
      <c r="AC31" s="26">
        <v>3.469333765252133</v>
      </c>
      <c r="AD31" s="27">
        <f t="shared" si="5"/>
        <v>1.5736897959183676</v>
      </c>
      <c r="AE31" s="28">
        <v>1.77</v>
      </c>
      <c r="AF31" s="4">
        <v>1.1399999999999999</v>
      </c>
      <c r="AG31" s="29">
        <v>2.69</v>
      </c>
      <c r="AH31" s="4">
        <v>318</v>
      </c>
    </row>
    <row r="32" spans="1:34" x14ac:dyDescent="0.2">
      <c r="A32" s="16">
        <v>4501</v>
      </c>
      <c r="B32" s="17">
        <f>VLOOKUP(A32,'[1]Nebris 11.27'!E:I,5,FALSE)</f>
        <v>570</v>
      </c>
      <c r="C32" s="4">
        <f>VLOOKUP(A32,'[1]Nebris 11.28.23'!$E:$I,5,FALSE)</f>
        <v>576</v>
      </c>
      <c r="D32" s="18">
        <f t="shared" si="1"/>
        <v>573</v>
      </c>
      <c r="E32" s="4">
        <v>1</v>
      </c>
      <c r="F32" s="4">
        <v>4</v>
      </c>
      <c r="G32" s="4">
        <v>1.2283839594056878E-2</v>
      </c>
      <c r="H32" s="4">
        <v>205</v>
      </c>
      <c r="I32" s="4" t="str">
        <f>VLOOKUP(H32,$Q$2:$U$57,5,FALSE)</f>
        <v xml:space="preserve">10% MDGS Constant </v>
      </c>
      <c r="Q32" s="4">
        <v>405</v>
      </c>
      <c r="R32" s="4">
        <v>3</v>
      </c>
      <c r="S32" s="4">
        <v>7</v>
      </c>
      <c r="T32" s="4">
        <v>9.0366313237083551E-3</v>
      </c>
      <c r="U32" s="4" t="s">
        <v>24</v>
      </c>
      <c r="V32" s="5">
        <v>405</v>
      </c>
      <c r="W32" s="21">
        <f t="shared" si="0"/>
        <v>695.6</v>
      </c>
      <c r="X32" s="22">
        <f t="shared" si="7"/>
        <v>315.52415999999999</v>
      </c>
      <c r="Y32" s="23">
        <f>'[1]Final Performance'!AC32</f>
        <v>1352.063492063492</v>
      </c>
      <c r="Z32" s="22">
        <f t="shared" si="3"/>
        <v>613.29600000000005</v>
      </c>
      <c r="AA32" s="24">
        <f>'[1]Final Performance'!AE32</f>
        <v>23.841123317486332</v>
      </c>
      <c r="AB32" s="25">
        <f t="shared" si="4"/>
        <v>10.8143335368118</v>
      </c>
      <c r="AC32" s="26">
        <v>3.6069422640851214</v>
      </c>
      <c r="AD32" s="27">
        <f t="shared" si="5"/>
        <v>1.6361090109890111</v>
      </c>
      <c r="AE32" s="28">
        <v>1.86</v>
      </c>
      <c r="AF32" s="4">
        <v>1.22</v>
      </c>
      <c r="AG32" s="29">
        <v>2.8</v>
      </c>
      <c r="AH32" s="4">
        <v>405</v>
      </c>
    </row>
    <row r="33" spans="1:34" x14ac:dyDescent="0.2">
      <c r="A33" s="16">
        <v>4361</v>
      </c>
      <c r="B33" s="17">
        <f>VLOOKUP(A33,'[1]Nebris 11.27'!E:I,5,FALSE)</f>
        <v>570</v>
      </c>
      <c r="C33" s="4">
        <f>VLOOKUP(A33,'[1]Nebris 11.28.23'!$E:$I,5,FALSE)</f>
        <v>592</v>
      </c>
      <c r="D33" s="18">
        <f t="shared" si="1"/>
        <v>581</v>
      </c>
      <c r="E33" s="4">
        <v>1</v>
      </c>
      <c r="F33" s="4">
        <v>4</v>
      </c>
      <c r="G33" s="4">
        <v>0.17528596628606496</v>
      </c>
      <c r="H33" s="4">
        <v>206</v>
      </c>
      <c r="I33" s="4" t="str">
        <f>VLOOKUP(H33,$Q$2:$U$57,5,FALSE)</f>
        <v>10% MDGS Variable</v>
      </c>
      <c r="Q33" s="4">
        <v>406</v>
      </c>
      <c r="R33" s="4">
        <v>3</v>
      </c>
      <c r="S33" s="4">
        <v>7</v>
      </c>
      <c r="T33" s="4">
        <v>0.51593629063234692</v>
      </c>
      <c r="U33" s="4" t="s">
        <v>22</v>
      </c>
      <c r="V33" s="5">
        <v>406</v>
      </c>
      <c r="W33" s="21">
        <f t="shared" si="0"/>
        <v>702.7</v>
      </c>
      <c r="X33" s="22">
        <f t="shared" si="7"/>
        <v>318.74472000000003</v>
      </c>
      <c r="Y33" s="23">
        <f>'[1]Final Performance'!AC33</f>
        <v>1394.6031746031745</v>
      </c>
      <c r="Z33" s="22">
        <f t="shared" si="3"/>
        <v>632.59199999999998</v>
      </c>
      <c r="AA33" s="24">
        <f>'[1]Final Performance'!AE33</f>
        <v>24.456725328579239</v>
      </c>
      <c r="AB33" s="25">
        <f t="shared" si="4"/>
        <v>11.093570609043542</v>
      </c>
      <c r="AC33" s="26">
        <v>3.8016657945229375</v>
      </c>
      <c r="AD33" s="27">
        <f t="shared" si="5"/>
        <v>1.7244356043956044</v>
      </c>
      <c r="AE33" s="28">
        <v>1.9</v>
      </c>
      <c r="AF33" s="4">
        <v>1.25</v>
      </c>
      <c r="AG33" s="29">
        <v>2.84</v>
      </c>
      <c r="AH33" s="4">
        <v>406</v>
      </c>
    </row>
    <row r="34" spans="1:34" x14ac:dyDescent="0.2">
      <c r="A34" s="16">
        <v>4469</v>
      </c>
      <c r="B34" s="17">
        <f>VLOOKUP(A34,'[1]Nebris 11.27'!E:I,5,FALSE)</f>
        <v>566</v>
      </c>
      <c r="C34" s="4">
        <f>VLOOKUP(A34,'[1]Nebris 11.28.23'!$E:$I,5,FALSE)</f>
        <v>574</v>
      </c>
      <c r="D34" s="18">
        <f t="shared" si="1"/>
        <v>570</v>
      </c>
      <c r="E34" s="4">
        <v>1</v>
      </c>
      <c r="F34" s="4">
        <v>4</v>
      </c>
      <c r="G34" s="4">
        <v>0.27520011819971502</v>
      </c>
      <c r="H34" s="4">
        <v>207</v>
      </c>
      <c r="I34" s="4" t="str">
        <f>VLOOKUP(H34,$Q$2:$U$57,5,FALSE)</f>
        <v>Control</v>
      </c>
      <c r="Q34" s="4">
        <v>407</v>
      </c>
      <c r="R34" s="4">
        <v>3</v>
      </c>
      <c r="S34" s="4">
        <v>7</v>
      </c>
      <c r="T34" s="4">
        <v>0.82183375365497791</v>
      </c>
      <c r="U34" s="4" t="s">
        <v>26</v>
      </c>
      <c r="V34" s="5">
        <v>407</v>
      </c>
      <c r="W34" s="21">
        <f t="shared" si="0"/>
        <v>699.8</v>
      </c>
      <c r="X34" s="22">
        <f t="shared" si="7"/>
        <v>317.42928000000001</v>
      </c>
      <c r="Y34" s="23">
        <f>'[1]Final Performance'!AC34</f>
        <v>1346.9841269841272</v>
      </c>
      <c r="Z34" s="22">
        <f t="shared" si="3"/>
        <v>610.99200000000008</v>
      </c>
      <c r="AA34" s="24">
        <f>'[1]Final Performance'!AE34</f>
        <v>22.840113033442627</v>
      </c>
      <c r="AB34" s="25">
        <f t="shared" si="4"/>
        <v>10.360275271969575</v>
      </c>
      <c r="AC34" s="26">
        <v>3.5559567416710274</v>
      </c>
      <c r="AD34" s="27">
        <f t="shared" si="5"/>
        <v>1.6129819780219781</v>
      </c>
      <c r="AE34" s="28">
        <v>1.9</v>
      </c>
      <c r="AF34" s="4">
        <v>1.26</v>
      </c>
      <c r="AG34" s="29">
        <v>2.84</v>
      </c>
      <c r="AH34" s="4">
        <v>407</v>
      </c>
    </row>
    <row r="35" spans="1:34" x14ac:dyDescent="0.2">
      <c r="A35" s="16">
        <v>4486</v>
      </c>
      <c r="B35" s="17">
        <f>VLOOKUP(A35,'[1]Nebris 11.27'!E:I,5,FALSE)</f>
        <v>570</v>
      </c>
      <c r="C35" s="4">
        <f>VLOOKUP(A35,'[1]Nebris 11.28.23'!$E:$I,5,FALSE)</f>
        <v>584</v>
      </c>
      <c r="D35" s="18">
        <f t="shared" si="1"/>
        <v>577</v>
      </c>
      <c r="E35" s="4">
        <v>1</v>
      </c>
      <c r="F35" s="4">
        <v>4</v>
      </c>
      <c r="G35" s="4">
        <v>0.40382693949015969</v>
      </c>
      <c r="H35" s="4">
        <v>208</v>
      </c>
      <c r="I35" s="4" t="str">
        <f>VLOOKUP(H35,$Q$2:$U$57,5,FALSE)</f>
        <v>25% MDGS Variable</v>
      </c>
      <c r="Q35" s="4">
        <v>408</v>
      </c>
      <c r="R35" s="4">
        <v>3</v>
      </c>
      <c r="S35" s="4">
        <v>7</v>
      </c>
      <c r="T35" s="4">
        <v>0.93784093341255437</v>
      </c>
      <c r="U35" s="4" t="s">
        <v>21</v>
      </c>
      <c r="V35" s="5">
        <v>408</v>
      </c>
      <c r="W35" s="21">
        <f t="shared" si="0"/>
        <v>697.6</v>
      </c>
      <c r="X35" s="22">
        <f t="shared" si="7"/>
        <v>316.43136000000004</v>
      </c>
      <c r="Y35" s="23">
        <f>'[1]Final Performance'!AC35</f>
        <v>1334.2857142857142</v>
      </c>
      <c r="Z35" s="22">
        <f t="shared" si="3"/>
        <v>605.23199999999997</v>
      </c>
      <c r="AA35" s="24">
        <f>'[1]Final Performance'!AE35</f>
        <v>22.63029404224044</v>
      </c>
      <c r="AB35" s="25">
        <f t="shared" si="4"/>
        <v>10.265101377560264</v>
      </c>
      <c r="AC35" s="26">
        <v>3.4982731554160127</v>
      </c>
      <c r="AD35" s="27">
        <f t="shared" si="5"/>
        <v>1.5868167032967033</v>
      </c>
      <c r="AE35" s="28">
        <v>1.89</v>
      </c>
      <c r="AF35" s="4">
        <v>1.25</v>
      </c>
      <c r="AG35" s="29">
        <v>2.83</v>
      </c>
      <c r="AH35" s="4">
        <v>408</v>
      </c>
    </row>
    <row r="36" spans="1:34" x14ac:dyDescent="0.2">
      <c r="A36" s="16">
        <v>4425</v>
      </c>
      <c r="B36" s="17">
        <f>VLOOKUP(A36,'[1]Nebris 11.27'!E:I,5,FALSE)</f>
        <v>570</v>
      </c>
      <c r="C36" s="4">
        <f>VLOOKUP(A36,'[1]Nebris 11.28.23'!$E:$I,5,FALSE)</f>
        <v>580</v>
      </c>
      <c r="D36" s="18">
        <f t="shared" si="1"/>
        <v>575</v>
      </c>
      <c r="E36" s="4">
        <v>1</v>
      </c>
      <c r="F36" s="4">
        <v>4</v>
      </c>
      <c r="G36" s="4">
        <v>0.46401232420179983</v>
      </c>
      <c r="H36" s="4">
        <v>209</v>
      </c>
      <c r="I36" s="4" t="str">
        <f>VLOOKUP(H36,$Q$2:$U$57,5,FALSE)</f>
        <v xml:space="preserve">25% MDGS Constant </v>
      </c>
      <c r="Q36" s="4">
        <v>409</v>
      </c>
      <c r="R36" s="4">
        <v>3</v>
      </c>
      <c r="S36" s="4">
        <v>7</v>
      </c>
      <c r="T36" s="4">
        <v>0.9687585172402936</v>
      </c>
      <c r="U36" s="4" t="s">
        <v>25</v>
      </c>
      <c r="V36" s="5">
        <v>409</v>
      </c>
      <c r="W36" s="21">
        <f t="shared" si="0"/>
        <v>692.9</v>
      </c>
      <c r="X36" s="22">
        <f t="shared" si="7"/>
        <v>314.29944</v>
      </c>
      <c r="Y36" s="23">
        <f>'[1]Final Performance'!AC36</f>
        <v>1445.5555555555554</v>
      </c>
      <c r="Z36" s="22">
        <f t="shared" si="3"/>
        <v>655.70399999999995</v>
      </c>
      <c r="AA36" s="24">
        <f>'[1]Final Performance'!AE36</f>
        <v>25.087520326338787</v>
      </c>
      <c r="AB36" s="25">
        <f t="shared" si="4"/>
        <v>11.379699220027273</v>
      </c>
      <c r="AC36" s="26">
        <v>4.135470085470085</v>
      </c>
      <c r="AD36" s="27">
        <f t="shared" si="5"/>
        <v>1.8758492307692305</v>
      </c>
      <c r="AE36" s="28">
        <v>1.98</v>
      </c>
      <c r="AF36" s="4">
        <v>1.32</v>
      </c>
      <c r="AG36" s="29">
        <v>2.93</v>
      </c>
      <c r="AH36" s="4">
        <v>409</v>
      </c>
    </row>
    <row r="37" spans="1:34" x14ac:dyDescent="0.2">
      <c r="A37" s="16">
        <v>4546</v>
      </c>
      <c r="B37" s="17">
        <f>VLOOKUP(A37,'[1]Nebris 11.27'!E:I,5,FALSE)</f>
        <v>570</v>
      </c>
      <c r="C37" s="4">
        <f>VLOOKUP(A37,'[1]Nebris 11.28.23'!$E:$I,5,FALSE)</f>
        <v>576</v>
      </c>
      <c r="D37" s="18">
        <f t="shared" si="1"/>
        <v>573</v>
      </c>
      <c r="E37" s="4">
        <v>1</v>
      </c>
      <c r="F37" s="4">
        <v>4</v>
      </c>
      <c r="G37" s="4">
        <v>0.51250615306643899</v>
      </c>
      <c r="H37" s="4">
        <v>210</v>
      </c>
      <c r="I37" s="4" t="str">
        <f>VLOOKUP(H37,$Q$2:$U$57,5,FALSE)</f>
        <v xml:space="preserve">10% MDGS Constant </v>
      </c>
      <c r="Q37" s="4">
        <v>410</v>
      </c>
      <c r="R37" s="4">
        <v>3</v>
      </c>
      <c r="S37" s="4">
        <v>8</v>
      </c>
      <c r="T37" s="4">
        <v>2.4862516121757272E-2</v>
      </c>
      <c r="U37" s="4" t="s">
        <v>26</v>
      </c>
      <c r="V37" s="5">
        <v>410</v>
      </c>
      <c r="W37" s="21">
        <f t="shared" si="0"/>
        <v>699.8</v>
      </c>
      <c r="X37" s="22">
        <f t="shared" si="7"/>
        <v>317.42928000000001</v>
      </c>
      <c r="Y37" s="23">
        <f>'[1]Final Performance'!AC37</f>
        <v>1369.3650793650795</v>
      </c>
      <c r="Z37" s="22">
        <f t="shared" si="3"/>
        <v>621.14400000000012</v>
      </c>
      <c r="AA37" s="24">
        <f>'[1]Final Performance'!AE37</f>
        <v>23.110230187377059</v>
      </c>
      <c r="AB37" s="25">
        <f t="shared" si="4"/>
        <v>10.482800412994234</v>
      </c>
      <c r="AC37" s="26">
        <v>3.6789290075004359</v>
      </c>
      <c r="AD37" s="27">
        <f t="shared" si="5"/>
        <v>1.6687621978021978</v>
      </c>
      <c r="AE37" s="28">
        <v>1.94</v>
      </c>
      <c r="AF37" s="4">
        <v>1.29</v>
      </c>
      <c r="AG37" s="29">
        <v>2.89</v>
      </c>
      <c r="AH37" s="4">
        <v>410</v>
      </c>
    </row>
    <row r="38" spans="1:34" x14ac:dyDescent="0.2">
      <c r="A38" s="16">
        <v>4716</v>
      </c>
      <c r="B38" s="17">
        <f>VLOOKUP(A38,'[1]Nebris 11.27'!E:I,5,FALSE)</f>
        <v>564</v>
      </c>
      <c r="C38" s="4">
        <f>VLOOKUP(A38,'[1]Nebris 11.28.23'!$E:$I,5,FALSE)</f>
        <v>552</v>
      </c>
      <c r="D38" s="18">
        <f t="shared" si="1"/>
        <v>558</v>
      </c>
      <c r="E38" s="4">
        <v>1</v>
      </c>
      <c r="F38" s="4">
        <v>4</v>
      </c>
      <c r="G38" s="4">
        <v>0.67462159473884209</v>
      </c>
      <c r="H38" s="4">
        <v>211</v>
      </c>
      <c r="I38" s="4" t="str">
        <f>VLOOKUP(H38,$Q$2:$U$57,5,FALSE)</f>
        <v>Control</v>
      </c>
      <c r="Q38" s="4">
        <v>411</v>
      </c>
      <c r="R38" s="4">
        <v>3</v>
      </c>
      <c r="S38" s="4">
        <v>8</v>
      </c>
      <c r="T38" s="4">
        <v>7.561584368398222E-2</v>
      </c>
      <c r="U38" s="4" t="s">
        <v>22</v>
      </c>
      <c r="V38" s="5">
        <v>411</v>
      </c>
      <c r="W38" s="21">
        <f t="shared" si="0"/>
        <v>697</v>
      </c>
      <c r="X38" s="22">
        <f t="shared" si="7"/>
        <v>316.1592</v>
      </c>
      <c r="Y38" s="23">
        <f>'[1]Final Performance'!AC38</f>
        <v>1390.4761904761904</v>
      </c>
      <c r="Z38" s="22">
        <f t="shared" si="3"/>
        <v>630.71999999999991</v>
      </c>
      <c r="AA38" s="24">
        <f>'[1]Final Performance'!AE38</f>
        <v>23.277453122155439</v>
      </c>
      <c r="AB38" s="25">
        <f t="shared" si="4"/>
        <v>10.558652736209707</v>
      </c>
      <c r="AC38" s="26">
        <v>3.7932147217861507</v>
      </c>
      <c r="AD38" s="27">
        <f t="shared" si="5"/>
        <v>1.7206021978021979</v>
      </c>
      <c r="AE38" s="28">
        <v>1.97</v>
      </c>
      <c r="AF38" s="4">
        <v>1.31</v>
      </c>
      <c r="AG38" s="29">
        <v>2.92</v>
      </c>
      <c r="AH38" s="4">
        <v>411</v>
      </c>
    </row>
    <row r="39" spans="1:34" x14ac:dyDescent="0.2">
      <c r="A39" s="16">
        <v>4653</v>
      </c>
      <c r="B39" s="17">
        <f>VLOOKUP(A39,'[1]Nebris 11.27'!E:I,5,FALSE)</f>
        <v>570</v>
      </c>
      <c r="C39" s="4">
        <f>VLOOKUP(A39,'[1]Nebris 11.28.23'!$E:$I,5,FALSE)</f>
        <v>564</v>
      </c>
      <c r="D39" s="18">
        <f t="shared" si="1"/>
        <v>567</v>
      </c>
      <c r="E39" s="4">
        <v>1</v>
      </c>
      <c r="F39" s="4">
        <v>4</v>
      </c>
      <c r="G39" s="4">
        <v>0.79874515132924773</v>
      </c>
      <c r="H39" s="4">
        <v>212</v>
      </c>
      <c r="I39" s="4" t="str">
        <f>VLOOKUP(H39,$Q$2:$U$57,5,FALSE)</f>
        <v>25% MDGS Variable</v>
      </c>
      <c r="Q39" s="4">
        <v>412</v>
      </c>
      <c r="R39" s="4">
        <v>3</v>
      </c>
      <c r="S39" s="4">
        <v>8</v>
      </c>
      <c r="T39" s="4">
        <v>0.25517038223413813</v>
      </c>
      <c r="U39" s="4" t="s">
        <v>21</v>
      </c>
      <c r="V39" s="5">
        <v>412</v>
      </c>
      <c r="W39" s="21">
        <f t="shared" si="0"/>
        <v>698.9</v>
      </c>
      <c r="X39" s="22">
        <f t="shared" si="7"/>
        <v>317.02103999999997</v>
      </c>
      <c r="Y39" s="23">
        <f>'[1]Final Performance'!AC39</f>
        <v>1324.0079365079364</v>
      </c>
      <c r="Z39" s="22">
        <f t="shared" si="3"/>
        <v>600.56999999999994</v>
      </c>
      <c r="AA39" s="24">
        <f>'[1]Final Performance'!AE39</f>
        <v>23.149248339458101</v>
      </c>
      <c r="AB39" s="25">
        <f t="shared" si="4"/>
        <v>10.500499046778195</v>
      </c>
      <c r="AC39" s="26">
        <v>3.4450985522414097</v>
      </c>
      <c r="AD39" s="27">
        <f t="shared" si="5"/>
        <v>1.5626967032967034</v>
      </c>
      <c r="AE39" s="28">
        <v>1.84</v>
      </c>
      <c r="AF39" s="4">
        <v>1.2</v>
      </c>
      <c r="AG39" s="29">
        <v>2.77</v>
      </c>
      <c r="AH39" s="4">
        <v>412</v>
      </c>
    </row>
    <row r="40" spans="1:34" x14ac:dyDescent="0.2">
      <c r="A40" s="16">
        <v>4772</v>
      </c>
      <c r="B40" s="17">
        <f>VLOOKUP(A40,'[1]Nebris 11.27'!E:I,5,FALSE)</f>
        <v>566</v>
      </c>
      <c r="C40" s="4">
        <f>VLOOKUP(A40,'[1]Nebris 11.28.23'!$E:$I,5,FALSE)</f>
        <v>570</v>
      </c>
      <c r="D40" s="18">
        <f t="shared" si="1"/>
        <v>568</v>
      </c>
      <c r="E40" s="4">
        <v>1</v>
      </c>
      <c r="F40" s="4">
        <v>4</v>
      </c>
      <c r="G40" s="4">
        <v>0.8350298103608399</v>
      </c>
      <c r="H40" s="4">
        <v>213</v>
      </c>
      <c r="I40" s="4" t="str">
        <f>VLOOKUP(H40,$Q$2:$U$57,5,FALSE)</f>
        <v>10% MDGS Variable</v>
      </c>
      <c r="Q40" s="4">
        <v>413</v>
      </c>
      <c r="R40" s="4">
        <v>3</v>
      </c>
      <c r="S40" s="4">
        <v>8</v>
      </c>
      <c r="T40" s="4">
        <v>0.43684469165953788</v>
      </c>
      <c r="U40" s="4" t="s">
        <v>25</v>
      </c>
      <c r="V40" s="5">
        <v>413</v>
      </c>
      <c r="W40" s="21">
        <f t="shared" si="0"/>
        <v>700.4</v>
      </c>
      <c r="X40" s="22">
        <f t="shared" si="7"/>
        <v>317.70143999999999</v>
      </c>
      <c r="Y40" s="23">
        <f>'[1]Final Performance'!AC40</f>
        <v>1382.1869488536156</v>
      </c>
      <c r="Z40" s="22">
        <f t="shared" si="3"/>
        <v>626.96</v>
      </c>
      <c r="AA40" s="24">
        <f>'[1]Final Performance'!AE40</f>
        <v>24.396522174486932</v>
      </c>
      <c r="AB40" s="25">
        <f t="shared" si="4"/>
        <v>11.066262458347273</v>
      </c>
      <c r="AC40" s="26">
        <v>3.774531465007656</v>
      </c>
      <c r="AD40" s="27">
        <f t="shared" si="5"/>
        <v>1.7121274725274729</v>
      </c>
      <c r="AE40" s="28">
        <v>1.88</v>
      </c>
      <c r="AF40" s="4">
        <v>1.24</v>
      </c>
      <c r="AG40" s="29">
        <v>2.82</v>
      </c>
      <c r="AH40" s="4">
        <v>413</v>
      </c>
    </row>
    <row r="41" spans="1:34" ht="16" thickBot="1" x14ac:dyDescent="0.25">
      <c r="A41" s="16">
        <v>4450</v>
      </c>
      <c r="B41" s="17">
        <f>VLOOKUP(A41,'[1]Nebris 11.27'!E:I,5,FALSE)</f>
        <v>570</v>
      </c>
      <c r="C41" s="4">
        <f>VLOOKUP(A41,'[1]Nebris 11.28.23'!$E:$I,5,FALSE)</f>
        <v>570</v>
      </c>
      <c r="D41" s="18">
        <f t="shared" si="1"/>
        <v>570</v>
      </c>
      <c r="E41" s="4">
        <v>1</v>
      </c>
      <c r="F41" s="4">
        <v>4</v>
      </c>
      <c r="G41" s="4">
        <v>0.98729661616078235</v>
      </c>
      <c r="H41" s="4">
        <v>214</v>
      </c>
      <c r="I41" s="4" t="str">
        <f>VLOOKUP(H41,$Q$2:$U$57,5,FALSE)</f>
        <v xml:space="preserve">25% MDGS Constant </v>
      </c>
      <c r="Q41" s="4">
        <v>414</v>
      </c>
      <c r="R41" s="4">
        <v>3</v>
      </c>
      <c r="S41" s="4">
        <v>8</v>
      </c>
      <c r="T41" s="4">
        <v>0.90298479862921954</v>
      </c>
      <c r="U41" s="4" t="s">
        <v>24</v>
      </c>
      <c r="V41" s="5">
        <v>414</v>
      </c>
      <c r="W41" s="32">
        <f t="shared" si="0"/>
        <v>695.2</v>
      </c>
      <c r="X41" s="33">
        <f t="shared" si="7"/>
        <v>315.34272000000004</v>
      </c>
      <c r="Y41" s="34">
        <f>'[1]Final Performance'!AC41</f>
        <v>1350.3174603174602</v>
      </c>
      <c r="Z41" s="33">
        <f t="shared" si="3"/>
        <v>612.50400000000002</v>
      </c>
      <c r="AA41" s="35">
        <f>'[1]Final Performance'!AE41</f>
        <v>24.652027832021869</v>
      </c>
      <c r="AB41" s="36">
        <f t="shared" si="4"/>
        <v>11.182159824605119</v>
      </c>
      <c r="AC41" s="37">
        <v>3.5995464852607713</v>
      </c>
      <c r="AD41" s="38">
        <f t="shared" si="5"/>
        <v>1.6327542857142858</v>
      </c>
      <c r="AE41" s="39">
        <v>1.8</v>
      </c>
      <c r="AF41" s="40">
        <v>1.17</v>
      </c>
      <c r="AG41" s="41">
        <v>2.72</v>
      </c>
      <c r="AH41" s="4">
        <v>414</v>
      </c>
    </row>
    <row r="42" spans="1:34" x14ac:dyDescent="0.2">
      <c r="A42" s="16">
        <v>4578</v>
      </c>
      <c r="B42" s="17">
        <f>VLOOKUP(A42,'[1]Nebris 11.27'!E:I,5,FALSE)</f>
        <v>572</v>
      </c>
      <c r="C42" s="4">
        <f>VLOOKUP(A42,'[1]Nebris 11.28.23'!$E:$I,5,FALSE)</f>
        <v>574</v>
      </c>
      <c r="D42" s="18">
        <f t="shared" si="1"/>
        <v>573</v>
      </c>
      <c r="E42" s="4">
        <v>1</v>
      </c>
      <c r="F42" s="4">
        <v>5</v>
      </c>
      <c r="G42" s="4">
        <v>0.24621198036239333</v>
      </c>
      <c r="H42" s="4">
        <v>205</v>
      </c>
      <c r="I42" s="4" t="str">
        <f>VLOOKUP(H42,$Q$2:$U$57,5,FALSE)</f>
        <v xml:space="preserve">10% MDGS Constant </v>
      </c>
      <c r="W42" s="122"/>
      <c r="X42" s="123"/>
      <c r="Y42" s="123"/>
      <c r="Z42" s="123"/>
      <c r="AA42" s="124"/>
      <c r="AB42" s="124"/>
      <c r="AC42" s="125"/>
      <c r="AD42" s="125"/>
      <c r="AE42" s="125"/>
      <c r="AF42" s="125"/>
      <c r="AG42" s="125"/>
    </row>
    <row r="43" spans="1:34" x14ac:dyDescent="0.2">
      <c r="A43" s="16">
        <v>4407</v>
      </c>
      <c r="B43" s="17">
        <f>VLOOKUP(A43,'[1]Nebris 11.27'!E:I,5,FALSE)</f>
        <v>572</v>
      </c>
      <c r="C43" s="4">
        <f>VLOOKUP(A43,'[1]Nebris 11.28.23'!$E:$I,5,FALSE)</f>
        <v>576</v>
      </c>
      <c r="D43" s="18">
        <f t="shared" si="1"/>
        <v>574</v>
      </c>
      <c r="E43" s="4">
        <v>1</v>
      </c>
      <c r="F43" s="4">
        <v>5</v>
      </c>
      <c r="G43" s="4">
        <v>0.29972764617908709</v>
      </c>
      <c r="H43" s="4">
        <v>206</v>
      </c>
      <c r="I43" s="4" t="str">
        <f>VLOOKUP(H43,$Q$2:$U$57,5,FALSE)</f>
        <v>10% MDGS Variable</v>
      </c>
      <c r="W43" s="122"/>
      <c r="X43" s="123"/>
      <c r="Y43" s="123"/>
      <c r="Z43" s="123"/>
      <c r="AA43" s="124"/>
      <c r="AB43" s="124"/>
      <c r="AC43" s="125"/>
      <c r="AD43" s="125"/>
      <c r="AE43" s="125"/>
      <c r="AF43" s="125"/>
      <c r="AG43" s="125"/>
    </row>
    <row r="44" spans="1:34" x14ac:dyDescent="0.2">
      <c r="A44" s="16">
        <v>4341</v>
      </c>
      <c r="B44" s="17">
        <f>VLOOKUP(A44,'[1]Nebris 11.27'!E:I,5,FALSE)</f>
        <v>574</v>
      </c>
      <c r="C44" s="4">
        <f>VLOOKUP(A44,'[1]Nebris 11.28.23'!$E:$I,5,FALSE)</f>
        <v>584</v>
      </c>
      <c r="D44" s="18">
        <f t="shared" si="1"/>
        <v>579</v>
      </c>
      <c r="E44" s="4">
        <v>1</v>
      </c>
      <c r="F44" s="4">
        <v>5</v>
      </c>
      <c r="G44" s="4">
        <v>0.36184803604407123</v>
      </c>
      <c r="H44" s="4">
        <v>207</v>
      </c>
      <c r="I44" s="4" t="str">
        <f>VLOOKUP(H44,$Q$2:$U$57,5,FALSE)</f>
        <v>Control</v>
      </c>
      <c r="W44" s="122"/>
      <c r="X44" s="123"/>
      <c r="Y44" s="123"/>
      <c r="Z44" s="123"/>
      <c r="AA44" s="124"/>
      <c r="AB44" s="124"/>
      <c r="AC44" s="125"/>
      <c r="AD44" s="125"/>
      <c r="AE44" s="125"/>
      <c r="AF44" s="125"/>
      <c r="AG44" s="125"/>
    </row>
    <row r="45" spans="1:34" x14ac:dyDescent="0.2">
      <c r="A45" s="16">
        <v>4503</v>
      </c>
      <c r="B45" s="17">
        <f>VLOOKUP(A45,'[1]Nebris 11.27'!E:I,5,FALSE)</f>
        <v>572</v>
      </c>
      <c r="C45" s="4">
        <f>VLOOKUP(A45,'[1]Nebris 11.28.23'!$E:$I,5,FALSE)</f>
        <v>578</v>
      </c>
      <c r="D45" s="18">
        <f t="shared" si="1"/>
        <v>575</v>
      </c>
      <c r="E45" s="4">
        <v>1</v>
      </c>
      <c r="F45" s="4">
        <v>5</v>
      </c>
      <c r="G45" s="4">
        <v>0.42907569363135722</v>
      </c>
      <c r="H45" s="4">
        <v>208</v>
      </c>
      <c r="I45" s="4" t="str">
        <f>VLOOKUP(H45,$Q$2:$U$57,5,FALSE)</f>
        <v>25% MDGS Variable</v>
      </c>
      <c r="W45" s="122"/>
      <c r="X45" s="123"/>
      <c r="Y45" s="123"/>
      <c r="Z45" s="123"/>
      <c r="AA45" s="124"/>
      <c r="AB45" s="124"/>
      <c r="AC45" s="125"/>
      <c r="AD45" s="125"/>
      <c r="AE45" s="125"/>
      <c r="AF45" s="125"/>
      <c r="AG45" s="125"/>
    </row>
    <row r="46" spans="1:34" x14ac:dyDescent="0.2">
      <c r="A46" s="16">
        <v>4518</v>
      </c>
      <c r="B46" s="17">
        <f>VLOOKUP(A46,'[1]Nebris 11.27'!E:I,5,FALSE)</f>
        <v>572</v>
      </c>
      <c r="C46" s="4">
        <f>VLOOKUP(A46,'[1]Nebris 11.28.23'!$E:$I,5,FALSE)</f>
        <v>566</v>
      </c>
      <c r="D46" s="18">
        <f t="shared" si="1"/>
        <v>569</v>
      </c>
      <c r="E46" s="4">
        <v>1</v>
      </c>
      <c r="F46" s="4">
        <v>5</v>
      </c>
      <c r="G46" s="4">
        <v>0.46217392037877381</v>
      </c>
      <c r="H46" s="4">
        <v>209</v>
      </c>
      <c r="I46" s="4" t="str">
        <f>VLOOKUP(H46,$Q$2:$U$57,5,FALSE)</f>
        <v xml:space="preserve">25% MDGS Constant </v>
      </c>
      <c r="W46" s="122"/>
      <c r="X46" s="123"/>
      <c r="Y46" s="123"/>
      <c r="Z46" s="123"/>
      <c r="AA46" s="124"/>
      <c r="AB46" s="124"/>
      <c r="AC46" s="125"/>
      <c r="AD46" s="125"/>
      <c r="AE46" s="125"/>
      <c r="AF46" s="125"/>
      <c r="AG46" s="125"/>
    </row>
    <row r="47" spans="1:34" x14ac:dyDescent="0.2">
      <c r="A47" s="16">
        <v>4613</v>
      </c>
      <c r="B47" s="17">
        <f>VLOOKUP(A47,'[1]Nebris 11.27'!E:I,5,FALSE)</f>
        <v>571</v>
      </c>
      <c r="C47" s="4">
        <f>VLOOKUP(A47,'[1]Nebris 11.28.23'!$E:$I,5,FALSE)</f>
        <v>580</v>
      </c>
      <c r="D47" s="18">
        <f t="shared" si="1"/>
        <v>575.5</v>
      </c>
      <c r="E47" s="4">
        <v>1</v>
      </c>
      <c r="F47" s="4">
        <v>5</v>
      </c>
      <c r="G47" s="4">
        <v>0.51552156583729314</v>
      </c>
      <c r="H47" s="4">
        <v>210</v>
      </c>
      <c r="I47" s="4" t="str">
        <f>VLOOKUP(H47,$Q$2:$U$57,5,FALSE)</f>
        <v xml:space="preserve">10% MDGS Constant </v>
      </c>
      <c r="W47" s="122"/>
      <c r="X47" s="123"/>
      <c r="Y47" s="123"/>
      <c r="Z47" s="123"/>
      <c r="AA47" s="124"/>
      <c r="AB47" s="124"/>
      <c r="AC47" s="125"/>
      <c r="AD47" s="125"/>
      <c r="AE47" s="125"/>
      <c r="AF47" s="125"/>
      <c r="AG47" s="125"/>
    </row>
    <row r="48" spans="1:34" x14ac:dyDescent="0.2">
      <c r="A48" s="16">
        <v>4316</v>
      </c>
      <c r="B48" s="17">
        <f>VLOOKUP(A48,'[1]Nebris 11.27'!E:I,5,FALSE)</f>
        <v>572</v>
      </c>
      <c r="C48" s="4">
        <f>VLOOKUP(A48,'[1]Nebris 11.28.23'!$E:$I,5,FALSE)</f>
        <v>578</v>
      </c>
      <c r="D48" s="18">
        <f t="shared" si="1"/>
        <v>575</v>
      </c>
      <c r="E48" s="4">
        <v>1</v>
      </c>
      <c r="F48" s="4">
        <v>5</v>
      </c>
      <c r="G48" s="4">
        <v>0.82525413565745842</v>
      </c>
      <c r="H48" s="4">
        <v>211</v>
      </c>
      <c r="I48" s="4" t="str">
        <f>VLOOKUP(H48,$Q$2:$U$57,5,FALSE)</f>
        <v>Control</v>
      </c>
      <c r="W48" s="122"/>
      <c r="X48" s="123"/>
      <c r="Y48" s="123"/>
      <c r="Z48" s="123"/>
      <c r="AA48" s="124"/>
      <c r="AB48" s="124"/>
      <c r="AC48" s="125"/>
      <c r="AD48" s="125"/>
      <c r="AE48" s="125"/>
      <c r="AF48" s="125"/>
      <c r="AG48" s="125"/>
    </row>
    <row r="49" spans="1:33" x14ac:dyDescent="0.2">
      <c r="A49" s="16">
        <v>4468</v>
      </c>
      <c r="B49" s="17">
        <f>VLOOKUP(A49,'[1]Nebris 11.27'!E:I,5,FALSE)</f>
        <v>572</v>
      </c>
      <c r="C49" s="4">
        <f>VLOOKUP(A49,'[1]Nebris 11.28.23'!$E:$I,5,FALSE)</f>
        <v>572</v>
      </c>
      <c r="D49" s="18">
        <f t="shared" si="1"/>
        <v>572</v>
      </c>
      <c r="E49" s="4">
        <v>1</v>
      </c>
      <c r="F49" s="4">
        <v>5</v>
      </c>
      <c r="G49" s="4">
        <v>0.84882638745237027</v>
      </c>
      <c r="H49" s="4">
        <v>212</v>
      </c>
      <c r="I49" s="4" t="str">
        <f>VLOOKUP(H49,$Q$2:$U$57,5,FALSE)</f>
        <v>25% MDGS Variable</v>
      </c>
      <c r="W49" s="122"/>
      <c r="X49" s="123"/>
      <c r="Y49" s="123"/>
      <c r="Z49" s="123"/>
      <c r="AA49" s="124"/>
      <c r="AB49" s="124"/>
      <c r="AC49" s="125"/>
      <c r="AD49" s="125"/>
      <c r="AE49" s="125"/>
      <c r="AF49" s="125"/>
      <c r="AG49" s="125"/>
    </row>
    <row r="50" spans="1:33" x14ac:dyDescent="0.2">
      <c r="A50" s="16">
        <v>4399</v>
      </c>
      <c r="B50" s="17">
        <f>VLOOKUP(A50,'[1]Nebris 11.27'!E:I,5,FALSE)</f>
        <v>572</v>
      </c>
      <c r="C50" s="4">
        <f>VLOOKUP(A50,'[1]Nebris 11.28.23'!$E:$I,5,FALSE)</f>
        <v>572</v>
      </c>
      <c r="D50" s="18">
        <f t="shared" si="1"/>
        <v>572</v>
      </c>
      <c r="E50" s="4">
        <v>1</v>
      </c>
      <c r="F50" s="4">
        <v>5</v>
      </c>
      <c r="G50" s="4">
        <v>0.90711589249539848</v>
      </c>
      <c r="H50" s="4">
        <v>213</v>
      </c>
      <c r="I50" s="4" t="str">
        <f>VLOOKUP(H50,$Q$2:$U$57,5,FALSE)</f>
        <v>10% MDGS Variable</v>
      </c>
      <c r="W50" s="122"/>
      <c r="X50" s="123"/>
      <c r="Y50" s="123"/>
      <c r="Z50" s="123"/>
      <c r="AA50" s="124"/>
      <c r="AB50" s="124"/>
      <c r="AC50" s="125"/>
      <c r="AD50" s="125"/>
      <c r="AE50" s="125"/>
      <c r="AF50" s="125"/>
      <c r="AG50" s="125"/>
    </row>
    <row r="51" spans="1:33" x14ac:dyDescent="0.2">
      <c r="A51" s="16">
        <v>4721</v>
      </c>
      <c r="B51" s="17">
        <f>VLOOKUP(A51,'[1]Nebris 11.27'!E:I,5,FALSE)</f>
        <v>570</v>
      </c>
      <c r="C51" s="4">
        <f>VLOOKUP(A51,'[1]Nebris 11.28.23'!$E:$I,5,FALSE)</f>
        <v>572</v>
      </c>
      <c r="D51" s="18">
        <f t="shared" si="1"/>
        <v>571</v>
      </c>
      <c r="E51" s="4">
        <v>1</v>
      </c>
      <c r="F51" s="4">
        <v>5</v>
      </c>
      <c r="G51" s="4">
        <v>0.91456339921461605</v>
      </c>
      <c r="H51" s="4">
        <v>214</v>
      </c>
      <c r="I51" s="4" t="str">
        <f>VLOOKUP(H51,$Q$2:$U$57,5,FALSE)</f>
        <v xml:space="preserve">25% MDGS Constant </v>
      </c>
      <c r="W51" s="122"/>
      <c r="X51" s="123"/>
      <c r="Y51" s="123"/>
      <c r="Z51" s="123"/>
      <c r="AA51" s="124"/>
      <c r="AB51" s="124"/>
      <c r="AC51" s="125"/>
      <c r="AD51" s="125"/>
      <c r="AE51" s="125"/>
      <c r="AF51" s="125"/>
      <c r="AG51" s="125"/>
    </row>
    <row r="52" spans="1:33" x14ac:dyDescent="0.2">
      <c r="A52" s="16">
        <v>4348</v>
      </c>
      <c r="B52" s="17">
        <f>VLOOKUP(A52,'[1]Nebris 11.27'!E:I,5,FALSE)</f>
        <v>576</v>
      </c>
      <c r="C52" s="4">
        <f>VLOOKUP(A52,'[1]Nebris 11.28.23'!$E:$I,5,FALSE)</f>
        <v>564</v>
      </c>
      <c r="D52" s="18">
        <f t="shared" si="1"/>
        <v>570</v>
      </c>
      <c r="E52" s="4">
        <v>1</v>
      </c>
      <c r="F52" s="4">
        <v>6</v>
      </c>
      <c r="G52" s="4">
        <v>5.9768611532593274E-2</v>
      </c>
      <c r="H52" s="4">
        <v>205</v>
      </c>
      <c r="I52" s="4" t="str">
        <f>VLOOKUP(H52,$Q$2:$U$57,5,FALSE)</f>
        <v xml:space="preserve">10% MDGS Constant </v>
      </c>
      <c r="W52" s="122"/>
      <c r="X52" s="123"/>
      <c r="Y52" s="123"/>
      <c r="Z52" s="123"/>
      <c r="AA52" s="124"/>
      <c r="AB52" s="124"/>
      <c r="AC52" s="125"/>
      <c r="AD52" s="125"/>
      <c r="AE52" s="125"/>
      <c r="AF52" s="125"/>
      <c r="AG52" s="125"/>
    </row>
    <row r="53" spans="1:33" x14ac:dyDescent="0.2">
      <c r="A53" s="16">
        <v>4424</v>
      </c>
      <c r="B53" s="17">
        <f>VLOOKUP(A53,'[1]Nebris 11.27'!E:I,5,FALSE)</f>
        <v>576</v>
      </c>
      <c r="C53" s="4">
        <f>VLOOKUP(A53,'[1]Nebris 11.28.23'!$E:$I,5,FALSE)</f>
        <v>582</v>
      </c>
      <c r="D53" s="18">
        <f t="shared" si="1"/>
        <v>579</v>
      </c>
      <c r="E53" s="4">
        <v>1</v>
      </c>
      <c r="F53" s="4">
        <v>6</v>
      </c>
      <c r="G53" s="4">
        <v>0.2294401916930815</v>
      </c>
      <c r="H53" s="4">
        <v>206</v>
      </c>
      <c r="I53" s="4" t="str">
        <f>VLOOKUP(H53,$Q$2:$U$57,5,FALSE)</f>
        <v>10% MDGS Variable</v>
      </c>
      <c r="W53" s="122"/>
      <c r="X53" s="123"/>
      <c r="Y53" s="123"/>
      <c r="Z53" s="123"/>
      <c r="AA53" s="124"/>
      <c r="AB53" s="124"/>
      <c r="AC53" s="125"/>
      <c r="AD53" s="125"/>
      <c r="AE53" s="125"/>
      <c r="AF53" s="125"/>
      <c r="AG53" s="125"/>
    </row>
    <row r="54" spans="1:33" x14ac:dyDescent="0.2">
      <c r="A54" s="16">
        <v>4695</v>
      </c>
      <c r="B54" s="17">
        <f>VLOOKUP(A54,'[1]Nebris 11.27'!E:I,5,FALSE)</f>
        <v>576</v>
      </c>
      <c r="C54" s="4">
        <f>VLOOKUP(A54,'[1]Nebris 11.28.23'!$E:$I,5,FALSE)</f>
        <v>590</v>
      </c>
      <c r="D54" s="18">
        <f t="shared" si="1"/>
        <v>583</v>
      </c>
      <c r="E54" s="4">
        <v>1</v>
      </c>
      <c r="F54" s="4">
        <v>6</v>
      </c>
      <c r="G54" s="4">
        <v>0.22951120387005997</v>
      </c>
      <c r="H54" s="4">
        <v>207</v>
      </c>
      <c r="I54" s="4" t="str">
        <f>VLOOKUP(H54,$Q$2:$U$57,5,FALSE)</f>
        <v>Control</v>
      </c>
      <c r="W54" s="122"/>
      <c r="X54" s="123"/>
      <c r="Y54" s="123"/>
      <c r="Z54" s="123"/>
      <c r="AA54" s="124"/>
      <c r="AB54" s="124"/>
      <c r="AC54" s="125"/>
      <c r="AD54" s="125"/>
      <c r="AE54" s="125"/>
      <c r="AF54" s="125"/>
      <c r="AG54" s="125"/>
    </row>
    <row r="55" spans="1:33" x14ac:dyDescent="0.2">
      <c r="A55" s="16">
        <v>4463</v>
      </c>
      <c r="B55" s="17">
        <f>VLOOKUP(A55,'[1]Nebris 11.27'!E:I,5,FALSE)</f>
        <v>576</v>
      </c>
      <c r="C55" s="4">
        <f>VLOOKUP(A55,'[1]Nebris 11.28.23'!$E:$I,5,FALSE)</f>
        <v>588</v>
      </c>
      <c r="D55" s="18">
        <f t="shared" si="1"/>
        <v>582</v>
      </c>
      <c r="E55" s="4">
        <v>1</v>
      </c>
      <c r="F55" s="4">
        <v>6</v>
      </c>
      <c r="G55" s="4">
        <v>0.44961001487625618</v>
      </c>
      <c r="H55" s="4">
        <v>208</v>
      </c>
      <c r="I55" s="4" t="str">
        <f>VLOOKUP(H55,$Q$2:$U$57,5,FALSE)</f>
        <v>25% MDGS Variable</v>
      </c>
      <c r="W55" s="122"/>
      <c r="X55" s="123"/>
      <c r="Y55" s="123"/>
      <c r="Z55" s="123"/>
      <c r="AA55" s="124"/>
      <c r="AB55" s="124"/>
      <c r="AC55" s="125"/>
      <c r="AD55" s="125"/>
      <c r="AE55" s="125"/>
      <c r="AF55" s="125"/>
      <c r="AG55" s="125"/>
    </row>
    <row r="56" spans="1:33" x14ac:dyDescent="0.2">
      <c r="A56" s="16">
        <v>4599</v>
      </c>
      <c r="B56" s="17">
        <f>VLOOKUP(A56,'[1]Nebris 11.27'!E:I,5,FALSE)</f>
        <v>576</v>
      </c>
      <c r="C56" s="4">
        <f>VLOOKUP(A56,'[1]Nebris 11.28.23'!$E:$I,5,FALSE)</f>
        <v>556</v>
      </c>
      <c r="D56" s="18">
        <f t="shared" si="1"/>
        <v>566</v>
      </c>
      <c r="E56" s="4">
        <v>1</v>
      </c>
      <c r="F56" s="4">
        <v>6</v>
      </c>
      <c r="G56" s="4">
        <v>0.45743916430460352</v>
      </c>
      <c r="H56" s="4">
        <v>209</v>
      </c>
      <c r="I56" s="4" t="str">
        <f>VLOOKUP(H56,$Q$2:$U$57,5,FALSE)</f>
        <v xml:space="preserve">25% MDGS Constant </v>
      </c>
      <c r="W56" s="122"/>
      <c r="X56" s="123"/>
      <c r="Y56" s="123"/>
      <c r="Z56" s="123"/>
      <c r="AA56" s="124"/>
      <c r="AB56" s="124"/>
      <c r="AC56" s="125"/>
      <c r="AD56" s="125"/>
      <c r="AE56" s="125"/>
      <c r="AF56" s="125"/>
      <c r="AG56" s="125"/>
    </row>
    <row r="57" spans="1:33" x14ac:dyDescent="0.2">
      <c r="A57" s="16">
        <v>4387</v>
      </c>
      <c r="B57" s="17">
        <f>VLOOKUP(A57,'[1]Nebris 11.27'!E:I,5,FALSE)</f>
        <v>574</v>
      </c>
      <c r="C57" s="4">
        <f>VLOOKUP(A57,'[1]Nebris 11.28.23'!$E:$I,5,FALSE)</f>
        <v>556</v>
      </c>
      <c r="D57" s="18">
        <f t="shared" si="1"/>
        <v>565</v>
      </c>
      <c r="E57" s="4">
        <v>1</v>
      </c>
      <c r="F57" s="4">
        <v>6</v>
      </c>
      <c r="G57" s="4">
        <v>0.49069188673463482</v>
      </c>
      <c r="H57" s="4">
        <v>210</v>
      </c>
      <c r="I57" s="4" t="str">
        <f>VLOOKUP(H57,$Q$2:$U$57,5,FALSE)</f>
        <v xml:space="preserve">10% MDGS Constant </v>
      </c>
      <c r="W57" s="122"/>
      <c r="X57" s="123"/>
      <c r="Y57" s="123"/>
      <c r="Z57" s="123"/>
      <c r="AA57" s="124"/>
      <c r="AB57" s="124"/>
      <c r="AC57" s="125"/>
      <c r="AD57" s="125"/>
      <c r="AE57" s="125"/>
      <c r="AF57" s="125"/>
      <c r="AG57" s="125"/>
    </row>
    <row r="58" spans="1:33" x14ac:dyDescent="0.2">
      <c r="A58" s="16">
        <v>4383</v>
      </c>
      <c r="B58" s="17">
        <f>VLOOKUP(A58,'[1]Nebris 11.27'!E:I,5,FALSE)</f>
        <v>574</v>
      </c>
      <c r="C58" s="4">
        <f>VLOOKUP(A58,'[1]Nebris 11.28.23'!$E:$I,5,FALSE)</f>
        <v>570</v>
      </c>
      <c r="D58" s="18">
        <f t="shared" si="1"/>
        <v>572</v>
      </c>
      <c r="E58" s="4">
        <v>1</v>
      </c>
      <c r="F58" s="4">
        <v>6</v>
      </c>
      <c r="G58" s="4">
        <v>0.69575627583770738</v>
      </c>
      <c r="H58" s="4">
        <v>211</v>
      </c>
      <c r="I58" s="4" t="str">
        <f>VLOOKUP(H58,$Q$2:$U$57,5,FALSE)</f>
        <v>Control</v>
      </c>
      <c r="W58" s="122"/>
      <c r="X58" s="123"/>
      <c r="Y58" s="123"/>
      <c r="Z58" s="123"/>
      <c r="AA58" s="124"/>
      <c r="AB58" s="124"/>
      <c r="AC58" s="125"/>
      <c r="AD58" s="125"/>
      <c r="AE58" s="125"/>
      <c r="AF58" s="125"/>
      <c r="AG58" s="125"/>
    </row>
    <row r="59" spans="1:33" x14ac:dyDescent="0.2">
      <c r="A59" s="16">
        <v>4498</v>
      </c>
      <c r="B59" s="17">
        <f>VLOOKUP(A59,'[1]Nebris 11.27'!E:I,5,FALSE)</f>
        <v>574</v>
      </c>
      <c r="C59" s="4">
        <f>VLOOKUP(A59,'[1]Nebris 11.28.23'!$E:$I,5,FALSE)</f>
        <v>576</v>
      </c>
      <c r="D59" s="18">
        <f t="shared" si="1"/>
        <v>575</v>
      </c>
      <c r="E59" s="4">
        <v>1</v>
      </c>
      <c r="F59" s="4">
        <v>6</v>
      </c>
      <c r="G59" s="4">
        <v>0.78082891780537</v>
      </c>
      <c r="H59" s="4">
        <v>212</v>
      </c>
      <c r="I59" s="4" t="str">
        <f>VLOOKUP(H59,$Q$2:$U$57,5,FALSE)</f>
        <v>25% MDGS Variable</v>
      </c>
      <c r="W59" s="122"/>
      <c r="X59" s="123"/>
      <c r="Y59" s="123"/>
      <c r="Z59" s="123"/>
      <c r="AA59" s="124"/>
      <c r="AB59" s="124"/>
      <c r="AC59" s="125"/>
      <c r="AD59" s="125"/>
      <c r="AE59" s="125"/>
      <c r="AF59" s="125"/>
      <c r="AG59" s="125"/>
    </row>
    <row r="60" spans="1:33" x14ac:dyDescent="0.2">
      <c r="A60" s="16">
        <v>4565</v>
      </c>
      <c r="B60" s="17">
        <f>VLOOKUP(A60,'[1]Nebris 11.27'!E:I,5,FALSE)</f>
        <v>576</v>
      </c>
      <c r="C60" s="4">
        <f>VLOOKUP(A60,'[1]Nebris 11.28.23'!$E:$I,5,FALSE)</f>
        <v>572</v>
      </c>
      <c r="D60" s="18">
        <f t="shared" si="1"/>
        <v>574</v>
      </c>
      <c r="E60" s="4">
        <v>1</v>
      </c>
      <c r="F60" s="4">
        <v>6</v>
      </c>
      <c r="G60" s="4">
        <v>0.8931107154949891</v>
      </c>
      <c r="H60" s="4">
        <v>213</v>
      </c>
      <c r="I60" s="4" t="str">
        <f>VLOOKUP(H60,$Q$2:$U$57,5,FALSE)</f>
        <v>10% MDGS Variable</v>
      </c>
      <c r="W60" s="122"/>
      <c r="X60" s="123"/>
      <c r="Y60" s="123"/>
      <c r="Z60" s="123"/>
      <c r="AA60" s="124"/>
      <c r="AB60" s="124"/>
      <c r="AC60" s="125"/>
      <c r="AD60" s="125"/>
      <c r="AE60" s="125"/>
      <c r="AF60" s="125"/>
      <c r="AG60" s="125"/>
    </row>
    <row r="61" spans="1:33" x14ac:dyDescent="0.2">
      <c r="A61" s="16">
        <v>4583</v>
      </c>
      <c r="B61" s="17">
        <f>VLOOKUP(A61,'[1]Nebris 11.27'!E:I,5,FALSE)</f>
        <v>576</v>
      </c>
      <c r="C61" s="4">
        <f>VLOOKUP(A61,'[1]Nebris 11.28.23'!$E:$I,5,FALSE)</f>
        <v>576</v>
      </c>
      <c r="D61" s="18">
        <f t="shared" si="1"/>
        <v>576</v>
      </c>
      <c r="E61" s="4">
        <v>1</v>
      </c>
      <c r="F61" s="4">
        <v>6</v>
      </c>
      <c r="G61" s="4">
        <v>0.90405637649809811</v>
      </c>
      <c r="H61" s="4">
        <v>214</v>
      </c>
      <c r="I61" s="4" t="str">
        <f>VLOOKUP(H61,$Q$2:$U$57,5,FALSE)</f>
        <v xml:space="preserve">25% MDGS Constant </v>
      </c>
      <c r="W61" s="122"/>
      <c r="X61" s="123"/>
      <c r="Y61" s="123"/>
      <c r="Z61" s="123"/>
      <c r="AA61" s="124"/>
      <c r="AB61" s="124"/>
      <c r="AC61" s="125"/>
      <c r="AD61" s="125"/>
      <c r="AE61" s="125"/>
      <c r="AF61" s="125"/>
      <c r="AG61" s="125"/>
    </row>
    <row r="62" spans="1:33" x14ac:dyDescent="0.2">
      <c r="A62" s="16">
        <v>4395</v>
      </c>
      <c r="B62" s="17">
        <f>VLOOKUP(A62,'[1]Nebris 11.27'!E:I,5,FALSE)</f>
        <v>580</v>
      </c>
      <c r="C62" s="4">
        <f>VLOOKUP(A62,'[1]Nebris 11.28.23'!$E:$I,5,FALSE)</f>
        <v>570</v>
      </c>
      <c r="D62" s="18">
        <f t="shared" si="1"/>
        <v>575</v>
      </c>
      <c r="E62" s="4">
        <v>1</v>
      </c>
      <c r="F62" s="4">
        <v>7</v>
      </c>
      <c r="G62" s="4">
        <v>0.1725702337687729</v>
      </c>
      <c r="H62" s="4">
        <v>205</v>
      </c>
      <c r="I62" s="4" t="str">
        <f>VLOOKUP(H62,$Q$2:$U$57,5,FALSE)</f>
        <v xml:space="preserve">10% MDGS Constant </v>
      </c>
      <c r="W62" s="122"/>
      <c r="X62" s="123"/>
      <c r="Y62" s="123"/>
      <c r="Z62" s="123"/>
      <c r="AA62" s="124"/>
      <c r="AB62" s="124"/>
      <c r="AC62" s="125"/>
      <c r="AD62" s="125"/>
      <c r="AE62" s="125"/>
      <c r="AF62" s="125"/>
      <c r="AG62" s="125"/>
    </row>
    <row r="63" spans="1:33" x14ac:dyDescent="0.2">
      <c r="A63" s="16">
        <v>4535</v>
      </c>
      <c r="B63" s="17">
        <f>VLOOKUP(A63,'[1]Nebris 11.27'!E:I,5,FALSE)</f>
        <v>580</v>
      </c>
      <c r="C63" s="4">
        <f>VLOOKUP(A63,'[1]Nebris 11.28.23'!$E:$I,5,FALSE)</f>
        <v>594</v>
      </c>
      <c r="D63" s="18">
        <f t="shared" si="1"/>
        <v>587</v>
      </c>
      <c r="E63" s="4">
        <v>1</v>
      </c>
      <c r="F63" s="4">
        <v>7</v>
      </c>
      <c r="G63" s="4">
        <v>0.1891056666169989</v>
      </c>
      <c r="H63" s="4">
        <v>206</v>
      </c>
      <c r="I63" s="4" t="str">
        <f>VLOOKUP(H63,$Q$2:$U$57,5,FALSE)</f>
        <v>10% MDGS Variable</v>
      </c>
      <c r="W63" s="122"/>
      <c r="X63" s="123"/>
      <c r="Y63" s="123"/>
      <c r="Z63" s="123"/>
      <c r="AA63" s="124"/>
      <c r="AB63" s="124"/>
      <c r="AC63" s="125"/>
      <c r="AD63" s="125"/>
      <c r="AE63" s="125"/>
      <c r="AF63" s="125"/>
      <c r="AG63" s="125"/>
    </row>
    <row r="64" spans="1:33" x14ac:dyDescent="0.2">
      <c r="A64" s="16">
        <v>4549</v>
      </c>
      <c r="B64" s="17">
        <f>VLOOKUP(A64,'[1]Nebris 11.27'!E:I,5,FALSE)</f>
        <v>580</v>
      </c>
      <c r="C64" s="4">
        <f>VLOOKUP(A64,'[1]Nebris 11.28.23'!$E:$I,5,FALSE)</f>
        <v>580</v>
      </c>
      <c r="D64" s="18">
        <f t="shared" si="1"/>
        <v>580</v>
      </c>
      <c r="E64" s="4">
        <v>1</v>
      </c>
      <c r="F64" s="4">
        <v>7</v>
      </c>
      <c r="G64" s="4">
        <v>0.22049185081094957</v>
      </c>
      <c r="H64" s="4">
        <v>207</v>
      </c>
      <c r="I64" s="4" t="str">
        <f>VLOOKUP(H64,$Q$2:$U$57,5,FALSE)</f>
        <v>Control</v>
      </c>
      <c r="W64" s="122"/>
      <c r="X64" s="123"/>
      <c r="Y64" s="123"/>
      <c r="Z64" s="123"/>
      <c r="AA64" s="124"/>
      <c r="AB64" s="124"/>
      <c r="AC64" s="125"/>
      <c r="AD64" s="125"/>
      <c r="AE64" s="125"/>
      <c r="AF64" s="125"/>
      <c r="AG64" s="125"/>
    </row>
    <row r="65" spans="1:33" x14ac:dyDescent="0.2">
      <c r="A65" s="16">
        <v>4736</v>
      </c>
      <c r="B65" s="17">
        <f>VLOOKUP(A65,'[1]Nebris 11.27'!E:I,5,FALSE)</f>
        <v>580</v>
      </c>
      <c r="C65" s="4">
        <f>VLOOKUP(A65,'[1]Nebris 11.28.23'!$E:$I,5,FALSE)</f>
        <v>582</v>
      </c>
      <c r="D65" s="18">
        <f t="shared" si="1"/>
        <v>581</v>
      </c>
      <c r="E65" s="4">
        <v>1</v>
      </c>
      <c r="F65" s="4">
        <v>7</v>
      </c>
      <c r="G65" s="4">
        <v>0.48308647530405702</v>
      </c>
      <c r="H65" s="4">
        <v>208</v>
      </c>
      <c r="I65" s="4" t="str">
        <f>VLOOKUP(H65,$Q$2:$U$57,5,FALSE)</f>
        <v>25% MDGS Variable</v>
      </c>
      <c r="W65" s="122"/>
      <c r="X65" s="123"/>
      <c r="Y65" s="123"/>
      <c r="Z65" s="123"/>
      <c r="AA65" s="124"/>
      <c r="AB65" s="124"/>
      <c r="AC65" s="125"/>
      <c r="AD65" s="125"/>
      <c r="AE65" s="125"/>
      <c r="AF65" s="125"/>
      <c r="AG65" s="125"/>
    </row>
    <row r="66" spans="1:33" x14ac:dyDescent="0.2">
      <c r="A66" s="16">
        <v>4415</v>
      </c>
      <c r="B66" s="17">
        <f>VLOOKUP(A66,'[1]Nebris 11.27'!E:I,5,FALSE)</f>
        <v>578</v>
      </c>
      <c r="C66" s="4">
        <f>VLOOKUP(A66,'[1]Nebris 11.28.23'!$E:$I,5,FALSE)</f>
        <v>586</v>
      </c>
      <c r="D66" s="18">
        <f t="shared" si="1"/>
        <v>582</v>
      </c>
      <c r="E66" s="4">
        <v>1</v>
      </c>
      <c r="F66" s="4">
        <v>7</v>
      </c>
      <c r="G66" s="4">
        <v>0.48771191841099248</v>
      </c>
      <c r="H66" s="4">
        <v>209</v>
      </c>
      <c r="I66" s="4" t="str">
        <f>VLOOKUP(H66,$Q$2:$U$57,5,FALSE)</f>
        <v xml:space="preserve">25% MDGS Constant </v>
      </c>
      <c r="W66" s="122"/>
      <c r="X66" s="123"/>
      <c r="Y66" s="123"/>
      <c r="Z66" s="123"/>
      <c r="AA66" s="124"/>
      <c r="AB66" s="124"/>
      <c r="AC66" s="125"/>
      <c r="AD66" s="125"/>
      <c r="AE66" s="125"/>
      <c r="AF66" s="125"/>
      <c r="AG66" s="125"/>
    </row>
    <row r="67" spans="1:33" x14ac:dyDescent="0.2">
      <c r="A67" s="16">
        <v>4339</v>
      </c>
      <c r="B67" s="17">
        <f>VLOOKUP(A67,'[1]Nebris 11.27'!E:I,5,FALSE)</f>
        <v>578</v>
      </c>
      <c r="C67" s="4">
        <f>VLOOKUP(A67,'[1]Nebris 11.28.23'!$E:$I,5,FALSE)</f>
        <v>586</v>
      </c>
      <c r="D67" s="18">
        <f t="shared" ref="D67:D130" si="10">AVERAGE(B67:C67)</f>
        <v>582</v>
      </c>
      <c r="E67" s="4">
        <v>1</v>
      </c>
      <c r="F67" s="4">
        <v>7</v>
      </c>
      <c r="G67" s="4">
        <v>0.70057535847945385</v>
      </c>
      <c r="H67" s="4">
        <v>210</v>
      </c>
      <c r="I67" s="4" t="str">
        <f t="shared" ref="I67:I130" si="11">VLOOKUP(H67,$Q$2:$U$57,5,FALSE)</f>
        <v xml:space="preserve">10% MDGS Constant </v>
      </c>
      <c r="W67" s="122"/>
      <c r="X67" s="123"/>
      <c r="Y67" s="123"/>
      <c r="Z67" s="123"/>
      <c r="AA67" s="124"/>
      <c r="AB67" s="124"/>
      <c r="AC67" s="125"/>
      <c r="AD67" s="125"/>
      <c r="AE67" s="125"/>
      <c r="AF67" s="125"/>
      <c r="AG67" s="125"/>
    </row>
    <row r="68" spans="1:33" x14ac:dyDescent="0.2">
      <c r="A68" s="16">
        <v>4660</v>
      </c>
      <c r="B68" s="17">
        <f>VLOOKUP(A68,'[1]Nebris 11.27'!E:I,5,FALSE)</f>
        <v>580</v>
      </c>
      <c r="C68" s="4">
        <f>VLOOKUP(A68,'[1]Nebris 11.28.23'!$E:$I,5,FALSE)</f>
        <v>582</v>
      </c>
      <c r="D68" s="18">
        <f t="shared" si="10"/>
        <v>581</v>
      </c>
      <c r="E68" s="4">
        <v>1</v>
      </c>
      <c r="F68" s="4">
        <v>7</v>
      </c>
      <c r="G68" s="4">
        <v>0.70137742355125454</v>
      </c>
      <c r="H68" s="4">
        <v>211</v>
      </c>
      <c r="I68" s="4" t="str">
        <f t="shared" si="11"/>
        <v>Control</v>
      </c>
      <c r="W68" s="122"/>
      <c r="X68" s="123"/>
      <c r="Y68" s="123"/>
      <c r="Z68" s="123"/>
      <c r="AA68" s="124"/>
      <c r="AB68" s="124"/>
      <c r="AC68" s="125"/>
      <c r="AD68" s="125"/>
      <c r="AE68" s="125"/>
      <c r="AF68" s="125"/>
      <c r="AG68" s="125"/>
    </row>
    <row r="69" spans="1:33" x14ac:dyDescent="0.2">
      <c r="A69" s="16">
        <v>4444</v>
      </c>
      <c r="B69" s="17">
        <f>VLOOKUP(A69,'[1]Nebris 11.27'!E:I,5,FALSE)</f>
        <v>580</v>
      </c>
      <c r="C69" s="4">
        <f>VLOOKUP(A69,'[1]Nebris 11.28.23'!$E:$I,5,FALSE)</f>
        <v>576</v>
      </c>
      <c r="D69" s="18">
        <f t="shared" si="10"/>
        <v>578</v>
      </c>
      <c r="E69" s="4">
        <v>1</v>
      </c>
      <c r="F69" s="4">
        <v>7</v>
      </c>
      <c r="G69" s="4">
        <v>0.76591954523643779</v>
      </c>
      <c r="H69" s="4">
        <v>212</v>
      </c>
      <c r="I69" s="4" t="str">
        <f t="shared" si="11"/>
        <v>25% MDGS Variable</v>
      </c>
      <c r="W69" s="122"/>
      <c r="X69" s="123"/>
      <c r="Y69" s="123"/>
      <c r="Z69" s="123"/>
      <c r="AA69" s="124"/>
      <c r="AB69" s="124"/>
      <c r="AC69" s="125"/>
      <c r="AD69" s="125"/>
      <c r="AE69" s="125"/>
      <c r="AF69" s="125"/>
      <c r="AG69" s="125"/>
    </row>
    <row r="70" spans="1:33" x14ac:dyDescent="0.2">
      <c r="A70" s="16">
        <v>4659</v>
      </c>
      <c r="B70" s="17">
        <f>VLOOKUP(A70,'[1]Nebris 11.27'!E:I,5,FALSE)</f>
        <v>580</v>
      </c>
      <c r="C70" s="4">
        <f>VLOOKUP(A70,'[1]Nebris 11.28.23'!$E:$I,5,FALSE)</f>
        <v>586</v>
      </c>
      <c r="D70" s="18">
        <f t="shared" si="10"/>
        <v>583</v>
      </c>
      <c r="E70" s="4">
        <v>1</v>
      </c>
      <c r="F70" s="4">
        <v>7</v>
      </c>
      <c r="G70" s="4">
        <v>0.76641383921830186</v>
      </c>
      <c r="H70" s="4">
        <v>213</v>
      </c>
      <c r="I70" s="4" t="str">
        <f t="shared" si="11"/>
        <v>10% MDGS Variable</v>
      </c>
      <c r="W70" s="122"/>
      <c r="X70" s="123"/>
      <c r="Y70" s="123"/>
      <c r="Z70" s="123"/>
      <c r="AA70" s="124"/>
      <c r="AB70" s="124"/>
      <c r="AC70" s="125"/>
      <c r="AD70" s="125"/>
      <c r="AE70" s="125"/>
      <c r="AF70" s="125"/>
      <c r="AG70" s="125"/>
    </row>
    <row r="71" spans="1:33" x14ac:dyDescent="0.2">
      <c r="A71" s="16">
        <v>4345</v>
      </c>
      <c r="B71" s="17">
        <f>VLOOKUP(A71,'[1]Nebris 11.27'!E:I,5,FALSE)</f>
        <v>580</v>
      </c>
      <c r="C71" s="4">
        <f>VLOOKUP(A71,'[1]Nebris 11.28.23'!$E:$I,5,FALSE)</f>
        <v>584</v>
      </c>
      <c r="D71" s="18">
        <f t="shared" si="10"/>
        <v>582</v>
      </c>
      <c r="E71" s="4">
        <v>1</v>
      </c>
      <c r="F71" s="4">
        <v>7</v>
      </c>
      <c r="G71" s="4">
        <v>0.76800048747714489</v>
      </c>
      <c r="H71" s="4">
        <v>214</v>
      </c>
      <c r="I71" s="4" t="str">
        <f t="shared" si="11"/>
        <v xml:space="preserve">25% MDGS Constant </v>
      </c>
      <c r="W71" s="122"/>
      <c r="X71" s="123"/>
      <c r="Y71" s="123"/>
      <c r="Z71" s="123"/>
      <c r="AA71" s="124"/>
      <c r="AB71" s="124"/>
      <c r="AC71" s="125"/>
      <c r="AD71" s="125"/>
      <c r="AE71" s="125"/>
      <c r="AF71" s="125"/>
      <c r="AG71" s="125"/>
    </row>
    <row r="72" spans="1:33" x14ac:dyDescent="0.2">
      <c r="A72" s="16">
        <v>4545</v>
      </c>
      <c r="B72" s="17">
        <f>VLOOKUP(A72,'[1]Nebris 11.27'!E:I,5,FALSE)</f>
        <v>584</v>
      </c>
      <c r="C72" s="4">
        <f>VLOOKUP(A72,'[1]Nebris 11.28.23'!$E:$I,5,FALSE)</f>
        <v>574</v>
      </c>
      <c r="D72" s="18">
        <f t="shared" si="10"/>
        <v>579</v>
      </c>
      <c r="E72" s="4">
        <v>1</v>
      </c>
      <c r="F72" s="4">
        <v>8</v>
      </c>
      <c r="G72" s="4">
        <v>0.10196000293483043</v>
      </c>
      <c r="H72" s="4">
        <v>205</v>
      </c>
      <c r="I72" s="4" t="str">
        <f t="shared" si="11"/>
        <v xml:space="preserve">10% MDGS Constant </v>
      </c>
      <c r="W72" s="122"/>
      <c r="X72" s="123"/>
      <c r="Y72" s="123"/>
      <c r="Z72" s="123"/>
      <c r="AA72" s="124"/>
      <c r="AB72" s="124"/>
      <c r="AC72" s="125"/>
      <c r="AD72" s="125"/>
      <c r="AE72" s="125"/>
      <c r="AF72" s="125"/>
      <c r="AG72" s="125"/>
    </row>
    <row r="73" spans="1:33" x14ac:dyDescent="0.2">
      <c r="A73" s="16">
        <v>4638</v>
      </c>
      <c r="B73" s="17">
        <f>VLOOKUP(A73,'[1]Nebris 11.27'!E:I,5,FALSE)</f>
        <v>584</v>
      </c>
      <c r="C73" s="4">
        <f>VLOOKUP(A73,'[1]Nebris 11.28.23'!$E:$I,5,FALSE)</f>
        <v>590</v>
      </c>
      <c r="D73" s="18">
        <f t="shared" si="10"/>
        <v>587</v>
      </c>
      <c r="E73" s="4">
        <v>1</v>
      </c>
      <c r="F73" s="4">
        <v>8</v>
      </c>
      <c r="G73" s="4">
        <v>0.13170372475233638</v>
      </c>
      <c r="H73" s="4">
        <v>206</v>
      </c>
      <c r="I73" s="4" t="str">
        <f t="shared" si="11"/>
        <v>10% MDGS Variable</v>
      </c>
      <c r="W73" s="122"/>
      <c r="X73" s="123"/>
      <c r="Y73" s="123"/>
      <c r="Z73" s="123"/>
      <c r="AA73" s="124"/>
      <c r="AB73" s="124"/>
      <c r="AC73" s="125"/>
      <c r="AD73" s="125"/>
      <c r="AE73" s="125"/>
      <c r="AF73" s="125"/>
      <c r="AG73" s="125"/>
    </row>
    <row r="74" spans="1:33" x14ac:dyDescent="0.2">
      <c r="A74" s="16">
        <v>4710</v>
      </c>
      <c r="B74" s="17">
        <f>VLOOKUP(A74,'[1]Nebris 11.27'!E:I,5,FALSE)</f>
        <v>582</v>
      </c>
      <c r="C74" s="4">
        <f>VLOOKUP(A74,'[1]Nebris 11.28.23'!$E:$I,5,FALSE)</f>
        <v>594</v>
      </c>
      <c r="D74" s="18">
        <f t="shared" si="10"/>
        <v>588</v>
      </c>
      <c r="E74" s="4">
        <v>1</v>
      </c>
      <c r="F74" s="4">
        <v>8</v>
      </c>
      <c r="G74" s="4">
        <v>0.24497559154918536</v>
      </c>
      <c r="H74" s="4">
        <v>207</v>
      </c>
      <c r="I74" s="4" t="str">
        <f t="shared" si="11"/>
        <v>Control</v>
      </c>
      <c r="W74" s="122"/>
      <c r="X74" s="123"/>
      <c r="Y74" s="123"/>
      <c r="Z74" s="123"/>
      <c r="AA74" s="124"/>
      <c r="AB74" s="124"/>
      <c r="AC74" s="125"/>
      <c r="AD74" s="125"/>
      <c r="AE74" s="125"/>
      <c r="AF74" s="125"/>
      <c r="AG74" s="125"/>
    </row>
    <row r="75" spans="1:33" x14ac:dyDescent="0.2">
      <c r="A75" s="16">
        <v>4602</v>
      </c>
      <c r="B75" s="17">
        <f>VLOOKUP(A75,'[1]Nebris 11.27'!E:I,5,FALSE)</f>
        <v>582</v>
      </c>
      <c r="C75" s="4">
        <f>VLOOKUP(A75,'[1]Nebris 11.28.23'!$E:$I,5,FALSE)</f>
        <v>582</v>
      </c>
      <c r="D75" s="18">
        <f t="shared" si="10"/>
        <v>582</v>
      </c>
      <c r="E75" s="4">
        <v>1</v>
      </c>
      <c r="F75" s="4">
        <v>8</v>
      </c>
      <c r="G75" s="4">
        <v>0.42035538945004569</v>
      </c>
      <c r="H75" s="4">
        <v>208</v>
      </c>
      <c r="I75" s="4" t="str">
        <f t="shared" si="11"/>
        <v>25% MDGS Variable</v>
      </c>
      <c r="W75" s="122"/>
      <c r="X75" s="123"/>
      <c r="Y75" s="123"/>
      <c r="Z75" s="123"/>
      <c r="AA75" s="124"/>
      <c r="AB75" s="124"/>
      <c r="AC75" s="125"/>
      <c r="AD75" s="125"/>
      <c r="AE75" s="125"/>
      <c r="AF75" s="125"/>
      <c r="AG75" s="125"/>
    </row>
    <row r="76" spans="1:33" x14ac:dyDescent="0.2">
      <c r="A76" s="16">
        <v>4682</v>
      </c>
      <c r="B76" s="17">
        <f>VLOOKUP(A76,'[1]Nebris 11.27'!E:I,5,FALSE)</f>
        <v>582</v>
      </c>
      <c r="C76" s="4">
        <f>VLOOKUP(A76,'[1]Nebris 11.28.23'!$E:$I,5,FALSE)</f>
        <v>600</v>
      </c>
      <c r="D76" s="18">
        <f t="shared" si="10"/>
        <v>591</v>
      </c>
      <c r="E76" s="4">
        <v>1</v>
      </c>
      <c r="F76" s="4">
        <v>8</v>
      </c>
      <c r="G76" s="4">
        <v>0.44863527410285431</v>
      </c>
      <c r="H76" s="4">
        <v>209</v>
      </c>
      <c r="I76" s="4" t="str">
        <f t="shared" si="11"/>
        <v xml:space="preserve">25% MDGS Constant </v>
      </c>
      <c r="W76" s="122"/>
      <c r="X76" s="123"/>
      <c r="Y76" s="123"/>
      <c r="Z76" s="123"/>
      <c r="AA76" s="124"/>
      <c r="AB76" s="124"/>
      <c r="AC76" s="125"/>
      <c r="AD76" s="125"/>
      <c r="AE76" s="125"/>
      <c r="AF76" s="125"/>
      <c r="AG76" s="125"/>
    </row>
    <row r="77" spans="1:33" x14ac:dyDescent="0.2">
      <c r="A77" s="16">
        <v>4760</v>
      </c>
      <c r="B77" s="17">
        <f>VLOOKUP(A77,'[1]Nebris 11.27'!E:I,5,FALSE)</f>
        <v>580</v>
      </c>
      <c r="C77" s="4">
        <f>VLOOKUP(A77,'[1]Nebris 11.28.23'!$E:$I,5,FALSE)</f>
        <v>596</v>
      </c>
      <c r="D77" s="18">
        <f t="shared" si="10"/>
        <v>588</v>
      </c>
      <c r="E77" s="4">
        <v>1</v>
      </c>
      <c r="F77" s="4">
        <v>8</v>
      </c>
      <c r="G77" s="4">
        <v>0.48680998777118756</v>
      </c>
      <c r="H77" s="4">
        <v>210</v>
      </c>
      <c r="I77" s="4" t="str">
        <f t="shared" si="11"/>
        <v xml:space="preserve">10% MDGS Constant </v>
      </c>
      <c r="W77" s="122"/>
      <c r="X77" s="123"/>
      <c r="Y77" s="123"/>
      <c r="Z77" s="123"/>
      <c r="AA77" s="124"/>
      <c r="AB77" s="124"/>
      <c r="AC77" s="125"/>
      <c r="AD77" s="125"/>
      <c r="AE77" s="125"/>
      <c r="AF77" s="125"/>
      <c r="AG77" s="125"/>
    </row>
    <row r="78" spans="1:33" x14ac:dyDescent="0.2">
      <c r="A78" s="16">
        <v>4311</v>
      </c>
      <c r="B78" s="17">
        <f>VLOOKUP(A78,'[1]Nebris 11.27'!E:I,5,FALSE)</f>
        <v>586</v>
      </c>
      <c r="C78" s="4">
        <f>VLOOKUP(A78,'[1]Nebris 11.28.23'!$E:$I,5,FALSE)</f>
        <v>596</v>
      </c>
      <c r="D78" s="18">
        <f t="shared" si="10"/>
        <v>591</v>
      </c>
      <c r="E78" s="4">
        <v>1</v>
      </c>
      <c r="F78" s="4">
        <v>8</v>
      </c>
      <c r="G78" s="4">
        <v>0.63533078098269258</v>
      </c>
      <c r="H78" s="4">
        <v>211</v>
      </c>
      <c r="I78" s="4" t="str">
        <f t="shared" si="11"/>
        <v>Control</v>
      </c>
      <c r="W78" s="122"/>
      <c r="X78" s="123"/>
      <c r="Y78" s="123"/>
      <c r="Z78" s="123"/>
      <c r="AA78" s="124"/>
      <c r="AB78" s="124"/>
      <c r="AC78" s="125"/>
      <c r="AD78" s="125"/>
      <c r="AE78" s="125"/>
      <c r="AF78" s="125"/>
      <c r="AG78" s="125"/>
    </row>
    <row r="79" spans="1:33" x14ac:dyDescent="0.2">
      <c r="A79" s="16">
        <v>4770</v>
      </c>
      <c r="B79" s="17">
        <f>VLOOKUP(A79,'[1]Nebris 11.27'!E:I,5,FALSE)</f>
        <v>584</v>
      </c>
      <c r="C79" s="4">
        <f>VLOOKUP(A79,'[1]Nebris 11.28.23'!$E:$I,5,FALSE)</f>
        <v>582</v>
      </c>
      <c r="D79" s="18">
        <f t="shared" si="10"/>
        <v>583</v>
      </c>
      <c r="E79" s="4">
        <v>1</v>
      </c>
      <c r="F79" s="4">
        <v>8</v>
      </c>
      <c r="G79" s="4">
        <v>0.64825977226260501</v>
      </c>
      <c r="H79" s="4">
        <v>212</v>
      </c>
      <c r="I79" s="4" t="str">
        <f t="shared" si="11"/>
        <v>25% MDGS Variable</v>
      </c>
      <c r="W79" s="122"/>
      <c r="X79" s="123"/>
      <c r="Y79" s="123"/>
      <c r="Z79" s="123"/>
      <c r="AA79" s="124"/>
      <c r="AB79" s="124"/>
      <c r="AC79" s="125"/>
      <c r="AD79" s="125"/>
      <c r="AE79" s="125"/>
      <c r="AF79" s="125"/>
      <c r="AG79" s="125"/>
    </row>
    <row r="80" spans="1:33" x14ac:dyDescent="0.2">
      <c r="A80" s="16">
        <v>4504</v>
      </c>
      <c r="B80" s="17">
        <f>VLOOKUP(A80,'[1]Nebris 11.27'!E:I,5,FALSE)</f>
        <v>582</v>
      </c>
      <c r="C80" s="4">
        <f>VLOOKUP(A80,'[1]Nebris 11.28.23'!$E:$I,5,FALSE)</f>
        <v>574</v>
      </c>
      <c r="D80" s="18">
        <f t="shared" si="10"/>
        <v>578</v>
      </c>
      <c r="E80" s="4">
        <v>1</v>
      </c>
      <c r="F80" s="4">
        <v>8</v>
      </c>
      <c r="G80" s="4">
        <v>0.73059347561769317</v>
      </c>
      <c r="H80" s="4">
        <v>213</v>
      </c>
      <c r="I80" s="4" t="str">
        <f t="shared" si="11"/>
        <v>10% MDGS Variable</v>
      </c>
      <c r="W80" s="122"/>
      <c r="X80" s="123"/>
      <c r="Y80" s="123"/>
      <c r="Z80" s="123"/>
      <c r="AA80" s="124"/>
      <c r="AB80" s="124"/>
      <c r="AC80" s="125"/>
      <c r="AD80" s="125"/>
      <c r="AE80" s="125"/>
      <c r="AF80" s="125"/>
      <c r="AG80" s="125"/>
    </row>
    <row r="81" spans="1:33" x14ac:dyDescent="0.2">
      <c r="A81" s="16">
        <v>4593</v>
      </c>
      <c r="B81" s="17">
        <f>VLOOKUP(A81,'[1]Nebris 11.27'!E:I,5,FALSE)</f>
        <v>582</v>
      </c>
      <c r="C81" s="4">
        <f>VLOOKUP(A81,'[1]Nebris 11.28.23'!$E:$I,5,FALSE)</f>
        <v>598</v>
      </c>
      <c r="D81" s="18">
        <f t="shared" si="10"/>
        <v>590</v>
      </c>
      <c r="E81" s="4">
        <v>1</v>
      </c>
      <c r="F81" s="4">
        <v>8</v>
      </c>
      <c r="G81" s="4">
        <v>0.90969687363223128</v>
      </c>
      <c r="H81" s="4">
        <v>214</v>
      </c>
      <c r="I81" s="4" t="str">
        <f t="shared" si="11"/>
        <v xml:space="preserve">25% MDGS Constant </v>
      </c>
      <c r="W81" s="122"/>
      <c r="X81" s="123"/>
      <c r="Y81" s="123"/>
      <c r="Z81" s="123"/>
      <c r="AA81" s="124"/>
      <c r="AB81" s="124"/>
      <c r="AC81" s="125"/>
      <c r="AD81" s="125"/>
      <c r="AE81" s="125"/>
      <c r="AF81" s="125"/>
      <c r="AG81" s="125"/>
    </row>
    <row r="82" spans="1:33" x14ac:dyDescent="0.2">
      <c r="A82" s="16">
        <v>4336</v>
      </c>
      <c r="B82" s="17">
        <f>VLOOKUP(A82,'[1]Nebris 11.27'!E:I,5,FALSE)</f>
        <v>586</v>
      </c>
      <c r="C82" s="4">
        <f>VLOOKUP(A82,'[1]Nebris 11.28.23'!$E:$I,5,FALSE)</f>
        <v>606</v>
      </c>
      <c r="D82" s="18">
        <f t="shared" si="10"/>
        <v>596</v>
      </c>
      <c r="E82" s="4">
        <v>1</v>
      </c>
      <c r="F82" s="4">
        <v>9</v>
      </c>
      <c r="G82" s="4">
        <v>0.1412090500715919</v>
      </c>
      <c r="H82" s="4">
        <v>205</v>
      </c>
      <c r="I82" s="4" t="str">
        <f t="shared" si="11"/>
        <v xml:space="preserve">10% MDGS Constant </v>
      </c>
      <c r="W82" s="122"/>
      <c r="X82" s="123"/>
      <c r="Y82" s="123"/>
      <c r="Z82" s="123"/>
      <c r="AA82" s="124"/>
      <c r="AB82" s="124"/>
      <c r="AC82" s="125"/>
      <c r="AD82" s="125"/>
      <c r="AE82" s="125"/>
      <c r="AF82" s="125"/>
      <c r="AG82" s="125"/>
    </row>
    <row r="83" spans="1:33" x14ac:dyDescent="0.2">
      <c r="A83" s="16">
        <v>4747</v>
      </c>
      <c r="B83" s="17">
        <f>VLOOKUP(A83,'[1]Nebris 11.27'!E:I,5,FALSE)</f>
        <v>586</v>
      </c>
      <c r="C83" s="4">
        <f>VLOOKUP(A83,'[1]Nebris 11.28.23'!$E:$I,5,FALSE)</f>
        <v>582</v>
      </c>
      <c r="D83" s="18">
        <f t="shared" si="10"/>
        <v>584</v>
      </c>
      <c r="E83" s="4">
        <v>1</v>
      </c>
      <c r="F83" s="4">
        <v>9</v>
      </c>
      <c r="G83" s="4">
        <v>0.35906640434303339</v>
      </c>
      <c r="H83" s="4">
        <v>206</v>
      </c>
      <c r="I83" s="4" t="str">
        <f t="shared" si="11"/>
        <v>10% MDGS Variable</v>
      </c>
      <c r="W83" s="122"/>
      <c r="X83" s="123"/>
      <c r="Y83" s="123"/>
      <c r="Z83" s="123"/>
      <c r="AA83" s="124"/>
      <c r="AB83" s="124"/>
      <c r="AC83" s="125"/>
      <c r="AD83" s="125"/>
      <c r="AE83" s="125"/>
      <c r="AF83" s="125"/>
      <c r="AG83" s="125"/>
    </row>
    <row r="84" spans="1:33" x14ac:dyDescent="0.2">
      <c r="A84" s="16">
        <v>4769</v>
      </c>
      <c r="B84" s="17">
        <f>VLOOKUP(A84,'[1]Nebris 11.27'!E:I,5,FALSE)</f>
        <v>586</v>
      </c>
      <c r="C84" s="4">
        <f>VLOOKUP(A84,'[1]Nebris 11.28.23'!$E:$I,5,FALSE)</f>
        <v>598</v>
      </c>
      <c r="D84" s="18">
        <f t="shared" si="10"/>
        <v>592</v>
      </c>
      <c r="E84" s="4">
        <v>1</v>
      </c>
      <c r="F84" s="4">
        <v>9</v>
      </c>
      <c r="G84" s="4">
        <v>0.41571224766763859</v>
      </c>
      <c r="H84" s="4">
        <v>207</v>
      </c>
      <c r="I84" s="4" t="str">
        <f t="shared" si="11"/>
        <v>Control</v>
      </c>
      <c r="W84" s="122"/>
      <c r="X84" s="123"/>
      <c r="Y84" s="123"/>
      <c r="Z84" s="123"/>
      <c r="AA84" s="124"/>
      <c r="AB84" s="124"/>
      <c r="AC84" s="125"/>
      <c r="AD84" s="125"/>
      <c r="AE84" s="125"/>
      <c r="AF84" s="125"/>
      <c r="AG84" s="125"/>
    </row>
    <row r="85" spans="1:33" x14ac:dyDescent="0.2">
      <c r="A85" s="16">
        <v>4678</v>
      </c>
      <c r="B85" s="17">
        <f>VLOOKUP(A85,'[1]Nebris 11.27'!E:I,5,FALSE)</f>
        <v>586</v>
      </c>
      <c r="C85" s="4">
        <f>VLOOKUP(A85,'[1]Nebris 11.28.23'!$E:$I,5,FALSE)</f>
        <v>580</v>
      </c>
      <c r="D85" s="18">
        <f t="shared" si="10"/>
        <v>583</v>
      </c>
      <c r="E85" s="4">
        <v>1</v>
      </c>
      <c r="F85" s="4">
        <v>9</v>
      </c>
      <c r="G85" s="4">
        <v>0.44140096226305425</v>
      </c>
      <c r="H85" s="4">
        <v>208</v>
      </c>
      <c r="I85" s="4" t="str">
        <f t="shared" si="11"/>
        <v>25% MDGS Variable</v>
      </c>
      <c r="W85" s="122"/>
      <c r="X85" s="123"/>
      <c r="Y85" s="123"/>
      <c r="Z85" s="123"/>
      <c r="AA85" s="124"/>
      <c r="AB85" s="124"/>
      <c r="AC85" s="125"/>
      <c r="AD85" s="125"/>
      <c r="AE85" s="125"/>
      <c r="AF85" s="125"/>
      <c r="AG85" s="125"/>
    </row>
    <row r="86" spans="1:33" x14ac:dyDescent="0.2">
      <c r="A86" s="16">
        <v>4391</v>
      </c>
      <c r="B86" s="17">
        <f>VLOOKUP(A86,'[1]Nebris 11.27'!E:I,5,FALSE)</f>
        <v>586</v>
      </c>
      <c r="C86" s="4">
        <f>VLOOKUP(A86,'[1]Nebris 11.28.23'!$E:$I,5,FALSE)</f>
        <v>590</v>
      </c>
      <c r="D86" s="18">
        <f t="shared" si="10"/>
        <v>588</v>
      </c>
      <c r="E86" s="4">
        <v>1</v>
      </c>
      <c r="F86" s="4">
        <v>9</v>
      </c>
      <c r="G86" s="4">
        <v>0.50498087625068344</v>
      </c>
      <c r="H86" s="4">
        <v>209</v>
      </c>
      <c r="I86" s="4" t="str">
        <f t="shared" si="11"/>
        <v xml:space="preserve">25% MDGS Constant </v>
      </c>
      <c r="W86" s="122"/>
      <c r="X86" s="123"/>
      <c r="Y86" s="123"/>
      <c r="Z86" s="123"/>
      <c r="AA86" s="124"/>
      <c r="AB86" s="124"/>
      <c r="AC86" s="125"/>
      <c r="AD86" s="125"/>
      <c r="AE86" s="125"/>
      <c r="AF86" s="125"/>
      <c r="AG86" s="125"/>
    </row>
    <row r="87" spans="1:33" x14ac:dyDescent="0.2">
      <c r="A87" s="16">
        <v>4421</v>
      </c>
      <c r="B87" s="17">
        <f>VLOOKUP(A87,'[1]Nebris 11.27'!E:I,5,FALSE)</f>
        <v>586</v>
      </c>
      <c r="C87" s="4">
        <f>VLOOKUP(A87,'[1]Nebris 11.28.23'!$E:$I,5,FALSE)</f>
        <v>588</v>
      </c>
      <c r="D87" s="18">
        <f t="shared" si="10"/>
        <v>587</v>
      </c>
      <c r="E87" s="4">
        <v>1</v>
      </c>
      <c r="F87" s="4">
        <v>9</v>
      </c>
      <c r="G87" s="4">
        <v>0.70481273972122005</v>
      </c>
      <c r="H87" s="4">
        <v>210</v>
      </c>
      <c r="I87" s="4" t="str">
        <f t="shared" si="11"/>
        <v xml:space="preserve">10% MDGS Constant </v>
      </c>
      <c r="W87" s="122"/>
      <c r="X87" s="123"/>
      <c r="Y87" s="123"/>
      <c r="Z87" s="123"/>
      <c r="AA87" s="124"/>
      <c r="AB87" s="124"/>
      <c r="AC87" s="125"/>
      <c r="AD87" s="125"/>
      <c r="AE87" s="125"/>
      <c r="AF87" s="125"/>
      <c r="AG87" s="125"/>
    </row>
    <row r="88" spans="1:33" x14ac:dyDescent="0.2">
      <c r="A88" s="16">
        <v>4443</v>
      </c>
      <c r="B88" s="17">
        <f>VLOOKUP(A88,'[1]Nebris 11.27'!E:I,5,FALSE)</f>
        <v>586</v>
      </c>
      <c r="C88" s="4">
        <f>VLOOKUP(A88,'[1]Nebris 11.28.23'!$E:$I,5,FALSE)</f>
        <v>576</v>
      </c>
      <c r="D88" s="18">
        <f t="shared" si="10"/>
        <v>581</v>
      </c>
      <c r="E88" s="4">
        <v>1</v>
      </c>
      <c r="F88" s="4">
        <v>9</v>
      </c>
      <c r="G88" s="4">
        <v>0.76485247385471433</v>
      </c>
      <c r="H88" s="4">
        <v>211</v>
      </c>
      <c r="I88" s="4" t="str">
        <f t="shared" si="11"/>
        <v>Control</v>
      </c>
      <c r="W88" s="122"/>
      <c r="X88" s="123"/>
      <c r="Y88" s="123"/>
      <c r="Z88" s="123"/>
      <c r="AA88" s="124"/>
      <c r="AB88" s="124"/>
      <c r="AC88" s="125"/>
      <c r="AD88" s="125"/>
      <c r="AE88" s="125"/>
      <c r="AF88" s="125"/>
      <c r="AG88" s="125"/>
    </row>
    <row r="89" spans="1:33" x14ac:dyDescent="0.2">
      <c r="A89" s="16">
        <v>4433</v>
      </c>
      <c r="B89" s="17">
        <f>VLOOKUP(A89,'[1]Nebris 11.27'!E:I,5,FALSE)</f>
        <v>588</v>
      </c>
      <c r="C89" s="4">
        <f>VLOOKUP(A89,'[1]Nebris 11.28.23'!$E:$I,5,FALSE)</f>
        <v>604</v>
      </c>
      <c r="D89" s="18">
        <f t="shared" si="10"/>
        <v>596</v>
      </c>
      <c r="E89" s="4">
        <v>1</v>
      </c>
      <c r="F89" s="4">
        <v>9</v>
      </c>
      <c r="G89" s="4">
        <v>0.94398142714179667</v>
      </c>
      <c r="H89" s="4">
        <v>212</v>
      </c>
      <c r="I89" s="4" t="str">
        <f t="shared" si="11"/>
        <v>25% MDGS Variable</v>
      </c>
      <c r="W89" s="122"/>
      <c r="X89" s="123"/>
      <c r="Y89" s="123"/>
      <c r="Z89" s="123"/>
      <c r="AA89" s="124"/>
      <c r="AB89" s="124"/>
      <c r="AC89" s="125"/>
      <c r="AD89" s="125"/>
      <c r="AE89" s="125"/>
      <c r="AF89" s="125"/>
      <c r="AG89" s="125"/>
    </row>
    <row r="90" spans="1:33" x14ac:dyDescent="0.2">
      <c r="A90" s="16">
        <v>4355</v>
      </c>
      <c r="B90" s="17">
        <f>VLOOKUP(A90,'[1]Nebris 11.27'!E:I,5,FALSE)</f>
        <v>586</v>
      </c>
      <c r="C90" s="4">
        <f>VLOOKUP(A90,'[1]Nebris 11.28.23'!$E:$I,5,FALSE)</f>
        <v>600</v>
      </c>
      <c r="D90" s="18">
        <f t="shared" si="10"/>
        <v>593</v>
      </c>
      <c r="E90" s="4">
        <v>1</v>
      </c>
      <c r="F90" s="4">
        <v>9</v>
      </c>
      <c r="G90" s="4">
        <v>0.98066018587623149</v>
      </c>
      <c r="H90" s="4">
        <v>213</v>
      </c>
      <c r="I90" s="4" t="str">
        <f t="shared" si="11"/>
        <v>10% MDGS Variable</v>
      </c>
      <c r="W90" s="122"/>
      <c r="X90" s="123"/>
      <c r="Y90" s="123"/>
      <c r="Z90" s="123"/>
      <c r="AA90" s="124"/>
      <c r="AB90" s="124"/>
      <c r="AC90" s="125"/>
      <c r="AD90" s="125"/>
      <c r="AE90" s="125"/>
      <c r="AF90" s="125"/>
      <c r="AG90" s="125"/>
    </row>
    <row r="91" spans="1:33" x14ac:dyDescent="0.2">
      <c r="A91" s="16">
        <v>4576</v>
      </c>
      <c r="B91" s="17">
        <f>VLOOKUP(A91,'[1]Nebris 11.27'!E:I,5,FALSE)</f>
        <v>586</v>
      </c>
      <c r="C91" s="4">
        <f>VLOOKUP(A91,'[1]Nebris 11.28.23'!$E:$I,5,FALSE)</f>
        <v>602</v>
      </c>
      <c r="D91" s="18">
        <f t="shared" si="10"/>
        <v>594</v>
      </c>
      <c r="E91" s="4">
        <v>1</v>
      </c>
      <c r="F91" s="4">
        <v>9</v>
      </c>
      <c r="G91" s="4">
        <v>0.99928253874714745</v>
      </c>
      <c r="H91" s="4">
        <v>214</v>
      </c>
      <c r="I91" s="4" t="str">
        <f t="shared" si="11"/>
        <v xml:space="preserve">25% MDGS Constant </v>
      </c>
      <c r="W91" s="122"/>
      <c r="X91" s="123"/>
      <c r="Y91" s="123"/>
      <c r="Z91" s="123"/>
      <c r="AA91" s="124"/>
      <c r="AB91" s="124"/>
      <c r="AC91" s="125"/>
      <c r="AD91" s="125"/>
      <c r="AE91" s="125"/>
      <c r="AF91" s="125"/>
      <c r="AG91" s="125"/>
    </row>
    <row r="92" spans="1:33" x14ac:dyDescent="0.2">
      <c r="A92" s="16">
        <v>4483</v>
      </c>
      <c r="B92" s="17">
        <f>VLOOKUP(A92,'[1]Nebris 11.27'!E:I,5,FALSE)</f>
        <v>588</v>
      </c>
      <c r="C92" s="4">
        <f>VLOOKUP(A92,'[1]Nebris 11.28.23'!$E:$I,5,FALSE)</f>
        <v>572</v>
      </c>
      <c r="D92" s="18">
        <f t="shared" si="10"/>
        <v>580</v>
      </c>
      <c r="E92" s="4">
        <v>1</v>
      </c>
      <c r="F92" s="4">
        <v>10</v>
      </c>
      <c r="G92" s="4">
        <v>0.12516870478556308</v>
      </c>
      <c r="H92" s="4">
        <v>205</v>
      </c>
      <c r="I92" s="4" t="str">
        <f t="shared" si="11"/>
        <v xml:space="preserve">10% MDGS Constant </v>
      </c>
      <c r="W92" s="122"/>
      <c r="X92" s="123"/>
      <c r="Y92" s="123"/>
      <c r="Z92" s="123"/>
      <c r="AA92" s="124"/>
      <c r="AB92" s="124"/>
      <c r="AC92" s="125"/>
      <c r="AD92" s="125"/>
      <c r="AE92" s="125"/>
      <c r="AF92" s="125"/>
      <c r="AG92" s="125"/>
    </row>
    <row r="93" spans="1:33" x14ac:dyDescent="0.2">
      <c r="A93" s="16">
        <v>4651</v>
      </c>
      <c r="B93" s="17">
        <f>VLOOKUP(A93,'[1]Nebris 11.27'!E:I,5,FALSE)</f>
        <v>590</v>
      </c>
      <c r="C93" s="4">
        <f>VLOOKUP(A93,'[1]Nebris 11.28.23'!$E:$I,5,FALSE)</f>
        <v>572</v>
      </c>
      <c r="D93" s="18">
        <f t="shared" si="10"/>
        <v>581</v>
      </c>
      <c r="E93" s="4">
        <v>1</v>
      </c>
      <c r="F93" s="4">
        <v>10</v>
      </c>
      <c r="G93" s="4">
        <v>0.27700322175270875</v>
      </c>
      <c r="H93" s="4">
        <v>206</v>
      </c>
      <c r="I93" s="4" t="str">
        <f t="shared" si="11"/>
        <v>10% MDGS Variable</v>
      </c>
      <c r="W93" s="122"/>
      <c r="X93" s="123"/>
      <c r="Y93" s="123"/>
      <c r="Z93" s="123"/>
      <c r="AA93" s="124"/>
      <c r="AB93" s="124"/>
      <c r="AC93" s="125"/>
      <c r="AD93" s="125"/>
      <c r="AE93" s="125"/>
      <c r="AF93" s="125"/>
      <c r="AG93" s="125"/>
    </row>
    <row r="94" spans="1:33" x14ac:dyDescent="0.2">
      <c r="A94" s="16">
        <v>4427</v>
      </c>
      <c r="B94" s="17">
        <f>VLOOKUP(A94,'[1]Nebris 11.27'!E:I,5,FALSE)</f>
        <v>590</v>
      </c>
      <c r="C94" s="4">
        <f>VLOOKUP(A94,'[1]Nebris 11.28.23'!$E:$I,5,FALSE)</f>
        <v>598</v>
      </c>
      <c r="D94" s="18">
        <f t="shared" si="10"/>
        <v>594</v>
      </c>
      <c r="E94" s="4">
        <v>1</v>
      </c>
      <c r="F94" s="4">
        <v>10</v>
      </c>
      <c r="G94" s="4">
        <v>0.29734586141095798</v>
      </c>
      <c r="H94" s="4">
        <v>207</v>
      </c>
      <c r="I94" s="4" t="str">
        <f t="shared" si="11"/>
        <v>Control</v>
      </c>
      <c r="W94" s="122"/>
      <c r="X94" s="123"/>
      <c r="Y94" s="123"/>
      <c r="Z94" s="123"/>
      <c r="AA94" s="124"/>
      <c r="AB94" s="124"/>
      <c r="AC94" s="125"/>
      <c r="AD94" s="125"/>
      <c r="AE94" s="125"/>
      <c r="AF94" s="125"/>
      <c r="AG94" s="125"/>
    </row>
    <row r="95" spans="1:33" x14ac:dyDescent="0.2">
      <c r="A95" s="16">
        <v>4640</v>
      </c>
      <c r="B95" s="17">
        <f>VLOOKUP(A95,'[1]Nebris 11.27'!E:I,5,FALSE)</f>
        <v>590</v>
      </c>
      <c r="C95" s="4">
        <f>VLOOKUP(A95,'[1]Nebris 11.28.23'!$E:$I,5,FALSE)</f>
        <v>598</v>
      </c>
      <c r="D95" s="18">
        <f t="shared" si="10"/>
        <v>594</v>
      </c>
      <c r="E95" s="4">
        <v>1</v>
      </c>
      <c r="F95" s="4">
        <v>10</v>
      </c>
      <c r="G95" s="4">
        <v>0.3918876975589104</v>
      </c>
      <c r="H95" s="4">
        <v>208</v>
      </c>
      <c r="I95" s="4" t="str">
        <f t="shared" si="11"/>
        <v>25% MDGS Variable</v>
      </c>
      <c r="W95" s="122"/>
      <c r="X95" s="123"/>
      <c r="Y95" s="123"/>
      <c r="Z95" s="123"/>
      <c r="AA95" s="124"/>
      <c r="AB95" s="124"/>
      <c r="AC95" s="125"/>
      <c r="AD95" s="125"/>
      <c r="AE95" s="125"/>
      <c r="AF95" s="125"/>
      <c r="AG95" s="125"/>
    </row>
    <row r="96" spans="1:33" x14ac:dyDescent="0.2">
      <c r="A96" s="16">
        <v>4454</v>
      </c>
      <c r="B96" s="17">
        <f>VLOOKUP(A96,'[1]Nebris 11.27'!E:I,5,FALSE)</f>
        <v>588</v>
      </c>
      <c r="C96" s="4">
        <f>VLOOKUP(A96,'[1]Nebris 11.28.23'!$E:$I,5,FALSE)</f>
        <v>564</v>
      </c>
      <c r="D96" s="18">
        <f t="shared" si="10"/>
        <v>576</v>
      </c>
      <c r="E96" s="4">
        <v>1</v>
      </c>
      <c r="F96" s="4">
        <v>10</v>
      </c>
      <c r="G96" s="4">
        <v>0.49102264321139555</v>
      </c>
      <c r="H96" s="4">
        <v>209</v>
      </c>
      <c r="I96" s="4" t="str">
        <f t="shared" si="11"/>
        <v xml:space="preserve">25% MDGS Constant </v>
      </c>
      <c r="W96" s="122"/>
      <c r="X96" s="123"/>
      <c r="Y96" s="123"/>
      <c r="Z96" s="123"/>
      <c r="AA96" s="124"/>
      <c r="AB96" s="124"/>
      <c r="AC96" s="125"/>
      <c r="AD96" s="125"/>
      <c r="AE96" s="125"/>
      <c r="AF96" s="125"/>
      <c r="AG96" s="125"/>
    </row>
    <row r="97" spans="1:33" x14ac:dyDescent="0.2">
      <c r="A97" s="16">
        <v>4572</v>
      </c>
      <c r="B97" s="17">
        <f>VLOOKUP(A97,'[1]Nebris 11.27'!E:I,5,FALSE)</f>
        <v>588</v>
      </c>
      <c r="C97" s="4">
        <f>VLOOKUP(A97,'[1]Nebris 11.28.23'!$E:$I,5,FALSE)</f>
        <v>576</v>
      </c>
      <c r="D97" s="18">
        <f t="shared" si="10"/>
        <v>582</v>
      </c>
      <c r="E97" s="4">
        <v>1</v>
      </c>
      <c r="F97" s="4">
        <v>10</v>
      </c>
      <c r="G97" s="4">
        <v>0.61330717483621666</v>
      </c>
      <c r="H97" s="4">
        <v>210</v>
      </c>
      <c r="I97" s="4" t="str">
        <f t="shared" si="11"/>
        <v xml:space="preserve">10% MDGS Constant </v>
      </c>
      <c r="W97" s="122"/>
      <c r="X97" s="123"/>
      <c r="Y97" s="123"/>
      <c r="Z97" s="123"/>
      <c r="AA97" s="124"/>
      <c r="AB97" s="124"/>
      <c r="AC97" s="125"/>
      <c r="AD97" s="125"/>
      <c r="AE97" s="125"/>
      <c r="AF97" s="125"/>
      <c r="AG97" s="125"/>
    </row>
    <row r="98" spans="1:33" x14ac:dyDescent="0.2">
      <c r="A98" s="16">
        <v>4767</v>
      </c>
      <c r="B98" s="17">
        <f>VLOOKUP(A98,'[1]Nebris 11.27'!E:I,5,FALSE)</f>
        <v>588</v>
      </c>
      <c r="C98" s="4">
        <f>VLOOKUP(A98,'[1]Nebris 11.28.23'!$E:$I,5,FALSE)</f>
        <v>596</v>
      </c>
      <c r="D98" s="18">
        <f t="shared" si="10"/>
        <v>592</v>
      </c>
      <c r="E98" s="4">
        <v>1</v>
      </c>
      <c r="F98" s="4">
        <v>10</v>
      </c>
      <c r="G98" s="4">
        <v>0.74304978575731295</v>
      </c>
      <c r="H98" s="4">
        <v>211</v>
      </c>
      <c r="I98" s="4" t="str">
        <f t="shared" si="11"/>
        <v>Control</v>
      </c>
      <c r="W98" s="122"/>
      <c r="X98" s="123"/>
      <c r="Y98" s="123"/>
      <c r="Z98" s="123"/>
      <c r="AA98" s="124"/>
      <c r="AB98" s="124"/>
      <c r="AC98" s="125"/>
      <c r="AD98" s="125"/>
      <c r="AE98" s="125"/>
      <c r="AF98" s="125"/>
      <c r="AG98" s="125"/>
    </row>
    <row r="99" spans="1:33" x14ac:dyDescent="0.2">
      <c r="A99" s="16">
        <v>4490</v>
      </c>
      <c r="B99" s="17">
        <f>VLOOKUP(A99,'[1]Nebris 11.27'!E:I,5,FALSE)</f>
        <v>588</v>
      </c>
      <c r="C99" s="4">
        <f>VLOOKUP(A99,'[1]Nebris 11.28.23'!$E:$I,5,FALSE)</f>
        <v>612</v>
      </c>
      <c r="D99" s="18">
        <f t="shared" si="10"/>
        <v>600</v>
      </c>
      <c r="E99" s="4">
        <v>1</v>
      </c>
      <c r="F99" s="4">
        <v>10</v>
      </c>
      <c r="G99" s="4">
        <v>0.84983149126055713</v>
      </c>
      <c r="H99" s="4">
        <v>212</v>
      </c>
      <c r="I99" s="4" t="str">
        <f t="shared" si="11"/>
        <v>25% MDGS Variable</v>
      </c>
      <c r="W99" s="122"/>
      <c r="X99" s="123"/>
      <c r="Y99" s="123"/>
      <c r="Z99" s="123"/>
      <c r="AA99" s="124"/>
      <c r="AB99" s="124"/>
      <c r="AC99" s="125"/>
      <c r="AD99" s="125"/>
      <c r="AE99" s="125"/>
      <c r="AF99" s="125"/>
      <c r="AG99" s="125"/>
    </row>
    <row r="100" spans="1:33" x14ac:dyDescent="0.2">
      <c r="A100" s="16">
        <v>4675</v>
      </c>
      <c r="B100" s="17">
        <f>VLOOKUP(A100,'[1]Nebris 11.27'!E:I,5,FALSE)</f>
        <v>588</v>
      </c>
      <c r="C100" s="4">
        <f>VLOOKUP(A100,'[1]Nebris 11.28.23'!$E:$I,5,FALSE)</f>
        <v>578</v>
      </c>
      <c r="D100" s="18">
        <f t="shared" si="10"/>
        <v>583</v>
      </c>
      <c r="E100" s="4">
        <v>1</v>
      </c>
      <c r="F100" s="4">
        <v>10</v>
      </c>
      <c r="G100" s="4">
        <v>0.86930371915068461</v>
      </c>
      <c r="H100" s="4">
        <v>213</v>
      </c>
      <c r="I100" s="4" t="str">
        <f t="shared" si="11"/>
        <v>10% MDGS Variable</v>
      </c>
      <c r="W100" s="122"/>
      <c r="X100" s="123"/>
      <c r="Y100" s="123"/>
      <c r="Z100" s="123"/>
      <c r="AA100" s="124"/>
      <c r="AB100" s="124"/>
      <c r="AC100" s="125"/>
      <c r="AD100" s="125"/>
      <c r="AE100" s="125"/>
      <c r="AF100" s="125"/>
      <c r="AG100" s="125"/>
    </row>
    <row r="101" spans="1:33" x14ac:dyDescent="0.2">
      <c r="A101" s="16">
        <v>4649</v>
      </c>
      <c r="B101" s="17">
        <f>VLOOKUP(A101,'[1]Nebris 11.27'!E:I,5,FALSE)</f>
        <v>588</v>
      </c>
      <c r="C101" s="4">
        <f>VLOOKUP(A101,'[1]Nebris 11.28.23'!$E:$I,5,FALSE)</f>
        <v>576</v>
      </c>
      <c r="D101" s="18">
        <f t="shared" si="10"/>
        <v>582</v>
      </c>
      <c r="E101" s="4">
        <v>1</v>
      </c>
      <c r="F101" s="4">
        <v>10</v>
      </c>
      <c r="G101" s="4">
        <v>0.94557195108110481</v>
      </c>
      <c r="H101" s="4">
        <v>214</v>
      </c>
      <c r="I101" s="4" t="str">
        <f t="shared" si="11"/>
        <v xml:space="preserve">25% MDGS Constant </v>
      </c>
      <c r="W101" s="122"/>
      <c r="X101" s="123"/>
      <c r="Y101" s="123"/>
      <c r="Z101" s="123"/>
      <c r="AA101" s="124"/>
      <c r="AB101" s="124"/>
      <c r="AC101" s="125"/>
      <c r="AD101" s="125"/>
      <c r="AE101" s="125"/>
      <c r="AF101" s="125"/>
      <c r="AG101" s="125"/>
    </row>
    <row r="102" spans="1:33" x14ac:dyDescent="0.2">
      <c r="A102" s="16">
        <v>4471</v>
      </c>
      <c r="B102" s="17">
        <f>VLOOKUP(A102,'[1]Nebris 11.27'!E:I,5,FALSE)</f>
        <v>594</v>
      </c>
      <c r="C102" s="4">
        <f>VLOOKUP(A102,'[1]Nebris 11.28.23'!$E:$I,5,FALSE)</f>
        <v>604</v>
      </c>
      <c r="D102" s="18">
        <f t="shared" si="10"/>
        <v>599</v>
      </c>
      <c r="E102" s="4">
        <v>2</v>
      </c>
      <c r="F102" s="4">
        <v>1</v>
      </c>
      <c r="G102" s="4">
        <v>1.4756082583818886E-2</v>
      </c>
      <c r="H102" s="4">
        <v>215</v>
      </c>
      <c r="I102" s="4" t="str">
        <f t="shared" si="11"/>
        <v>10% MDGS Variable</v>
      </c>
      <c r="W102" s="122"/>
      <c r="X102" s="123"/>
      <c r="Y102" s="123"/>
      <c r="Z102" s="123"/>
      <c r="AA102" s="124"/>
      <c r="AB102" s="124"/>
      <c r="AC102" s="125"/>
      <c r="AD102" s="125"/>
      <c r="AE102" s="125"/>
      <c r="AF102" s="125"/>
      <c r="AG102" s="125"/>
    </row>
    <row r="103" spans="1:33" x14ac:dyDescent="0.2">
      <c r="A103" s="16">
        <v>4639</v>
      </c>
      <c r="B103" s="17">
        <f>VLOOKUP(A103,'[1]Nebris 11.27'!E:I,5,FALSE)</f>
        <v>592</v>
      </c>
      <c r="C103" s="4">
        <f>VLOOKUP(A103,'[1]Nebris 11.28.23'!$E:$I,5,FALSE)</f>
        <v>604</v>
      </c>
      <c r="D103" s="18">
        <f t="shared" si="10"/>
        <v>598</v>
      </c>
      <c r="E103" s="4">
        <v>2</v>
      </c>
      <c r="F103" s="4">
        <v>1</v>
      </c>
      <c r="G103" s="4">
        <v>4.7402768234176107E-2</v>
      </c>
      <c r="H103" s="4">
        <v>216</v>
      </c>
      <c r="I103" s="4" t="str">
        <f t="shared" si="11"/>
        <v xml:space="preserve">10% MDGS Constant </v>
      </c>
      <c r="W103" s="122"/>
      <c r="X103" s="123"/>
      <c r="Y103" s="123"/>
      <c r="Z103" s="123"/>
      <c r="AA103" s="124"/>
      <c r="AB103" s="124"/>
      <c r="AC103" s="125"/>
      <c r="AD103" s="125"/>
      <c r="AE103" s="125"/>
      <c r="AF103" s="125"/>
      <c r="AG103" s="125"/>
    </row>
    <row r="104" spans="1:33" x14ac:dyDescent="0.2">
      <c r="A104" s="16">
        <v>4611</v>
      </c>
      <c r="B104" s="17">
        <f>VLOOKUP(A104,'[1]Nebris 11.27'!E:I,5,FALSE)</f>
        <v>592</v>
      </c>
      <c r="C104" s="4">
        <f>VLOOKUP(A104,'[1]Nebris 11.28.23'!$E:$I,5,FALSE)</f>
        <v>600</v>
      </c>
      <c r="D104" s="18">
        <f t="shared" si="10"/>
        <v>596</v>
      </c>
      <c r="E104" s="4">
        <v>2</v>
      </c>
      <c r="F104" s="4">
        <v>1</v>
      </c>
      <c r="G104" s="4">
        <v>5.7049458223745297E-2</v>
      </c>
      <c r="H104" s="4">
        <v>301</v>
      </c>
      <c r="I104" s="4" t="str">
        <f t="shared" si="11"/>
        <v xml:space="preserve">25% MDGS Constant </v>
      </c>
      <c r="W104" s="122"/>
      <c r="X104" s="123"/>
      <c r="Y104" s="123"/>
      <c r="Z104" s="123"/>
      <c r="AA104" s="124"/>
      <c r="AB104" s="124"/>
      <c r="AC104" s="125"/>
      <c r="AD104" s="125"/>
      <c r="AE104" s="125"/>
      <c r="AF104" s="125"/>
      <c r="AG104" s="125"/>
    </row>
    <row r="105" spans="1:33" x14ac:dyDescent="0.2">
      <c r="A105" s="16">
        <v>4389</v>
      </c>
      <c r="B105" s="17">
        <f>VLOOKUP(A105,'[1]Nebris 11.27'!E:I,5,FALSE)</f>
        <v>596</v>
      </c>
      <c r="C105" s="4">
        <f>VLOOKUP(A105,'[1]Nebris 11.28.23'!$E:$I,5,FALSE)</f>
        <v>588</v>
      </c>
      <c r="D105" s="18">
        <f t="shared" si="10"/>
        <v>592</v>
      </c>
      <c r="E105" s="4">
        <v>2</v>
      </c>
      <c r="F105" s="4">
        <v>1</v>
      </c>
      <c r="G105" s="4">
        <v>0.14789000845133149</v>
      </c>
      <c r="H105" s="4">
        <v>302</v>
      </c>
      <c r="I105" s="4" t="str">
        <f t="shared" si="11"/>
        <v>25% MDGS Variable</v>
      </c>
      <c r="W105" s="122"/>
      <c r="X105" s="123"/>
      <c r="Y105" s="123"/>
      <c r="Z105" s="123"/>
      <c r="AA105" s="124"/>
      <c r="AB105" s="124"/>
      <c r="AC105" s="125"/>
      <c r="AD105" s="125"/>
      <c r="AE105" s="125"/>
      <c r="AF105" s="125"/>
      <c r="AG105" s="125"/>
    </row>
    <row r="106" spans="1:33" x14ac:dyDescent="0.2">
      <c r="A106" s="16">
        <v>4537</v>
      </c>
      <c r="B106" s="17">
        <f>VLOOKUP(A106,'[1]Nebris 11.27'!E:I,5,FALSE)</f>
        <v>592</v>
      </c>
      <c r="C106" s="4">
        <f>VLOOKUP(A106,'[1]Nebris 11.28.23'!$E:$I,5,FALSE)</f>
        <v>612</v>
      </c>
      <c r="D106" s="18">
        <f t="shared" si="10"/>
        <v>602</v>
      </c>
      <c r="E106" s="4">
        <v>2</v>
      </c>
      <c r="F106" s="4">
        <v>1</v>
      </c>
      <c r="G106" s="4">
        <v>0.18642295912438389</v>
      </c>
      <c r="H106" s="4">
        <v>303</v>
      </c>
      <c r="I106" s="4" t="str">
        <f t="shared" si="11"/>
        <v>Control</v>
      </c>
      <c r="W106" s="122"/>
      <c r="X106" s="123"/>
      <c r="Y106" s="123"/>
      <c r="Z106" s="123"/>
      <c r="AA106" s="124"/>
      <c r="AB106" s="124"/>
      <c r="AC106" s="125"/>
      <c r="AD106" s="125"/>
      <c r="AE106" s="125"/>
      <c r="AF106" s="125"/>
      <c r="AG106" s="125"/>
    </row>
    <row r="107" spans="1:33" x14ac:dyDescent="0.2">
      <c r="A107" s="16">
        <v>4394</v>
      </c>
      <c r="B107" s="17">
        <f>VLOOKUP(A107,'[1]Nebris 11.27'!E:I,5,FALSE)</f>
        <v>596</v>
      </c>
      <c r="C107" s="4">
        <f>VLOOKUP(A107,'[1]Nebris 11.28.23'!$E:$I,5,FALSE)</f>
        <v>604</v>
      </c>
      <c r="D107" s="18">
        <f t="shared" si="10"/>
        <v>600</v>
      </c>
      <c r="E107" s="4">
        <v>2</v>
      </c>
      <c r="F107" s="4">
        <v>1</v>
      </c>
      <c r="G107" s="4">
        <v>0.25662736240487349</v>
      </c>
      <c r="H107" s="4">
        <v>304</v>
      </c>
      <c r="I107" s="4" t="str">
        <f t="shared" si="11"/>
        <v>10% MDGS Variable</v>
      </c>
      <c r="W107" s="122"/>
      <c r="X107" s="123"/>
      <c r="Y107" s="123"/>
      <c r="Z107" s="123"/>
      <c r="AA107" s="124"/>
      <c r="AB107" s="124"/>
      <c r="AC107" s="125"/>
      <c r="AD107" s="125"/>
      <c r="AE107" s="125"/>
      <c r="AF107" s="125"/>
      <c r="AG107" s="125"/>
    </row>
    <row r="108" spans="1:33" x14ac:dyDescent="0.2">
      <c r="A108" s="16">
        <v>4612</v>
      </c>
      <c r="B108" s="17">
        <f>VLOOKUP(A108,'[1]Nebris 11.27'!E:I,5,FALSE)</f>
        <v>596</v>
      </c>
      <c r="C108" s="4">
        <f>VLOOKUP(A108,'[1]Nebris 11.28.23'!$E:$I,5,FALSE)</f>
        <v>586</v>
      </c>
      <c r="D108" s="18">
        <f t="shared" si="10"/>
        <v>591</v>
      </c>
      <c r="E108" s="4">
        <v>2</v>
      </c>
      <c r="F108" s="4">
        <v>1</v>
      </c>
      <c r="G108" s="4">
        <v>0.33997981867395999</v>
      </c>
      <c r="H108" s="4">
        <v>305</v>
      </c>
      <c r="I108" s="4" t="str">
        <f t="shared" si="11"/>
        <v xml:space="preserve">10% MDGS Constant </v>
      </c>
      <c r="W108" s="122"/>
      <c r="X108" s="123"/>
      <c r="Y108" s="123"/>
      <c r="Z108" s="123"/>
      <c r="AA108" s="124"/>
      <c r="AB108" s="124"/>
      <c r="AC108" s="125"/>
      <c r="AD108" s="125"/>
      <c r="AE108" s="125"/>
      <c r="AF108" s="125"/>
      <c r="AG108" s="125"/>
    </row>
    <row r="109" spans="1:33" x14ac:dyDescent="0.2">
      <c r="A109" s="16">
        <v>4496</v>
      </c>
      <c r="B109" s="17">
        <f>VLOOKUP(A109,'[1]Nebris 11.27'!E:I,5,FALSE)</f>
        <v>596</v>
      </c>
      <c r="C109" s="4">
        <f>VLOOKUP(A109,'[1]Nebris 11.28.23'!$E:$I,5,FALSE)</f>
        <v>592</v>
      </c>
      <c r="D109" s="18">
        <f t="shared" si="10"/>
        <v>594</v>
      </c>
      <c r="E109" s="4">
        <v>2</v>
      </c>
      <c r="F109" s="4">
        <v>1</v>
      </c>
      <c r="G109" s="4">
        <v>0.48181107045737648</v>
      </c>
      <c r="H109" s="4">
        <v>306</v>
      </c>
      <c r="I109" s="4" t="str">
        <f t="shared" si="11"/>
        <v>Control</v>
      </c>
      <c r="W109" s="122"/>
      <c r="X109" s="123"/>
      <c r="Y109" s="123"/>
      <c r="Z109" s="123"/>
      <c r="AA109" s="124"/>
      <c r="AB109" s="124"/>
      <c r="AC109" s="125"/>
      <c r="AD109" s="125"/>
      <c r="AE109" s="125"/>
      <c r="AF109" s="125"/>
      <c r="AG109" s="125"/>
    </row>
    <row r="110" spans="1:33" x14ac:dyDescent="0.2">
      <c r="A110" s="16">
        <v>4628</v>
      </c>
      <c r="B110" s="17">
        <f>VLOOKUP(A110,'[1]Nebris 11.27'!E:I,5,FALSE)</f>
        <v>592</v>
      </c>
      <c r="C110" s="4">
        <f>VLOOKUP(A110,'[1]Nebris 11.28.23'!$E:$I,5,FALSE)</f>
        <v>568</v>
      </c>
      <c r="D110" s="18">
        <f t="shared" si="10"/>
        <v>580</v>
      </c>
      <c r="E110" s="4">
        <v>2</v>
      </c>
      <c r="F110" s="4">
        <v>1</v>
      </c>
      <c r="G110" s="4">
        <v>0.48818416913634477</v>
      </c>
      <c r="H110" s="4">
        <v>307</v>
      </c>
      <c r="I110" s="4" t="str">
        <f t="shared" si="11"/>
        <v>25% MDGS Variable</v>
      </c>
      <c r="W110" s="122"/>
      <c r="X110" s="123"/>
      <c r="Y110" s="123"/>
      <c r="Z110" s="123"/>
      <c r="AA110" s="124"/>
      <c r="AB110" s="124"/>
      <c r="AC110" s="125"/>
      <c r="AD110" s="125"/>
      <c r="AE110" s="125"/>
      <c r="AF110" s="125"/>
      <c r="AG110" s="125"/>
    </row>
    <row r="111" spans="1:33" x14ac:dyDescent="0.2">
      <c r="A111" s="16">
        <v>4600</v>
      </c>
      <c r="B111" s="17">
        <f>VLOOKUP(A111,'[1]Nebris 11.27'!E:I,5,FALSE)</f>
        <v>596</v>
      </c>
      <c r="C111" s="4">
        <f>VLOOKUP(A111,'[1]Nebris 11.28.23'!$E:$I,5,FALSE)</f>
        <v>592</v>
      </c>
      <c r="D111" s="18">
        <f t="shared" si="10"/>
        <v>594</v>
      </c>
      <c r="E111" s="4">
        <v>2</v>
      </c>
      <c r="F111" s="4">
        <v>1</v>
      </c>
      <c r="G111" s="4">
        <v>0.49179816181969338</v>
      </c>
      <c r="H111" s="4">
        <v>308</v>
      </c>
      <c r="I111" s="4" t="str">
        <f t="shared" si="11"/>
        <v xml:space="preserve">25% MDGS Constant </v>
      </c>
      <c r="W111" s="122"/>
      <c r="X111" s="123"/>
      <c r="Y111" s="123"/>
      <c r="Z111" s="123"/>
      <c r="AA111" s="124"/>
      <c r="AB111" s="124"/>
      <c r="AC111" s="125"/>
      <c r="AD111" s="125"/>
      <c r="AE111" s="125"/>
      <c r="AF111" s="125"/>
      <c r="AG111" s="125"/>
    </row>
    <row r="112" spans="1:33" x14ac:dyDescent="0.2">
      <c r="A112" s="16">
        <v>4696</v>
      </c>
      <c r="B112" s="17">
        <f>VLOOKUP(A112,'[1]Nebris 11.27'!E:I,5,FALSE)</f>
        <v>594</v>
      </c>
      <c r="C112" s="4">
        <f>VLOOKUP(A112,'[1]Nebris 11.28.23'!$E:$I,5,FALSE)</f>
        <v>588</v>
      </c>
      <c r="D112" s="18">
        <f t="shared" si="10"/>
        <v>591</v>
      </c>
      <c r="E112" s="4">
        <v>2</v>
      </c>
      <c r="F112" s="4">
        <v>1</v>
      </c>
      <c r="G112" s="4">
        <v>0.50595051791786005</v>
      </c>
      <c r="H112" s="4">
        <v>309</v>
      </c>
      <c r="I112" s="4" t="str">
        <f t="shared" si="11"/>
        <v>Control</v>
      </c>
      <c r="W112" s="122"/>
      <c r="X112" s="123"/>
      <c r="Y112" s="123"/>
      <c r="Z112" s="123"/>
      <c r="AA112" s="124"/>
      <c r="AB112" s="124"/>
      <c r="AC112" s="125"/>
      <c r="AD112" s="125"/>
      <c r="AE112" s="125"/>
      <c r="AF112" s="125"/>
      <c r="AG112" s="125"/>
    </row>
    <row r="113" spans="1:33" x14ac:dyDescent="0.2">
      <c r="A113" s="16">
        <v>4674</v>
      </c>
      <c r="B113" s="17">
        <f>VLOOKUP(A113,'[1]Nebris 11.27'!E:I,5,FALSE)</f>
        <v>592</v>
      </c>
      <c r="C113" s="4">
        <f>VLOOKUP(A113,'[1]Nebris 11.28.23'!$E:$I,5,FALSE)</f>
        <v>598</v>
      </c>
      <c r="D113" s="18">
        <f t="shared" si="10"/>
        <v>595</v>
      </c>
      <c r="E113" s="4">
        <v>2</v>
      </c>
      <c r="F113" s="4">
        <v>1</v>
      </c>
      <c r="G113" s="4">
        <v>0.62764015654280703</v>
      </c>
      <c r="H113" s="4">
        <v>310</v>
      </c>
      <c r="I113" s="4" t="str">
        <f t="shared" si="11"/>
        <v>10% MDGS Variable</v>
      </c>
      <c r="W113" s="122"/>
      <c r="X113" s="123"/>
      <c r="Y113" s="123"/>
      <c r="Z113" s="123"/>
      <c r="AA113" s="124"/>
      <c r="AB113" s="124"/>
      <c r="AC113" s="125"/>
      <c r="AD113" s="125"/>
      <c r="AE113" s="125"/>
      <c r="AF113" s="125"/>
      <c r="AG113" s="125"/>
    </row>
    <row r="114" spans="1:33" x14ac:dyDescent="0.2">
      <c r="A114" s="16">
        <v>4752</v>
      </c>
      <c r="B114" s="17">
        <f>VLOOKUP(A114,'[1]Nebris 11.27'!E:I,5,FALSE)</f>
        <v>596</v>
      </c>
      <c r="C114" s="4">
        <f>VLOOKUP(A114,'[1]Nebris 11.28.23'!$E:$I,5,FALSE)</f>
        <v>606</v>
      </c>
      <c r="D114" s="18">
        <f t="shared" si="10"/>
        <v>601</v>
      </c>
      <c r="E114" s="4">
        <v>2</v>
      </c>
      <c r="F114" s="4">
        <v>1</v>
      </c>
      <c r="G114" s="4">
        <v>0.74214541651445576</v>
      </c>
      <c r="H114" s="4">
        <v>311</v>
      </c>
      <c r="I114" s="4" t="str">
        <f t="shared" si="11"/>
        <v xml:space="preserve">10% MDGS Constant </v>
      </c>
      <c r="W114" s="122"/>
      <c r="X114" s="123"/>
      <c r="Y114" s="123"/>
      <c r="Z114" s="123"/>
      <c r="AA114" s="124"/>
      <c r="AB114" s="124"/>
      <c r="AC114" s="125"/>
      <c r="AD114" s="125"/>
      <c r="AE114" s="125"/>
      <c r="AF114" s="125"/>
      <c r="AG114" s="125"/>
    </row>
    <row r="115" spans="1:33" x14ac:dyDescent="0.2">
      <c r="A115" s="16">
        <v>4408</v>
      </c>
      <c r="B115" s="17">
        <f>VLOOKUP(A115,'[1]Nebris 11.27'!E:I,5,FALSE)</f>
        <v>596</v>
      </c>
      <c r="C115" s="4">
        <f>VLOOKUP(A115,'[1]Nebris 11.28.23'!$E:$I,5,FALSE)</f>
        <v>596</v>
      </c>
      <c r="D115" s="18">
        <f t="shared" si="10"/>
        <v>596</v>
      </c>
      <c r="E115" s="4">
        <v>2</v>
      </c>
      <c r="F115" s="4">
        <v>1</v>
      </c>
      <c r="G115" s="4">
        <v>0.76936951566099665</v>
      </c>
      <c r="H115" s="4">
        <v>312</v>
      </c>
      <c r="I115" s="4" t="str">
        <f t="shared" si="11"/>
        <v xml:space="preserve">25% MDGS Constant </v>
      </c>
      <c r="W115" s="122"/>
      <c r="X115" s="123"/>
      <c r="Y115" s="123"/>
      <c r="Z115" s="123"/>
      <c r="AA115" s="124"/>
      <c r="AB115" s="124"/>
      <c r="AC115" s="125"/>
      <c r="AD115" s="125"/>
      <c r="AE115" s="125"/>
      <c r="AF115" s="125"/>
      <c r="AG115" s="125"/>
    </row>
    <row r="116" spans="1:33" x14ac:dyDescent="0.2">
      <c r="A116" s="16">
        <v>4329</v>
      </c>
      <c r="B116" s="17">
        <f>VLOOKUP(A116,'[1]Nebris 11.27'!E:I,5,FALSE)</f>
        <v>596</v>
      </c>
      <c r="C116" s="4">
        <f>VLOOKUP(A116,'[1]Nebris 11.28.23'!$E:$I,5,FALSE)</f>
        <v>598</v>
      </c>
      <c r="D116" s="18">
        <f t="shared" si="10"/>
        <v>597</v>
      </c>
      <c r="E116" s="4">
        <v>2</v>
      </c>
      <c r="F116" s="4">
        <v>1</v>
      </c>
      <c r="G116" s="4">
        <v>0.77103182326793918</v>
      </c>
      <c r="H116" s="4">
        <v>313</v>
      </c>
      <c r="I116" s="4" t="str">
        <f t="shared" si="11"/>
        <v>25% MDGS Variable</v>
      </c>
      <c r="W116" s="122"/>
      <c r="X116" s="123"/>
      <c r="Y116" s="123"/>
      <c r="Z116" s="123"/>
      <c r="AA116" s="124"/>
      <c r="AB116" s="124"/>
      <c r="AC116" s="125"/>
      <c r="AD116" s="125"/>
      <c r="AE116" s="125"/>
      <c r="AF116" s="125"/>
      <c r="AG116" s="125"/>
    </row>
    <row r="117" spans="1:33" x14ac:dyDescent="0.2">
      <c r="A117" s="16">
        <v>4439</v>
      </c>
      <c r="B117" s="17">
        <f>VLOOKUP(A117,'[1]Nebris 11.27'!E:I,5,FALSE)</f>
        <v>598</v>
      </c>
      <c r="C117" s="4">
        <f>VLOOKUP(A117,'[1]Nebris 11.28.23'!$E:$I,5,FALSE)</f>
        <v>614</v>
      </c>
      <c r="D117" s="18">
        <f t="shared" si="10"/>
        <v>606</v>
      </c>
      <c r="E117" s="4">
        <v>2</v>
      </c>
      <c r="F117" s="4">
        <v>1</v>
      </c>
      <c r="G117" s="4">
        <v>0.77599775073479937</v>
      </c>
      <c r="H117" s="4">
        <v>314</v>
      </c>
      <c r="I117" s="4" t="str">
        <f t="shared" si="11"/>
        <v>25% MDGS Variable</v>
      </c>
      <c r="W117" s="122"/>
      <c r="X117" s="123"/>
      <c r="Y117" s="123"/>
      <c r="Z117" s="123"/>
      <c r="AA117" s="124"/>
      <c r="AB117" s="124"/>
      <c r="AC117" s="125"/>
      <c r="AD117" s="125"/>
      <c r="AE117" s="125"/>
      <c r="AF117" s="125"/>
      <c r="AG117" s="125"/>
    </row>
    <row r="118" spans="1:33" x14ac:dyDescent="0.2">
      <c r="A118" s="16">
        <v>4634</v>
      </c>
      <c r="B118" s="17">
        <f>VLOOKUP(A118,'[1]Nebris 11.27'!E:I,5,FALSE)</f>
        <v>594</v>
      </c>
      <c r="C118" s="4">
        <f>VLOOKUP(A118,'[1]Nebris 11.28.23'!$E:$I,5,FALSE)</f>
        <v>596</v>
      </c>
      <c r="D118" s="18">
        <f t="shared" si="10"/>
        <v>595</v>
      </c>
      <c r="E118" s="4">
        <v>2</v>
      </c>
      <c r="F118" s="4">
        <v>1</v>
      </c>
      <c r="G118" s="4">
        <v>0.80618911787319347</v>
      </c>
      <c r="H118" s="4">
        <v>315</v>
      </c>
      <c r="I118" s="4" t="str">
        <f t="shared" si="11"/>
        <v xml:space="preserve">25% MDGS Constant </v>
      </c>
      <c r="W118" s="122"/>
      <c r="X118" s="123"/>
      <c r="Y118" s="123"/>
      <c r="Z118" s="123"/>
      <c r="AA118" s="124"/>
      <c r="AB118" s="124"/>
      <c r="AC118" s="125"/>
      <c r="AD118" s="125"/>
      <c r="AE118" s="125"/>
      <c r="AF118" s="125"/>
      <c r="AG118" s="125"/>
    </row>
    <row r="119" spans="1:33" x14ac:dyDescent="0.2">
      <c r="A119" s="16">
        <v>4690</v>
      </c>
      <c r="B119" s="17">
        <f>VLOOKUP(A119,'[1]Nebris 11.27'!E:I,5,FALSE)</f>
        <v>592</v>
      </c>
      <c r="C119" s="4">
        <f>VLOOKUP(A119,'[1]Nebris 11.28.23'!$E:$I,5,FALSE)</f>
        <v>604</v>
      </c>
      <c r="D119" s="18">
        <f t="shared" si="10"/>
        <v>598</v>
      </c>
      <c r="E119" s="4">
        <v>2</v>
      </c>
      <c r="F119" s="4">
        <v>1</v>
      </c>
      <c r="G119" s="4">
        <v>0.81896100288473794</v>
      </c>
      <c r="H119" s="4">
        <v>316</v>
      </c>
      <c r="I119" s="4" t="str">
        <f t="shared" si="11"/>
        <v xml:space="preserve">10% MDGS Constant </v>
      </c>
      <c r="W119" s="122"/>
      <c r="X119" s="123"/>
      <c r="Y119" s="123"/>
      <c r="Z119" s="123"/>
      <c r="AA119" s="124"/>
      <c r="AB119" s="124"/>
      <c r="AC119" s="125"/>
      <c r="AD119" s="125"/>
      <c r="AE119" s="125"/>
      <c r="AF119" s="125"/>
      <c r="AG119" s="125"/>
    </row>
    <row r="120" spans="1:33" x14ac:dyDescent="0.2">
      <c r="A120" s="16">
        <v>4467</v>
      </c>
      <c r="B120" s="17">
        <f>VLOOKUP(A120,'[1]Nebris 11.27'!E:I,5,FALSE)</f>
        <v>596</v>
      </c>
      <c r="C120" s="4">
        <f>VLOOKUP(A120,'[1]Nebris 11.28.23'!$E:$I,5,FALSE)</f>
        <v>606</v>
      </c>
      <c r="D120" s="18">
        <f t="shared" si="10"/>
        <v>601</v>
      </c>
      <c r="E120" s="4">
        <v>2</v>
      </c>
      <c r="F120" s="4">
        <v>1</v>
      </c>
      <c r="G120" s="4">
        <v>0.87251119098919461</v>
      </c>
      <c r="H120" s="4">
        <v>317</v>
      </c>
      <c r="I120" s="4" t="str">
        <f t="shared" si="11"/>
        <v>Control</v>
      </c>
      <c r="W120" s="122"/>
      <c r="X120" s="123"/>
      <c r="Y120" s="123"/>
      <c r="Z120" s="123"/>
      <c r="AA120" s="124"/>
      <c r="AB120" s="124"/>
      <c r="AC120" s="125"/>
      <c r="AD120" s="125"/>
      <c r="AE120" s="125"/>
      <c r="AF120" s="125"/>
      <c r="AG120" s="125"/>
    </row>
    <row r="121" spans="1:33" x14ac:dyDescent="0.2">
      <c r="A121" s="16">
        <v>4479</v>
      </c>
      <c r="B121" s="17">
        <f>VLOOKUP(A121,'[1]Nebris 11.27'!E:I,5,FALSE)</f>
        <v>592</v>
      </c>
      <c r="C121" s="4">
        <f>VLOOKUP(A121,'[1]Nebris 11.28.23'!$E:$I,5,FALSE)</f>
        <v>600</v>
      </c>
      <c r="D121" s="18">
        <f t="shared" si="10"/>
        <v>596</v>
      </c>
      <c r="E121" s="4">
        <v>2</v>
      </c>
      <c r="F121" s="4">
        <v>1</v>
      </c>
      <c r="G121" s="4">
        <v>0.97228927987614155</v>
      </c>
      <c r="H121" s="4">
        <v>318</v>
      </c>
      <c r="I121" s="4" t="str">
        <f t="shared" si="11"/>
        <v>10% MDGS Variable</v>
      </c>
      <c r="W121" s="122"/>
      <c r="X121" s="123"/>
      <c r="Y121" s="123"/>
      <c r="Z121" s="123"/>
      <c r="AA121" s="124"/>
      <c r="AB121" s="124"/>
      <c r="AC121" s="125"/>
      <c r="AD121" s="125"/>
      <c r="AE121" s="125"/>
      <c r="AF121" s="125"/>
      <c r="AG121" s="125"/>
    </row>
    <row r="122" spans="1:33" x14ac:dyDescent="0.2">
      <c r="A122" s="16">
        <v>4727</v>
      </c>
      <c r="B122" s="17">
        <f>VLOOKUP(A122,'[1]Nebris 11.27'!E:I,5,FALSE)</f>
        <v>602</v>
      </c>
      <c r="C122" s="4">
        <f>VLOOKUP(A122,'[1]Nebris 11.28.23'!$E:$I,5,FALSE)</f>
        <v>614</v>
      </c>
      <c r="D122" s="18">
        <f t="shared" si="10"/>
        <v>608</v>
      </c>
      <c r="E122" s="4">
        <v>2</v>
      </c>
      <c r="F122" s="4">
        <v>2</v>
      </c>
      <c r="G122" s="4">
        <v>9.3112066745773103E-2</v>
      </c>
      <c r="H122" s="4">
        <v>215</v>
      </c>
      <c r="I122" s="4" t="str">
        <f t="shared" si="11"/>
        <v>10% MDGS Variable</v>
      </c>
      <c r="W122" s="122"/>
      <c r="X122" s="123"/>
      <c r="Y122" s="123"/>
      <c r="Z122" s="123"/>
      <c r="AA122" s="124"/>
      <c r="AB122" s="124"/>
      <c r="AC122" s="125"/>
      <c r="AD122" s="125"/>
      <c r="AE122" s="125"/>
      <c r="AF122" s="125"/>
      <c r="AG122" s="125"/>
    </row>
    <row r="123" spans="1:33" x14ac:dyDescent="0.2">
      <c r="A123" s="16">
        <v>4524</v>
      </c>
      <c r="B123" s="17">
        <f>VLOOKUP(A123,'[1]Nebris 11.27'!E:I,5,FALSE)</f>
        <v>602</v>
      </c>
      <c r="C123" s="4">
        <f>VLOOKUP(A123,'[1]Nebris 11.28.23'!$E:$I,5,FALSE)</f>
        <v>600</v>
      </c>
      <c r="D123" s="18">
        <f t="shared" si="10"/>
        <v>601</v>
      </c>
      <c r="E123" s="4">
        <v>2</v>
      </c>
      <c r="F123" s="4">
        <v>2</v>
      </c>
      <c r="G123" s="4">
        <v>0.13815616028413791</v>
      </c>
      <c r="H123" s="4">
        <v>216</v>
      </c>
      <c r="I123" s="4" t="str">
        <f t="shared" si="11"/>
        <v xml:space="preserve">10% MDGS Constant </v>
      </c>
      <c r="W123" s="122"/>
      <c r="X123" s="123"/>
      <c r="Y123" s="123"/>
      <c r="Z123" s="123"/>
      <c r="AA123" s="124"/>
      <c r="AB123" s="124"/>
      <c r="AC123" s="125"/>
      <c r="AD123" s="125"/>
      <c r="AE123" s="125"/>
      <c r="AF123" s="125"/>
      <c r="AG123" s="125"/>
    </row>
    <row r="124" spans="1:33" x14ac:dyDescent="0.2">
      <c r="A124" s="16">
        <v>4614</v>
      </c>
      <c r="B124" s="17">
        <f>VLOOKUP(A124,'[1]Nebris 11.27'!E:I,5,FALSE)</f>
        <v>602</v>
      </c>
      <c r="C124" s="4">
        <f>VLOOKUP(A124,'[1]Nebris 11.28.23'!$E:$I,5,FALSE)</f>
        <v>602</v>
      </c>
      <c r="D124" s="18">
        <f t="shared" si="10"/>
        <v>602</v>
      </c>
      <c r="E124" s="4">
        <v>2</v>
      </c>
      <c r="F124" s="4">
        <v>2</v>
      </c>
      <c r="G124" s="4">
        <v>0.14155921281742978</v>
      </c>
      <c r="H124" s="4">
        <v>301</v>
      </c>
      <c r="I124" s="4" t="str">
        <f t="shared" si="11"/>
        <v xml:space="preserve">25% MDGS Constant </v>
      </c>
      <c r="W124" s="122"/>
      <c r="X124" s="123"/>
      <c r="Y124" s="123"/>
      <c r="Z124" s="123"/>
      <c r="AA124" s="124"/>
      <c r="AB124" s="124"/>
      <c r="AC124" s="125"/>
      <c r="AD124" s="125"/>
      <c r="AE124" s="125"/>
      <c r="AF124" s="125"/>
      <c r="AG124" s="125"/>
    </row>
    <row r="125" spans="1:33" x14ac:dyDescent="0.2">
      <c r="A125" s="16">
        <v>4446</v>
      </c>
      <c r="B125" s="17">
        <f>VLOOKUP(A125,'[1]Nebris 11.27'!E:I,5,FALSE)</f>
        <v>602</v>
      </c>
      <c r="C125" s="4">
        <f>VLOOKUP(A125,'[1]Nebris 11.28.23'!$E:$I,5,FALSE)</f>
        <v>626</v>
      </c>
      <c r="D125" s="18">
        <f t="shared" si="10"/>
        <v>614</v>
      </c>
      <c r="E125" s="4">
        <v>2</v>
      </c>
      <c r="F125" s="4">
        <v>2</v>
      </c>
      <c r="G125" s="4">
        <v>0.14264104422510882</v>
      </c>
      <c r="H125" s="4">
        <v>302</v>
      </c>
      <c r="I125" s="4" t="str">
        <f t="shared" si="11"/>
        <v>25% MDGS Variable</v>
      </c>
      <c r="W125" s="122"/>
      <c r="X125" s="123"/>
      <c r="Y125" s="123"/>
      <c r="Z125" s="123"/>
      <c r="AA125" s="124"/>
      <c r="AB125" s="124"/>
      <c r="AC125" s="125"/>
      <c r="AD125" s="125"/>
      <c r="AE125" s="125"/>
      <c r="AF125" s="125"/>
      <c r="AG125" s="125"/>
    </row>
    <row r="126" spans="1:33" x14ac:dyDescent="0.2">
      <c r="A126" s="16">
        <v>4718</v>
      </c>
      <c r="B126" s="17">
        <f>VLOOKUP(A126,'[1]Nebris 11.27'!E:I,5,FALSE)</f>
        <v>598</v>
      </c>
      <c r="C126" s="4">
        <f>VLOOKUP(A126,'[1]Nebris 11.28.23'!$E:$I,5,FALSE)</f>
        <v>598</v>
      </c>
      <c r="D126" s="18">
        <f t="shared" si="10"/>
        <v>598</v>
      </c>
      <c r="E126" s="4">
        <v>2</v>
      </c>
      <c r="F126" s="4">
        <v>2</v>
      </c>
      <c r="G126" s="4">
        <v>0.14938604490814034</v>
      </c>
      <c r="H126" s="4">
        <v>303</v>
      </c>
      <c r="I126" s="4" t="str">
        <f t="shared" si="11"/>
        <v>Control</v>
      </c>
      <c r="W126" s="122"/>
      <c r="X126" s="123"/>
      <c r="Y126" s="123"/>
      <c r="Z126" s="123"/>
      <c r="AA126" s="124"/>
      <c r="AB126" s="124"/>
      <c r="AC126" s="125"/>
      <c r="AD126" s="125"/>
      <c r="AE126" s="125"/>
      <c r="AF126" s="125"/>
      <c r="AG126" s="125"/>
    </row>
    <row r="127" spans="1:33" x14ac:dyDescent="0.2">
      <c r="A127" s="16">
        <v>4404</v>
      </c>
      <c r="B127" s="17">
        <f>VLOOKUP(A127,'[1]Nebris 11.27'!E:I,5,FALSE)</f>
        <v>602</v>
      </c>
      <c r="C127" s="4">
        <f>VLOOKUP(A127,'[1]Nebris 11.28.23'!$E:$I,5,FALSE)</f>
        <v>606</v>
      </c>
      <c r="D127" s="18">
        <f t="shared" si="10"/>
        <v>604</v>
      </c>
      <c r="E127" s="4">
        <v>2</v>
      </c>
      <c r="F127" s="4">
        <v>2</v>
      </c>
      <c r="G127" s="4">
        <v>0.21996919860187591</v>
      </c>
      <c r="H127" s="4">
        <v>304</v>
      </c>
      <c r="I127" s="4" t="str">
        <f t="shared" si="11"/>
        <v>10% MDGS Variable</v>
      </c>
      <c r="W127" s="122"/>
      <c r="X127" s="123"/>
      <c r="Y127" s="123"/>
      <c r="Z127" s="123"/>
      <c r="AA127" s="124"/>
      <c r="AB127" s="124"/>
      <c r="AC127" s="125"/>
      <c r="AD127" s="125"/>
      <c r="AE127" s="125"/>
      <c r="AF127" s="125"/>
      <c r="AG127" s="125"/>
    </row>
    <row r="128" spans="1:33" x14ac:dyDescent="0.2">
      <c r="A128" s="16">
        <v>4428</v>
      </c>
      <c r="B128" s="17">
        <f>VLOOKUP(A128,'[1]Nebris 11.27'!E:I,5,FALSE)</f>
        <v>606</v>
      </c>
      <c r="C128" s="4">
        <f>VLOOKUP(A128,'[1]Nebris 11.28.23'!$E:$I,5,FALSE)</f>
        <v>604</v>
      </c>
      <c r="D128" s="18">
        <f t="shared" si="10"/>
        <v>605</v>
      </c>
      <c r="E128" s="4">
        <v>2</v>
      </c>
      <c r="F128" s="4">
        <v>2</v>
      </c>
      <c r="G128" s="4">
        <v>0.24474136903889254</v>
      </c>
      <c r="H128" s="4">
        <v>305</v>
      </c>
      <c r="I128" s="4" t="str">
        <f t="shared" si="11"/>
        <v xml:space="preserve">10% MDGS Constant </v>
      </c>
      <c r="W128" s="122"/>
      <c r="X128" s="123"/>
      <c r="Y128" s="123"/>
      <c r="Z128" s="123"/>
      <c r="AA128" s="124"/>
      <c r="AB128" s="124"/>
      <c r="AC128" s="125"/>
      <c r="AD128" s="125"/>
      <c r="AE128" s="125"/>
      <c r="AF128" s="125"/>
      <c r="AG128" s="125"/>
    </row>
    <row r="129" spans="1:33" x14ac:dyDescent="0.2">
      <c r="A129" s="16">
        <v>4473</v>
      </c>
      <c r="B129" s="17">
        <f>VLOOKUP(A129,'[1]Nebris 11.27'!E:I,5,FALSE)</f>
        <v>602</v>
      </c>
      <c r="C129" s="4">
        <f>VLOOKUP(A129,'[1]Nebris 11.28.23'!$E:$I,5,FALSE)</f>
        <v>602</v>
      </c>
      <c r="D129" s="18">
        <f t="shared" si="10"/>
        <v>602</v>
      </c>
      <c r="E129" s="4">
        <v>2</v>
      </c>
      <c r="F129" s="4">
        <v>2</v>
      </c>
      <c r="G129" s="4">
        <v>0.29437802963269888</v>
      </c>
      <c r="H129" s="4">
        <v>306</v>
      </c>
      <c r="I129" s="4" t="str">
        <f t="shared" si="11"/>
        <v>Control</v>
      </c>
      <c r="W129" s="122"/>
      <c r="X129" s="123"/>
      <c r="Y129" s="123"/>
      <c r="Z129" s="123"/>
      <c r="AA129" s="124"/>
      <c r="AB129" s="124"/>
      <c r="AC129" s="125"/>
      <c r="AD129" s="125"/>
      <c r="AE129" s="125"/>
      <c r="AF129" s="125"/>
      <c r="AG129" s="125"/>
    </row>
    <row r="130" spans="1:33" x14ac:dyDescent="0.2">
      <c r="A130" s="16">
        <v>4636</v>
      </c>
      <c r="B130" s="17">
        <f>VLOOKUP(A130,'[1]Nebris 11.27'!E:I,5,FALSE)</f>
        <v>604</v>
      </c>
      <c r="C130" s="4">
        <f>VLOOKUP(A130,'[1]Nebris 11.28.23'!$E:$I,5,FALSE)</f>
        <v>598</v>
      </c>
      <c r="D130" s="18">
        <f t="shared" si="10"/>
        <v>601</v>
      </c>
      <c r="E130" s="4">
        <v>2</v>
      </c>
      <c r="F130" s="4">
        <v>2</v>
      </c>
      <c r="G130" s="4">
        <v>0.42589943864821633</v>
      </c>
      <c r="H130" s="4">
        <v>307</v>
      </c>
      <c r="I130" s="4" t="str">
        <f t="shared" si="11"/>
        <v>25% MDGS Variable</v>
      </c>
      <c r="W130" s="122"/>
      <c r="X130" s="123"/>
      <c r="Y130" s="123"/>
      <c r="Z130" s="123"/>
      <c r="AA130" s="124"/>
      <c r="AB130" s="124"/>
      <c r="AC130" s="125"/>
      <c r="AD130" s="125"/>
      <c r="AE130" s="125"/>
      <c r="AF130" s="125"/>
      <c r="AG130" s="125"/>
    </row>
    <row r="131" spans="1:33" x14ac:dyDescent="0.2">
      <c r="A131" s="16">
        <v>4356</v>
      </c>
      <c r="B131" s="17">
        <f>VLOOKUP(A131,'[1]Nebris 11.27'!E:I,5,FALSE)</f>
        <v>600</v>
      </c>
      <c r="C131" s="4">
        <f>VLOOKUP(A131,'[1]Nebris 11.28.23'!$E:$I,5,FALSE)</f>
        <v>598</v>
      </c>
      <c r="D131" s="18">
        <f t="shared" ref="D131:D194" si="12">AVERAGE(B131:C131)</f>
        <v>599</v>
      </c>
      <c r="E131" s="4">
        <v>2</v>
      </c>
      <c r="F131" s="4">
        <v>2</v>
      </c>
      <c r="G131" s="4">
        <v>0.50895191126004813</v>
      </c>
      <c r="H131" s="4">
        <v>308</v>
      </c>
      <c r="I131" s="4" t="str">
        <f t="shared" ref="I131:I194" si="13">VLOOKUP(H131,$Q$2:$U$57,5,FALSE)</f>
        <v xml:space="preserve">25% MDGS Constant </v>
      </c>
      <c r="W131" s="122"/>
      <c r="X131" s="123"/>
      <c r="Y131" s="123"/>
      <c r="Z131" s="123"/>
      <c r="AA131" s="124"/>
      <c r="AB131" s="124"/>
      <c r="AC131" s="125"/>
      <c r="AD131" s="125"/>
      <c r="AE131" s="125"/>
      <c r="AF131" s="125"/>
      <c r="AG131" s="125"/>
    </row>
    <row r="132" spans="1:33" x14ac:dyDescent="0.2">
      <c r="A132" s="16">
        <v>4668</v>
      </c>
      <c r="B132" s="17">
        <f>VLOOKUP(A132,'[1]Nebris 11.27'!E:I,5,FALSE)</f>
        <v>604</v>
      </c>
      <c r="C132" s="4">
        <f>VLOOKUP(A132,'[1]Nebris 11.28.23'!$E:$I,5,FALSE)</f>
        <v>592</v>
      </c>
      <c r="D132" s="18">
        <f t="shared" si="12"/>
        <v>598</v>
      </c>
      <c r="E132" s="4">
        <v>2</v>
      </c>
      <c r="F132" s="4">
        <v>2</v>
      </c>
      <c r="G132" s="4">
        <v>0.55655502798720036</v>
      </c>
      <c r="H132" s="4">
        <v>309</v>
      </c>
      <c r="I132" s="4" t="str">
        <f t="shared" si="13"/>
        <v>Control</v>
      </c>
      <c r="W132" s="122"/>
      <c r="X132" s="123"/>
      <c r="Y132" s="123"/>
      <c r="Z132" s="123"/>
      <c r="AA132" s="124"/>
      <c r="AB132" s="124"/>
      <c r="AC132" s="125"/>
      <c r="AD132" s="125"/>
      <c r="AE132" s="125"/>
      <c r="AF132" s="125"/>
      <c r="AG132" s="125"/>
    </row>
    <row r="133" spans="1:33" x14ac:dyDescent="0.2">
      <c r="A133" s="16">
        <v>4347</v>
      </c>
      <c r="B133" s="17">
        <f>VLOOKUP(A133,'[1]Nebris 11.27'!E:I,5,FALSE)</f>
        <v>602</v>
      </c>
      <c r="C133" s="4">
        <f>VLOOKUP(A133,'[1]Nebris 11.28.23'!$E:$I,5,FALSE)</f>
        <v>602</v>
      </c>
      <c r="D133" s="18">
        <f t="shared" si="12"/>
        <v>602</v>
      </c>
      <c r="E133" s="4">
        <v>2</v>
      </c>
      <c r="F133" s="4">
        <v>2</v>
      </c>
      <c r="G133" s="4">
        <v>0.56434096875360173</v>
      </c>
      <c r="H133" s="4">
        <v>310</v>
      </c>
      <c r="I133" s="4" t="str">
        <f t="shared" si="13"/>
        <v>10% MDGS Variable</v>
      </c>
      <c r="W133" s="122"/>
      <c r="X133" s="123"/>
      <c r="Y133" s="123"/>
      <c r="Z133" s="123"/>
      <c r="AA133" s="124"/>
      <c r="AB133" s="124"/>
      <c r="AC133" s="125"/>
      <c r="AD133" s="125"/>
      <c r="AE133" s="125"/>
      <c r="AF133" s="125"/>
      <c r="AG133" s="125"/>
    </row>
    <row r="134" spans="1:33" x14ac:dyDescent="0.2">
      <c r="A134" s="16">
        <v>4701</v>
      </c>
      <c r="B134" s="17">
        <f>VLOOKUP(A134,'[1]Nebris 11.27'!E:I,5,FALSE)</f>
        <v>598</v>
      </c>
      <c r="C134" s="4">
        <f>VLOOKUP(A134,'[1]Nebris 11.28.23'!$E:$I,5,FALSE)</f>
        <v>650</v>
      </c>
      <c r="D134" s="18">
        <f t="shared" si="12"/>
        <v>624</v>
      </c>
      <c r="E134" s="4">
        <v>2</v>
      </c>
      <c r="F134" s="4">
        <v>2</v>
      </c>
      <c r="G134" s="4">
        <v>0.59068154592614552</v>
      </c>
      <c r="H134" s="4">
        <v>311</v>
      </c>
      <c r="I134" s="4" t="str">
        <f t="shared" si="13"/>
        <v xml:space="preserve">10% MDGS Constant </v>
      </c>
      <c r="W134" s="122"/>
      <c r="X134" s="123"/>
      <c r="Y134" s="123"/>
      <c r="Z134" s="123"/>
      <c r="AA134" s="124"/>
      <c r="AB134" s="124"/>
      <c r="AC134" s="125"/>
      <c r="AD134" s="125"/>
      <c r="AE134" s="125"/>
      <c r="AF134" s="125"/>
      <c r="AG134" s="125"/>
    </row>
    <row r="135" spans="1:33" x14ac:dyDescent="0.2">
      <c r="A135" s="16">
        <v>4714</v>
      </c>
      <c r="B135" s="17">
        <f>VLOOKUP(A135,'[1]Nebris 11.27'!E:I,5,FALSE)</f>
        <v>604</v>
      </c>
      <c r="C135" s="4">
        <f>VLOOKUP(A135,'[1]Nebris 11.28.23'!$E:$I,5,FALSE)</f>
        <v>630</v>
      </c>
      <c r="D135" s="18">
        <f t="shared" si="12"/>
        <v>617</v>
      </c>
      <c r="E135" s="4">
        <v>2</v>
      </c>
      <c r="F135" s="4">
        <v>2</v>
      </c>
      <c r="G135" s="4">
        <v>0.59328773748427588</v>
      </c>
      <c r="H135" s="4">
        <v>312</v>
      </c>
      <c r="I135" s="4" t="str">
        <f t="shared" si="13"/>
        <v xml:space="preserve">25% MDGS Constant </v>
      </c>
      <c r="W135" s="122"/>
      <c r="X135" s="123"/>
      <c r="Y135" s="123"/>
      <c r="Z135" s="123"/>
      <c r="AA135" s="124"/>
      <c r="AB135" s="124"/>
      <c r="AC135" s="125"/>
      <c r="AD135" s="125"/>
      <c r="AE135" s="125"/>
      <c r="AF135" s="125"/>
      <c r="AG135" s="125"/>
    </row>
    <row r="136" spans="1:33" x14ac:dyDescent="0.2">
      <c r="A136" s="16">
        <v>4477</v>
      </c>
      <c r="B136" s="17">
        <f>VLOOKUP(A136,'[1]Nebris 11.27'!E:I,5,FALSE)</f>
        <v>606</v>
      </c>
      <c r="C136" s="4">
        <f>VLOOKUP(A136,'[1]Nebris 11.28.23'!$E:$I,5,FALSE)</f>
        <v>614</v>
      </c>
      <c r="D136" s="18">
        <f t="shared" si="12"/>
        <v>610</v>
      </c>
      <c r="E136" s="4">
        <v>2</v>
      </c>
      <c r="F136" s="4">
        <v>2</v>
      </c>
      <c r="G136" s="4">
        <v>0.71093771533920913</v>
      </c>
      <c r="H136" s="4">
        <v>313</v>
      </c>
      <c r="I136" s="4" t="str">
        <f t="shared" si="13"/>
        <v>25% MDGS Variable</v>
      </c>
      <c r="W136" s="122"/>
      <c r="X136" s="123"/>
      <c r="Y136" s="123"/>
      <c r="Z136" s="123"/>
      <c r="AA136" s="124"/>
      <c r="AB136" s="124"/>
      <c r="AC136" s="125"/>
      <c r="AD136" s="125"/>
      <c r="AE136" s="125"/>
      <c r="AF136" s="125"/>
      <c r="AG136" s="125"/>
    </row>
    <row r="137" spans="1:33" x14ac:dyDescent="0.2">
      <c r="A137" s="16">
        <v>4459</v>
      </c>
      <c r="B137" s="17">
        <f>VLOOKUP(A137,'[1]Nebris 11.27'!E:I,5,FALSE)</f>
        <v>606</v>
      </c>
      <c r="C137" s="4">
        <f>VLOOKUP(A137,'[1]Nebris 11.28.23'!$E:$I,5,FALSE)</f>
        <v>614</v>
      </c>
      <c r="D137" s="18">
        <f t="shared" si="12"/>
        <v>610</v>
      </c>
      <c r="E137" s="4">
        <v>2</v>
      </c>
      <c r="F137" s="4">
        <v>2</v>
      </c>
      <c r="G137" s="4">
        <v>0.71237204107635532</v>
      </c>
      <c r="H137" s="4">
        <v>314</v>
      </c>
      <c r="I137" s="4" t="str">
        <f t="shared" si="13"/>
        <v>25% MDGS Variable</v>
      </c>
      <c r="W137" s="122"/>
      <c r="X137" s="123"/>
      <c r="Y137" s="123"/>
      <c r="Z137" s="123"/>
      <c r="AA137" s="124"/>
      <c r="AB137" s="124"/>
      <c r="AC137" s="125"/>
      <c r="AD137" s="125"/>
      <c r="AE137" s="125"/>
      <c r="AF137" s="125"/>
      <c r="AG137" s="125"/>
    </row>
    <row r="138" spans="1:33" x14ac:dyDescent="0.2">
      <c r="A138" s="16">
        <v>4432</v>
      </c>
      <c r="B138" s="17">
        <f>VLOOKUP(A138,'[1]Nebris 11.27'!E:I,5,FALSE)</f>
        <v>604</v>
      </c>
      <c r="C138" s="4">
        <f>VLOOKUP(A138,'[1]Nebris 11.28.23'!$E:$I,5,FALSE)</f>
        <v>610</v>
      </c>
      <c r="D138" s="18">
        <f t="shared" si="12"/>
        <v>607</v>
      </c>
      <c r="E138" s="4">
        <v>2</v>
      </c>
      <c r="F138" s="4">
        <v>2</v>
      </c>
      <c r="G138" s="4">
        <v>0.79126431560618649</v>
      </c>
      <c r="H138" s="4">
        <v>315</v>
      </c>
      <c r="I138" s="4" t="str">
        <f t="shared" si="13"/>
        <v xml:space="preserve">25% MDGS Constant </v>
      </c>
      <c r="W138" s="122"/>
      <c r="X138" s="123"/>
      <c r="Y138" s="123"/>
      <c r="Z138" s="123"/>
      <c r="AA138" s="124"/>
      <c r="AB138" s="124"/>
      <c r="AC138" s="125"/>
      <c r="AD138" s="125"/>
      <c r="AE138" s="125"/>
      <c r="AF138" s="125"/>
      <c r="AG138" s="125"/>
    </row>
    <row r="139" spans="1:33" x14ac:dyDescent="0.2">
      <c r="A139" s="16">
        <v>4598</v>
      </c>
      <c r="B139" s="17">
        <f>VLOOKUP(A139,'[1]Nebris 11.27'!E:I,5,FALSE)</f>
        <v>602</v>
      </c>
      <c r="C139" s="4">
        <f>VLOOKUP(A139,'[1]Nebris 11.28.23'!$E:$I,5,FALSE)</f>
        <v>630</v>
      </c>
      <c r="D139" s="18">
        <f t="shared" si="12"/>
        <v>616</v>
      </c>
      <c r="E139" s="4">
        <v>2</v>
      </c>
      <c r="F139" s="4">
        <v>2</v>
      </c>
      <c r="G139" s="4">
        <v>0.83871095968746889</v>
      </c>
      <c r="H139" s="4">
        <v>316</v>
      </c>
      <c r="I139" s="4" t="str">
        <f t="shared" si="13"/>
        <v xml:space="preserve">10% MDGS Constant </v>
      </c>
      <c r="W139" s="122"/>
      <c r="X139" s="123"/>
      <c r="Y139" s="123"/>
      <c r="Z139" s="123"/>
      <c r="AA139" s="124"/>
      <c r="AB139" s="124"/>
      <c r="AC139" s="125"/>
      <c r="AD139" s="125"/>
      <c r="AE139" s="125"/>
      <c r="AF139" s="125"/>
      <c r="AG139" s="125"/>
    </row>
    <row r="140" spans="1:33" x14ac:dyDescent="0.2">
      <c r="A140" s="16">
        <v>4709</v>
      </c>
      <c r="B140" s="17">
        <f>VLOOKUP(A140,'[1]Nebris 11.27'!E:I,5,FALSE)</f>
        <v>600</v>
      </c>
      <c r="C140" s="4">
        <f>VLOOKUP(A140,'[1]Nebris 11.28.23'!$E:$I,5,FALSE)</f>
        <v>586</v>
      </c>
      <c r="D140" s="18">
        <f t="shared" si="12"/>
        <v>593</v>
      </c>
      <c r="E140" s="4">
        <v>2</v>
      </c>
      <c r="F140" s="4">
        <v>2</v>
      </c>
      <c r="G140" s="4">
        <v>0.86446508204237971</v>
      </c>
      <c r="H140" s="4">
        <v>317</v>
      </c>
      <c r="I140" s="4" t="str">
        <f t="shared" si="13"/>
        <v>Control</v>
      </c>
      <c r="W140" s="122"/>
      <c r="X140" s="123"/>
      <c r="Y140" s="123"/>
      <c r="Z140" s="123"/>
      <c r="AA140" s="124"/>
      <c r="AB140" s="124"/>
      <c r="AC140" s="125"/>
      <c r="AD140" s="125"/>
      <c r="AE140" s="125"/>
      <c r="AF140" s="125"/>
      <c r="AG140" s="125"/>
    </row>
    <row r="141" spans="1:33" x14ac:dyDescent="0.2">
      <c r="A141" s="16">
        <v>4334</v>
      </c>
      <c r="B141" s="17">
        <f>VLOOKUP(A141,'[1]Nebris 11.27'!E:I,5,FALSE)</f>
        <v>606</v>
      </c>
      <c r="C141" s="4">
        <f>VLOOKUP(A141,'[1]Nebris 11.28.23'!$E:$I,5,FALSE)</f>
        <v>610</v>
      </c>
      <c r="D141" s="18">
        <f t="shared" si="12"/>
        <v>608</v>
      </c>
      <c r="E141" s="4">
        <v>2</v>
      </c>
      <c r="F141" s="4">
        <v>2</v>
      </c>
      <c r="G141" s="4">
        <v>0.97020955983932244</v>
      </c>
      <c r="H141" s="4">
        <v>318</v>
      </c>
      <c r="I141" s="4" t="str">
        <f t="shared" si="13"/>
        <v>10% MDGS Variable</v>
      </c>
      <c r="W141" s="122"/>
      <c r="X141" s="123"/>
      <c r="Y141" s="123"/>
      <c r="Z141" s="123"/>
      <c r="AA141" s="124"/>
      <c r="AB141" s="124"/>
      <c r="AC141" s="125"/>
      <c r="AD141" s="125"/>
      <c r="AE141" s="125"/>
      <c r="AF141" s="125"/>
      <c r="AG141" s="125"/>
    </row>
    <row r="142" spans="1:33" x14ac:dyDescent="0.2">
      <c r="A142" s="16">
        <v>4761</v>
      </c>
      <c r="B142" s="17">
        <f>VLOOKUP(A142,'[1]Nebris 11.27'!E:I,5,FALSE)</f>
        <v>614</v>
      </c>
      <c r="C142" s="4">
        <f>VLOOKUP(A142,'[1]Nebris 11.28.23'!$E:$I,5,FALSE)</f>
        <v>620</v>
      </c>
      <c r="D142" s="18">
        <f t="shared" si="12"/>
        <v>617</v>
      </c>
      <c r="E142" s="4">
        <v>2</v>
      </c>
      <c r="F142" s="4">
        <v>3</v>
      </c>
      <c r="G142" s="4">
        <v>5.626567224079615E-4</v>
      </c>
      <c r="H142" s="4">
        <v>215</v>
      </c>
      <c r="I142" s="4" t="str">
        <f t="shared" si="13"/>
        <v>10% MDGS Variable</v>
      </c>
      <c r="W142" s="122"/>
      <c r="X142" s="123"/>
      <c r="Y142" s="123"/>
      <c r="Z142" s="123"/>
      <c r="AA142" s="124"/>
      <c r="AB142" s="124"/>
      <c r="AC142" s="125"/>
      <c r="AD142" s="125"/>
      <c r="AE142" s="125"/>
      <c r="AF142" s="125"/>
      <c r="AG142" s="125"/>
    </row>
    <row r="143" spans="1:33" x14ac:dyDescent="0.2">
      <c r="A143" s="16">
        <v>4586</v>
      </c>
      <c r="B143" s="17">
        <f>VLOOKUP(A143,'[1]Nebris 11.27'!E:I,5,FALSE)</f>
        <v>614</v>
      </c>
      <c r="C143" s="4">
        <f>VLOOKUP(A143,'[1]Nebris 11.28.23'!$E:$I,5,FALSE)</f>
        <v>614</v>
      </c>
      <c r="D143" s="18">
        <f t="shared" si="12"/>
        <v>614</v>
      </c>
      <c r="E143" s="4">
        <v>2</v>
      </c>
      <c r="F143" s="4">
        <v>3</v>
      </c>
      <c r="G143" s="4">
        <v>0.12270032414404819</v>
      </c>
      <c r="H143" s="4">
        <v>216</v>
      </c>
      <c r="I143" s="4" t="str">
        <f t="shared" si="13"/>
        <v xml:space="preserve">10% MDGS Constant </v>
      </c>
      <c r="W143" s="122"/>
      <c r="X143" s="123"/>
      <c r="Y143" s="123"/>
      <c r="Z143" s="123"/>
      <c r="AA143" s="124"/>
      <c r="AB143" s="124"/>
      <c r="AC143" s="125"/>
      <c r="AD143" s="125"/>
      <c r="AE143" s="125"/>
      <c r="AF143" s="125"/>
      <c r="AG143" s="125"/>
    </row>
    <row r="144" spans="1:33" x14ac:dyDescent="0.2">
      <c r="A144" s="16">
        <v>4464</v>
      </c>
      <c r="B144" s="17">
        <f>VLOOKUP(A144,'[1]Nebris 11.27'!E:I,5,FALSE)</f>
        <v>608</v>
      </c>
      <c r="C144" s="4">
        <f>VLOOKUP(A144,'[1]Nebris 11.28.23'!$E:$I,5,FALSE)</f>
        <v>606</v>
      </c>
      <c r="D144" s="18">
        <f t="shared" si="12"/>
        <v>607</v>
      </c>
      <c r="E144" s="4">
        <v>2</v>
      </c>
      <c r="F144" s="4">
        <v>3</v>
      </c>
      <c r="G144" s="4">
        <v>0.14355179343387114</v>
      </c>
      <c r="H144" s="4">
        <v>301</v>
      </c>
      <c r="I144" s="4" t="str">
        <f t="shared" si="13"/>
        <v xml:space="preserve">25% MDGS Constant </v>
      </c>
      <c r="W144" s="122"/>
      <c r="X144" s="123"/>
      <c r="Y144" s="123"/>
      <c r="Z144" s="123"/>
      <c r="AA144" s="124"/>
      <c r="AB144" s="124"/>
      <c r="AC144" s="125"/>
      <c r="AD144" s="125"/>
      <c r="AE144" s="125"/>
      <c r="AF144" s="125"/>
      <c r="AG144" s="125"/>
    </row>
    <row r="145" spans="1:33" x14ac:dyDescent="0.2">
      <c r="A145" s="16">
        <v>4610</v>
      </c>
      <c r="B145" s="17">
        <f>VLOOKUP(A145,'[1]Nebris 11.27'!E:I,5,FALSE)</f>
        <v>608</v>
      </c>
      <c r="C145" s="4">
        <f>VLOOKUP(A145,'[1]Nebris 11.28.23'!$E:$I,5,FALSE)</f>
        <v>614</v>
      </c>
      <c r="D145" s="18">
        <f t="shared" si="12"/>
        <v>611</v>
      </c>
      <c r="E145" s="4">
        <v>2</v>
      </c>
      <c r="F145" s="4">
        <v>3</v>
      </c>
      <c r="G145" s="4">
        <v>0.1447208552156638</v>
      </c>
      <c r="H145" s="4">
        <v>302</v>
      </c>
      <c r="I145" s="4" t="str">
        <f t="shared" si="13"/>
        <v>25% MDGS Variable</v>
      </c>
      <c r="W145" s="122"/>
      <c r="X145" s="123"/>
      <c r="Y145" s="123"/>
      <c r="Z145" s="123"/>
      <c r="AA145" s="124"/>
      <c r="AB145" s="124"/>
      <c r="AC145" s="125"/>
      <c r="AD145" s="125"/>
      <c r="AE145" s="125"/>
      <c r="AF145" s="125"/>
      <c r="AG145" s="125"/>
    </row>
    <row r="146" spans="1:33" x14ac:dyDescent="0.2">
      <c r="A146" s="16">
        <v>4621</v>
      </c>
      <c r="B146" s="17">
        <f>VLOOKUP(A146,'[1]Nebris 11.27'!E:I,5,FALSE)</f>
        <v>606</v>
      </c>
      <c r="C146" s="4">
        <f>VLOOKUP(A146,'[1]Nebris 11.28.23'!$E:$I,5,FALSE)</f>
        <v>608</v>
      </c>
      <c r="D146" s="18">
        <f t="shared" si="12"/>
        <v>607</v>
      </c>
      <c r="E146" s="4">
        <v>2</v>
      </c>
      <c r="F146" s="4">
        <v>3</v>
      </c>
      <c r="G146" s="4">
        <v>0.28928262603253563</v>
      </c>
      <c r="H146" s="4">
        <v>303</v>
      </c>
      <c r="I146" s="4" t="str">
        <f t="shared" si="13"/>
        <v>Control</v>
      </c>
      <c r="W146" s="122"/>
      <c r="X146" s="123"/>
      <c r="Y146" s="123"/>
      <c r="Z146" s="123"/>
      <c r="AA146" s="124"/>
      <c r="AB146" s="124"/>
      <c r="AC146" s="125"/>
      <c r="AD146" s="125"/>
      <c r="AE146" s="125"/>
      <c r="AF146" s="125"/>
      <c r="AG146" s="125"/>
    </row>
    <row r="147" spans="1:33" x14ac:dyDescent="0.2">
      <c r="A147" s="16">
        <v>4550</v>
      </c>
      <c r="B147" s="17">
        <f>VLOOKUP(A147,'[1]Nebris 11.27'!E:I,5,FALSE)</f>
        <v>612</v>
      </c>
      <c r="C147" s="4">
        <f>VLOOKUP(A147,'[1]Nebris 11.28.23'!$E:$I,5,FALSE)</f>
        <v>612</v>
      </c>
      <c r="D147" s="18">
        <f t="shared" si="12"/>
        <v>612</v>
      </c>
      <c r="E147" s="4">
        <v>2</v>
      </c>
      <c r="F147" s="4">
        <v>3</v>
      </c>
      <c r="G147" s="4">
        <v>0.30218401929346705</v>
      </c>
      <c r="H147" s="4">
        <v>304</v>
      </c>
      <c r="I147" s="4" t="str">
        <f t="shared" si="13"/>
        <v>10% MDGS Variable</v>
      </c>
      <c r="W147" s="122"/>
      <c r="X147" s="123"/>
      <c r="Y147" s="123"/>
      <c r="Z147" s="123"/>
      <c r="AA147" s="124"/>
      <c r="AB147" s="124"/>
      <c r="AC147" s="125"/>
      <c r="AD147" s="125"/>
      <c r="AE147" s="125"/>
      <c r="AF147" s="125"/>
      <c r="AG147" s="125"/>
    </row>
    <row r="148" spans="1:33" x14ac:dyDescent="0.2">
      <c r="A148" s="16">
        <v>4750</v>
      </c>
      <c r="B148" s="17">
        <f>VLOOKUP(A148,'[1]Nebris 11.27'!E:I,5,FALSE)</f>
        <v>608</v>
      </c>
      <c r="C148" s="4">
        <f>VLOOKUP(A148,'[1]Nebris 11.28.23'!$E:$I,5,FALSE)</f>
        <v>614</v>
      </c>
      <c r="D148" s="18">
        <f t="shared" si="12"/>
        <v>611</v>
      </c>
      <c r="E148" s="4">
        <v>2</v>
      </c>
      <c r="F148" s="4">
        <v>3</v>
      </c>
      <c r="G148" s="4">
        <v>0.31631466551789233</v>
      </c>
      <c r="H148" s="4">
        <v>305</v>
      </c>
      <c r="I148" s="4" t="str">
        <f t="shared" si="13"/>
        <v xml:space="preserve">10% MDGS Constant </v>
      </c>
      <c r="W148" s="122"/>
      <c r="X148" s="123"/>
      <c r="Y148" s="123"/>
      <c r="Z148" s="123"/>
      <c r="AA148" s="124"/>
      <c r="AB148" s="124"/>
      <c r="AC148" s="125"/>
      <c r="AD148" s="125"/>
      <c r="AE148" s="125"/>
      <c r="AF148" s="125"/>
      <c r="AG148" s="125"/>
    </row>
    <row r="149" spans="1:33" x14ac:dyDescent="0.2">
      <c r="A149" s="16">
        <v>4466</v>
      </c>
      <c r="B149" s="17">
        <f>VLOOKUP(A149,'[1]Nebris 11.27'!E:I,5,FALSE)</f>
        <v>608</v>
      </c>
      <c r="C149" s="4">
        <f>VLOOKUP(A149,'[1]Nebris 11.28.23'!$E:$I,5,FALSE)</f>
        <v>600</v>
      </c>
      <c r="D149" s="18">
        <f t="shared" si="12"/>
        <v>604</v>
      </c>
      <c r="E149" s="4">
        <v>2</v>
      </c>
      <c r="F149" s="4">
        <v>3</v>
      </c>
      <c r="G149" s="4">
        <v>0.36155796035502963</v>
      </c>
      <c r="H149" s="4">
        <v>306</v>
      </c>
      <c r="I149" s="4" t="str">
        <f t="shared" si="13"/>
        <v>Control</v>
      </c>
      <c r="W149" s="122"/>
      <c r="X149" s="123"/>
      <c r="Y149" s="123"/>
      <c r="Z149" s="123"/>
      <c r="AA149" s="124"/>
      <c r="AB149" s="124"/>
      <c r="AC149" s="125"/>
      <c r="AD149" s="125"/>
      <c r="AE149" s="125"/>
      <c r="AF149" s="125"/>
      <c r="AG149" s="125"/>
    </row>
    <row r="150" spans="1:33" x14ac:dyDescent="0.2">
      <c r="A150" s="16">
        <v>4512</v>
      </c>
      <c r="B150" s="17">
        <f>VLOOKUP(A150,'[1]Nebris 11.27'!E:I,5,FALSE)</f>
        <v>608</v>
      </c>
      <c r="C150" s="4">
        <f>VLOOKUP(A150,'[1]Nebris 11.28.23'!$E:$I,5,FALSE)</f>
        <v>624</v>
      </c>
      <c r="D150" s="18">
        <f t="shared" si="12"/>
        <v>616</v>
      </c>
      <c r="E150" s="4">
        <v>2</v>
      </c>
      <c r="F150" s="4">
        <v>3</v>
      </c>
      <c r="G150" s="4">
        <v>0.40027242266934737</v>
      </c>
      <c r="H150" s="4">
        <v>307</v>
      </c>
      <c r="I150" s="4" t="str">
        <f t="shared" si="13"/>
        <v>25% MDGS Variable</v>
      </c>
      <c r="W150" s="122"/>
      <c r="X150" s="123"/>
      <c r="Y150" s="123"/>
      <c r="Z150" s="123"/>
      <c r="AA150" s="124"/>
      <c r="AB150" s="124"/>
      <c r="AC150" s="125"/>
      <c r="AD150" s="125"/>
      <c r="AE150" s="125"/>
      <c r="AF150" s="125"/>
      <c r="AG150" s="125"/>
    </row>
    <row r="151" spans="1:33" x14ac:dyDescent="0.2">
      <c r="A151" s="16">
        <v>4726</v>
      </c>
      <c r="B151" s="17">
        <f>VLOOKUP(A151,'[1]Nebris 11.27'!E:I,5,FALSE)</f>
        <v>608</v>
      </c>
      <c r="C151" s="4">
        <f>VLOOKUP(A151,'[1]Nebris 11.28.23'!$E:$I,5,FALSE)</f>
        <v>638</v>
      </c>
      <c r="D151" s="18">
        <f t="shared" si="12"/>
        <v>623</v>
      </c>
      <c r="E151" s="4">
        <v>2</v>
      </c>
      <c r="F151" s="4">
        <v>3</v>
      </c>
      <c r="G151" s="4">
        <v>0.43072127101176361</v>
      </c>
      <c r="H151" s="4">
        <v>308</v>
      </c>
      <c r="I151" s="4" t="str">
        <f t="shared" si="13"/>
        <v xml:space="preserve">25% MDGS Constant </v>
      </c>
      <c r="W151" s="122"/>
      <c r="X151" s="123"/>
      <c r="Y151" s="123"/>
      <c r="Z151" s="123"/>
      <c r="AA151" s="124"/>
      <c r="AB151" s="124"/>
      <c r="AC151" s="125"/>
      <c r="AD151" s="125"/>
      <c r="AE151" s="125"/>
      <c r="AF151" s="125"/>
      <c r="AG151" s="125"/>
    </row>
    <row r="152" spans="1:33" x14ac:dyDescent="0.2">
      <c r="A152" s="16">
        <v>4589</v>
      </c>
      <c r="B152" s="17">
        <f>VLOOKUP(A152,'[1]Nebris 11.27'!E:I,5,FALSE)</f>
        <v>608</v>
      </c>
      <c r="C152" s="4">
        <f>VLOOKUP(A152,'[1]Nebris 11.28.23'!$E:$I,5,FALSE)</f>
        <v>614</v>
      </c>
      <c r="D152" s="18">
        <f t="shared" si="12"/>
        <v>611</v>
      </c>
      <c r="E152" s="4">
        <v>2</v>
      </c>
      <c r="F152" s="4">
        <v>3</v>
      </c>
      <c r="G152" s="4">
        <v>0.44842709350639398</v>
      </c>
      <c r="H152" s="4">
        <v>309</v>
      </c>
      <c r="I152" s="4" t="str">
        <f t="shared" si="13"/>
        <v>Control</v>
      </c>
      <c r="W152" s="122"/>
      <c r="X152" s="123"/>
      <c r="Y152" s="123"/>
      <c r="Z152" s="123"/>
      <c r="AA152" s="124"/>
      <c r="AB152" s="124"/>
      <c r="AC152" s="125"/>
      <c r="AD152" s="125"/>
      <c r="AE152" s="125"/>
      <c r="AF152" s="125"/>
      <c r="AG152" s="125"/>
    </row>
    <row r="153" spans="1:33" x14ac:dyDescent="0.2">
      <c r="A153" s="16">
        <v>4343</v>
      </c>
      <c r="B153" s="17">
        <f>VLOOKUP(A153,'[1]Nebris 11.27'!E:I,5,FALSE)</f>
        <v>616</v>
      </c>
      <c r="C153" s="4">
        <f>VLOOKUP(A153,'[1]Nebris 11.28.23'!$E:$I,5,FALSE)</f>
        <v>622</v>
      </c>
      <c r="D153" s="18">
        <f t="shared" si="12"/>
        <v>619</v>
      </c>
      <c r="E153" s="4">
        <v>2</v>
      </c>
      <c r="F153" s="4">
        <v>3</v>
      </c>
      <c r="G153" s="4">
        <v>0.48540968391453032</v>
      </c>
      <c r="H153" s="4">
        <v>310</v>
      </c>
      <c r="I153" s="4" t="str">
        <f t="shared" si="13"/>
        <v>10% MDGS Variable</v>
      </c>
      <c r="W153" s="122"/>
      <c r="X153" s="123"/>
      <c r="Y153" s="123"/>
      <c r="Z153" s="123"/>
      <c r="AA153" s="124"/>
      <c r="AB153" s="124"/>
      <c r="AC153" s="125"/>
      <c r="AD153" s="125"/>
      <c r="AE153" s="125"/>
      <c r="AF153" s="125"/>
      <c r="AG153" s="125"/>
    </row>
    <row r="154" spans="1:33" x14ac:dyDescent="0.2">
      <c r="A154" s="16">
        <v>4332</v>
      </c>
      <c r="B154" s="17">
        <f>VLOOKUP(A154,'[1]Nebris 11.27'!E:I,5,FALSE)</f>
        <v>608</v>
      </c>
      <c r="C154" s="4">
        <f>VLOOKUP(A154,'[1]Nebris 11.28.23'!$E:$I,5,FALSE)</f>
        <v>604</v>
      </c>
      <c r="D154" s="18">
        <f t="shared" si="12"/>
        <v>606</v>
      </c>
      <c r="E154" s="4">
        <v>2</v>
      </c>
      <c r="F154" s="4">
        <v>3</v>
      </c>
      <c r="G154" s="4">
        <v>0.54924753049393005</v>
      </c>
      <c r="H154" s="4">
        <v>311</v>
      </c>
      <c r="I154" s="4" t="str">
        <f t="shared" si="13"/>
        <v xml:space="preserve">10% MDGS Constant </v>
      </c>
      <c r="W154" s="122"/>
      <c r="X154" s="123"/>
      <c r="Y154" s="123"/>
      <c r="Z154" s="123"/>
      <c r="AA154" s="124"/>
      <c r="AB154" s="124"/>
      <c r="AC154" s="125"/>
      <c r="AD154" s="125"/>
      <c r="AE154" s="125"/>
      <c r="AF154" s="125"/>
      <c r="AG154" s="125"/>
    </row>
    <row r="155" spans="1:33" x14ac:dyDescent="0.2">
      <c r="A155" s="16">
        <v>4318</v>
      </c>
      <c r="B155" s="17">
        <f>VLOOKUP(A155,'[1]Nebris 11.27'!E:I,5,FALSE)</f>
        <v>608</v>
      </c>
      <c r="C155" s="4">
        <f>VLOOKUP(A155,'[1]Nebris 11.28.23'!$E:$I,5,FALSE)</f>
        <v>616</v>
      </c>
      <c r="D155" s="18">
        <f t="shared" si="12"/>
        <v>612</v>
      </c>
      <c r="E155" s="4">
        <v>2</v>
      </c>
      <c r="F155" s="4">
        <v>3</v>
      </c>
      <c r="G155" s="4">
        <v>0.56113255637133708</v>
      </c>
      <c r="H155" s="4">
        <v>312</v>
      </c>
      <c r="I155" s="4" t="str">
        <f t="shared" si="13"/>
        <v xml:space="preserve">25% MDGS Constant </v>
      </c>
      <c r="W155" s="122"/>
      <c r="X155" s="123"/>
      <c r="Y155" s="123"/>
      <c r="Z155" s="123"/>
      <c r="AA155" s="124"/>
      <c r="AB155" s="124"/>
      <c r="AC155" s="125"/>
      <c r="AD155" s="125"/>
      <c r="AE155" s="125"/>
      <c r="AF155" s="125"/>
      <c r="AG155" s="125"/>
    </row>
    <row r="156" spans="1:33" x14ac:dyDescent="0.2">
      <c r="A156" s="16">
        <v>4320</v>
      </c>
      <c r="B156" s="17">
        <f>VLOOKUP(A156,'[1]Nebris 11.27'!E:I,5,FALSE)</f>
        <v>616</v>
      </c>
      <c r="C156" s="4">
        <f>VLOOKUP(A156,'[1]Nebris 11.28.23'!$E:$I,5,FALSE)</f>
        <v>624</v>
      </c>
      <c r="D156" s="18">
        <f t="shared" si="12"/>
        <v>620</v>
      </c>
      <c r="E156" s="4">
        <v>2</v>
      </c>
      <c r="F156" s="4">
        <v>3</v>
      </c>
      <c r="G156" s="4">
        <v>0.77818061835944197</v>
      </c>
      <c r="H156" s="4">
        <v>313</v>
      </c>
      <c r="I156" s="4" t="str">
        <f t="shared" si="13"/>
        <v>25% MDGS Variable</v>
      </c>
      <c r="W156" s="122"/>
      <c r="X156" s="123"/>
      <c r="Y156" s="123"/>
      <c r="Z156" s="123"/>
      <c r="AA156" s="124"/>
      <c r="AB156" s="124"/>
      <c r="AC156" s="125"/>
      <c r="AD156" s="125"/>
      <c r="AE156" s="125"/>
      <c r="AF156" s="125"/>
      <c r="AG156" s="125"/>
    </row>
    <row r="157" spans="1:33" x14ac:dyDescent="0.2">
      <c r="A157" s="16">
        <v>4456</v>
      </c>
      <c r="B157" s="17">
        <f>VLOOKUP(A157,'[1]Nebris 11.27'!E:I,5,FALSE)</f>
        <v>614</v>
      </c>
      <c r="C157" s="4">
        <f>VLOOKUP(A157,'[1]Nebris 11.28.23'!$E:$I,5,FALSE)</f>
        <v>630</v>
      </c>
      <c r="D157" s="18">
        <f t="shared" si="12"/>
        <v>622</v>
      </c>
      <c r="E157" s="4">
        <v>2</v>
      </c>
      <c r="F157" s="4">
        <v>3</v>
      </c>
      <c r="G157" s="4">
        <v>0.78690572570848216</v>
      </c>
      <c r="H157" s="4">
        <v>314</v>
      </c>
      <c r="I157" s="4" t="str">
        <f t="shared" si="13"/>
        <v>25% MDGS Variable</v>
      </c>
      <c r="W157" s="122"/>
      <c r="X157" s="123"/>
      <c r="Y157" s="123"/>
      <c r="Z157" s="123"/>
      <c r="AA157" s="124"/>
      <c r="AB157" s="124"/>
      <c r="AC157" s="125"/>
      <c r="AD157" s="125"/>
      <c r="AE157" s="125"/>
      <c r="AF157" s="125"/>
      <c r="AG157" s="125"/>
    </row>
    <row r="158" spans="1:33" x14ac:dyDescent="0.2">
      <c r="A158" s="16">
        <v>4517</v>
      </c>
      <c r="B158" s="17">
        <f>VLOOKUP(A158,'[1]Nebris 11.27'!E:I,5,FALSE)</f>
        <v>610</v>
      </c>
      <c r="C158" s="4">
        <f>VLOOKUP(A158,'[1]Nebris 11.28.23'!$E:$I,5,FALSE)</f>
        <v>600</v>
      </c>
      <c r="D158" s="18">
        <f t="shared" si="12"/>
        <v>605</v>
      </c>
      <c r="E158" s="4">
        <v>2</v>
      </c>
      <c r="F158" s="4">
        <v>3</v>
      </c>
      <c r="G158" s="4">
        <v>0.83125431983748366</v>
      </c>
      <c r="H158" s="4">
        <v>315</v>
      </c>
      <c r="I158" s="4" t="str">
        <f t="shared" si="13"/>
        <v xml:space="preserve">25% MDGS Constant </v>
      </c>
      <c r="W158" s="122"/>
      <c r="X158" s="123"/>
      <c r="Y158" s="123"/>
      <c r="Z158" s="123"/>
      <c r="AA158" s="124"/>
      <c r="AB158" s="124"/>
      <c r="AC158" s="125"/>
      <c r="AD158" s="125"/>
      <c r="AE158" s="125"/>
      <c r="AF158" s="125"/>
      <c r="AG158" s="125"/>
    </row>
    <row r="159" spans="1:33" x14ac:dyDescent="0.2">
      <c r="A159" s="16">
        <v>4411</v>
      </c>
      <c r="B159" s="17">
        <f>VLOOKUP(A159,'[1]Nebris 11.27'!E:I,5,FALSE)</f>
        <v>608</v>
      </c>
      <c r="C159" s="4">
        <f>VLOOKUP(A159,'[1]Nebris 11.28.23'!$E:$I,5,FALSE)</f>
        <v>604</v>
      </c>
      <c r="D159" s="18">
        <f t="shared" si="12"/>
        <v>606</v>
      </c>
      <c r="E159" s="4">
        <v>2</v>
      </c>
      <c r="F159" s="4">
        <v>3</v>
      </c>
      <c r="G159" s="4">
        <v>0.89111247230312951</v>
      </c>
      <c r="H159" s="4">
        <v>316</v>
      </c>
      <c r="I159" s="4" t="str">
        <f t="shared" si="13"/>
        <v xml:space="preserve">10% MDGS Constant </v>
      </c>
      <c r="W159" s="122"/>
      <c r="X159" s="123"/>
      <c r="Y159" s="123"/>
      <c r="Z159" s="123"/>
      <c r="AA159" s="124"/>
      <c r="AB159" s="124"/>
      <c r="AC159" s="125"/>
      <c r="AD159" s="125"/>
      <c r="AE159" s="125"/>
      <c r="AF159" s="125"/>
      <c r="AG159" s="125"/>
    </row>
    <row r="160" spans="1:33" x14ac:dyDescent="0.2">
      <c r="A160" s="16">
        <v>4344</v>
      </c>
      <c r="B160" s="17">
        <f>VLOOKUP(A160,'[1]Nebris 11.27'!E:I,5,FALSE)</f>
        <v>612</v>
      </c>
      <c r="C160" s="4">
        <f>VLOOKUP(A160,'[1]Nebris 11.28.23'!$E:$I,5,FALSE)</f>
        <v>608</v>
      </c>
      <c r="D160" s="18">
        <f t="shared" si="12"/>
        <v>610</v>
      </c>
      <c r="E160" s="4">
        <v>2</v>
      </c>
      <c r="F160" s="4">
        <v>3</v>
      </c>
      <c r="G160" s="4">
        <v>0.90186397215938519</v>
      </c>
      <c r="H160" s="4">
        <v>317</v>
      </c>
      <c r="I160" s="4" t="str">
        <f t="shared" si="13"/>
        <v>Control</v>
      </c>
      <c r="W160" s="122"/>
      <c r="X160" s="123"/>
      <c r="Y160" s="123"/>
      <c r="Z160" s="123"/>
      <c r="AA160" s="124"/>
      <c r="AB160" s="124"/>
      <c r="AC160" s="125"/>
      <c r="AD160" s="125"/>
      <c r="AE160" s="125"/>
      <c r="AF160" s="125"/>
      <c r="AG160" s="125"/>
    </row>
    <row r="161" spans="1:33" x14ac:dyDescent="0.2">
      <c r="A161" s="16">
        <v>4353</v>
      </c>
      <c r="B161" s="17">
        <f>VLOOKUP(A161,'[1]Nebris 11.27'!E:I,5,FALSE)</f>
        <v>610</v>
      </c>
      <c r="C161" s="4">
        <f>VLOOKUP(A161,'[1]Nebris 11.28.23'!$E:$I,5,FALSE)</f>
        <v>616</v>
      </c>
      <c r="D161" s="18">
        <f t="shared" si="12"/>
        <v>613</v>
      </c>
      <c r="E161" s="4">
        <v>2</v>
      </c>
      <c r="F161" s="4">
        <v>3</v>
      </c>
      <c r="G161" s="4">
        <v>0.9489271115018546</v>
      </c>
      <c r="H161" s="4">
        <v>318</v>
      </c>
      <c r="I161" s="4" t="str">
        <f t="shared" si="13"/>
        <v>10% MDGS Variable</v>
      </c>
      <c r="W161" s="122"/>
      <c r="X161" s="123"/>
      <c r="Y161" s="123"/>
      <c r="Z161" s="123"/>
      <c r="AA161" s="124"/>
      <c r="AB161" s="124"/>
      <c r="AC161" s="125"/>
      <c r="AD161" s="125"/>
      <c r="AE161" s="125"/>
      <c r="AF161" s="125"/>
      <c r="AG161" s="125"/>
    </row>
    <row r="162" spans="1:33" x14ac:dyDescent="0.2">
      <c r="A162" s="16">
        <v>4622</v>
      </c>
      <c r="B162" s="17">
        <f>VLOOKUP(A162,'[1]Nebris 11.27'!E:I,5,FALSE)</f>
        <v>616</v>
      </c>
      <c r="C162" s="4">
        <f>VLOOKUP(A162,'[1]Nebris 11.28.23'!$E:$I,5,FALSE)</f>
        <v>618</v>
      </c>
      <c r="D162" s="18">
        <f t="shared" si="12"/>
        <v>617</v>
      </c>
      <c r="E162" s="4">
        <v>2</v>
      </c>
      <c r="F162" s="4">
        <v>4</v>
      </c>
      <c r="G162" s="4">
        <v>5.733643807814226E-2</v>
      </c>
      <c r="H162" s="4">
        <v>215</v>
      </c>
      <c r="I162" s="4" t="str">
        <f t="shared" si="13"/>
        <v>10% MDGS Variable</v>
      </c>
      <c r="W162" s="122"/>
      <c r="X162" s="123"/>
      <c r="Y162" s="123"/>
      <c r="Z162" s="123"/>
      <c r="AA162" s="124"/>
      <c r="AB162" s="124"/>
      <c r="AC162" s="125"/>
      <c r="AD162" s="125"/>
      <c r="AE162" s="125"/>
      <c r="AF162" s="125"/>
      <c r="AG162" s="125"/>
    </row>
    <row r="163" spans="1:33" x14ac:dyDescent="0.2">
      <c r="A163" s="16">
        <v>4703</v>
      </c>
      <c r="B163" s="17">
        <f>VLOOKUP(A163,'[1]Nebris 11.27'!E:I,5,FALSE)</f>
        <v>618</v>
      </c>
      <c r="C163" s="4">
        <f>VLOOKUP(A163,'[1]Nebris 11.28.23'!$E:$I,5,FALSE)</f>
        <v>640</v>
      </c>
      <c r="D163" s="18">
        <f t="shared" si="12"/>
        <v>629</v>
      </c>
      <c r="E163" s="4">
        <v>2</v>
      </c>
      <c r="F163" s="4">
        <v>4</v>
      </c>
      <c r="G163" s="4">
        <v>8.2459893026937237E-2</v>
      </c>
      <c r="H163" s="4">
        <v>216</v>
      </c>
      <c r="I163" s="4" t="str">
        <f t="shared" si="13"/>
        <v xml:space="preserve">10% MDGS Constant </v>
      </c>
      <c r="W163" s="122"/>
      <c r="X163" s="123"/>
      <c r="Y163" s="123"/>
      <c r="Z163" s="123"/>
      <c r="AA163" s="124"/>
      <c r="AB163" s="124"/>
      <c r="AC163" s="125"/>
      <c r="AD163" s="125"/>
      <c r="AE163" s="125"/>
      <c r="AF163" s="125"/>
      <c r="AG163" s="125"/>
    </row>
    <row r="164" spans="1:33" x14ac:dyDescent="0.2">
      <c r="A164" s="16">
        <v>4617</v>
      </c>
      <c r="B164" s="17">
        <f>VLOOKUP(A164,'[1]Nebris 11.27'!E:I,5,FALSE)</f>
        <v>618</v>
      </c>
      <c r="C164" s="4">
        <f>VLOOKUP(A164,'[1]Nebris 11.28.23'!$E:$I,5,FALSE)</f>
        <v>618</v>
      </c>
      <c r="D164" s="18">
        <f t="shared" si="12"/>
        <v>618</v>
      </c>
      <c r="E164" s="4">
        <v>2</v>
      </c>
      <c r="F164" s="4">
        <v>4</v>
      </c>
      <c r="G164" s="4">
        <v>0.16280348963078828</v>
      </c>
      <c r="H164" s="4">
        <v>301</v>
      </c>
      <c r="I164" s="4" t="str">
        <f t="shared" si="13"/>
        <v xml:space="preserve">25% MDGS Constant </v>
      </c>
      <c r="W164" s="122"/>
      <c r="X164" s="123"/>
      <c r="Y164" s="123"/>
      <c r="Z164" s="123"/>
      <c r="AA164" s="124"/>
      <c r="AB164" s="124"/>
      <c r="AC164" s="125"/>
      <c r="AD164" s="125"/>
      <c r="AE164" s="125"/>
      <c r="AF164" s="125"/>
      <c r="AG164" s="125"/>
    </row>
    <row r="165" spans="1:33" x14ac:dyDescent="0.2">
      <c r="A165" s="16">
        <v>4522</v>
      </c>
      <c r="B165" s="17">
        <f>VLOOKUP(A165,'[1]Nebris 11.27'!E:I,5,FALSE)</f>
        <v>618</v>
      </c>
      <c r="C165" s="4">
        <f>VLOOKUP(A165,'[1]Nebris 11.28.23'!$E:$I,5,FALSE)</f>
        <v>634</v>
      </c>
      <c r="D165" s="18">
        <f t="shared" si="12"/>
        <v>626</v>
      </c>
      <c r="E165" s="4">
        <v>2</v>
      </c>
      <c r="F165" s="4">
        <v>4</v>
      </c>
      <c r="G165" s="4">
        <v>0.28590952818832549</v>
      </c>
      <c r="H165" s="4">
        <v>302</v>
      </c>
      <c r="I165" s="4" t="str">
        <f t="shared" si="13"/>
        <v>25% MDGS Variable</v>
      </c>
      <c r="W165" s="122"/>
      <c r="X165" s="123"/>
      <c r="Y165" s="123"/>
      <c r="Z165" s="123"/>
      <c r="AA165" s="124"/>
      <c r="AB165" s="124"/>
      <c r="AC165" s="125"/>
      <c r="AD165" s="125"/>
      <c r="AE165" s="125"/>
      <c r="AF165" s="125"/>
      <c r="AG165" s="125"/>
    </row>
    <row r="166" spans="1:33" x14ac:dyDescent="0.2">
      <c r="A166" s="16">
        <v>4547</v>
      </c>
      <c r="B166" s="17">
        <f>VLOOKUP(A166,'[1]Nebris 11.27'!E:I,5,FALSE)</f>
        <v>618</v>
      </c>
      <c r="C166" s="4">
        <f>VLOOKUP(A166,'[1]Nebris 11.28.23'!$E:$I,5,FALSE)</f>
        <v>624</v>
      </c>
      <c r="D166" s="18">
        <f t="shared" si="12"/>
        <v>621</v>
      </c>
      <c r="E166" s="4">
        <v>2</v>
      </c>
      <c r="F166" s="4">
        <v>4</v>
      </c>
      <c r="G166" s="4">
        <v>0.30104179988679158</v>
      </c>
      <c r="H166" s="4">
        <v>303</v>
      </c>
      <c r="I166" s="4" t="str">
        <f t="shared" si="13"/>
        <v>Control</v>
      </c>
      <c r="W166" s="122"/>
      <c r="X166" s="123"/>
      <c r="Y166" s="123"/>
      <c r="Z166" s="123"/>
      <c r="AA166" s="124"/>
      <c r="AB166" s="124"/>
      <c r="AC166" s="125"/>
      <c r="AD166" s="125"/>
      <c r="AE166" s="125"/>
      <c r="AF166" s="125"/>
      <c r="AG166" s="125"/>
    </row>
    <row r="167" spans="1:33" x14ac:dyDescent="0.2">
      <c r="A167" s="16">
        <v>4665</v>
      </c>
      <c r="B167" s="17">
        <f>VLOOKUP(A167,'[1]Nebris 11.27'!E:I,5,FALSE)</f>
        <v>618</v>
      </c>
      <c r="C167" s="4">
        <f>VLOOKUP(A167,'[1]Nebris 11.28.23'!$E:$I,5,FALSE)</f>
        <v>612</v>
      </c>
      <c r="D167" s="18">
        <f t="shared" si="12"/>
        <v>615</v>
      </c>
      <c r="E167" s="4">
        <v>2</v>
      </c>
      <c r="F167" s="4">
        <v>4</v>
      </c>
      <c r="G167" s="4">
        <v>0.30487644486653886</v>
      </c>
      <c r="H167" s="4">
        <v>304</v>
      </c>
      <c r="I167" s="4" t="str">
        <f t="shared" si="13"/>
        <v>10% MDGS Variable</v>
      </c>
      <c r="W167" s="122"/>
      <c r="X167" s="123"/>
      <c r="Y167" s="123"/>
      <c r="Z167" s="123"/>
      <c r="AA167" s="124"/>
      <c r="AB167" s="124"/>
      <c r="AC167" s="125"/>
      <c r="AD167" s="125"/>
      <c r="AE167" s="125"/>
      <c r="AF167" s="125"/>
      <c r="AG167" s="125"/>
    </row>
    <row r="168" spans="1:33" x14ac:dyDescent="0.2">
      <c r="A168" s="16">
        <v>4350</v>
      </c>
      <c r="B168" s="17">
        <f>VLOOKUP(A168,'[1]Nebris 11.27'!E:I,5,FALSE)</f>
        <v>616</v>
      </c>
      <c r="C168" s="4">
        <f>VLOOKUP(A168,'[1]Nebris 11.28.23'!$E:$I,5,FALSE)</f>
        <v>620</v>
      </c>
      <c r="D168" s="18">
        <f t="shared" si="12"/>
        <v>618</v>
      </c>
      <c r="E168" s="4">
        <v>2</v>
      </c>
      <c r="F168" s="4">
        <v>4</v>
      </c>
      <c r="G168" s="4">
        <v>0.32071294474505885</v>
      </c>
      <c r="H168" s="4">
        <v>305</v>
      </c>
      <c r="I168" s="4" t="str">
        <f t="shared" si="13"/>
        <v xml:space="preserve">10% MDGS Constant </v>
      </c>
      <c r="W168" s="122"/>
      <c r="X168" s="123"/>
      <c r="Y168" s="123"/>
      <c r="Z168" s="123"/>
      <c r="AA168" s="124"/>
      <c r="AB168" s="124"/>
      <c r="AC168" s="125"/>
      <c r="AD168" s="125"/>
      <c r="AE168" s="125"/>
      <c r="AF168" s="125"/>
      <c r="AG168" s="125"/>
    </row>
    <row r="169" spans="1:33" x14ac:dyDescent="0.2">
      <c r="A169" s="16">
        <v>4465</v>
      </c>
      <c r="B169" s="17">
        <f>VLOOKUP(A169,'[1]Nebris 11.27'!E:I,5,FALSE)</f>
        <v>618</v>
      </c>
      <c r="C169" s="4">
        <f>VLOOKUP(A169,'[1]Nebris 11.28.23'!$E:$I,5,FALSE)</f>
        <v>608</v>
      </c>
      <c r="D169" s="18">
        <f t="shared" si="12"/>
        <v>613</v>
      </c>
      <c r="E169" s="4">
        <v>2</v>
      </c>
      <c r="F169" s="4">
        <v>4</v>
      </c>
      <c r="G169" s="4">
        <v>0.33869633887564754</v>
      </c>
      <c r="H169" s="4">
        <v>306</v>
      </c>
      <c r="I169" s="4" t="str">
        <f t="shared" si="13"/>
        <v>Control</v>
      </c>
      <c r="W169" s="122"/>
      <c r="X169" s="123"/>
      <c r="Y169" s="123"/>
      <c r="Z169" s="123"/>
      <c r="AA169" s="124"/>
      <c r="AB169" s="124"/>
      <c r="AC169" s="125"/>
      <c r="AD169" s="125"/>
      <c r="AE169" s="125"/>
      <c r="AF169" s="125"/>
      <c r="AG169" s="125"/>
    </row>
    <row r="170" spans="1:33" x14ac:dyDescent="0.2">
      <c r="A170" s="16">
        <v>4704</v>
      </c>
      <c r="B170" s="17">
        <f>VLOOKUP(A170,'[1]Nebris 11.27'!E:I,5,FALSE)</f>
        <v>616</v>
      </c>
      <c r="C170" s="4">
        <f>VLOOKUP(A170,'[1]Nebris 11.28.23'!$E:$I,5,FALSE)</f>
        <v>602</v>
      </c>
      <c r="D170" s="18">
        <f t="shared" si="12"/>
        <v>609</v>
      </c>
      <c r="E170" s="4">
        <v>2</v>
      </c>
      <c r="F170" s="4">
        <v>4</v>
      </c>
      <c r="G170" s="4">
        <v>0.46427678305234998</v>
      </c>
      <c r="H170" s="4">
        <v>307</v>
      </c>
      <c r="I170" s="4" t="str">
        <f t="shared" si="13"/>
        <v>25% MDGS Variable</v>
      </c>
      <c r="W170" s="122"/>
      <c r="X170" s="123"/>
      <c r="Y170" s="123"/>
      <c r="Z170" s="123"/>
      <c r="AA170" s="124"/>
      <c r="AB170" s="124"/>
      <c r="AC170" s="125"/>
      <c r="AD170" s="125"/>
      <c r="AE170" s="125"/>
      <c r="AF170" s="125"/>
      <c r="AG170" s="125"/>
    </row>
    <row r="171" spans="1:33" x14ac:dyDescent="0.2">
      <c r="A171" s="16">
        <v>4378</v>
      </c>
      <c r="B171" s="17">
        <f>VLOOKUP(A171,'[1]Nebris 11.27'!E:I,5,FALSE)</f>
        <v>618</v>
      </c>
      <c r="C171" s="4">
        <f>VLOOKUP(A171,'[1]Nebris 11.28.23'!$E:$I,5,FALSE)</f>
        <v>614</v>
      </c>
      <c r="D171" s="18">
        <f t="shared" si="12"/>
        <v>616</v>
      </c>
      <c r="E171" s="4">
        <v>2</v>
      </c>
      <c r="F171" s="4">
        <v>4</v>
      </c>
      <c r="G171" s="4">
        <v>0.53482409763612193</v>
      </c>
      <c r="H171" s="4">
        <v>308</v>
      </c>
      <c r="I171" s="4" t="str">
        <f t="shared" si="13"/>
        <v xml:space="preserve">25% MDGS Constant </v>
      </c>
      <c r="W171" s="122"/>
      <c r="X171" s="123"/>
      <c r="Y171" s="123"/>
      <c r="Z171" s="123"/>
      <c r="AA171" s="124"/>
      <c r="AB171" s="124"/>
      <c r="AC171" s="125"/>
      <c r="AD171" s="125"/>
      <c r="AE171" s="125"/>
      <c r="AF171" s="125"/>
      <c r="AG171" s="125"/>
    </row>
    <row r="172" spans="1:33" x14ac:dyDescent="0.2">
      <c r="A172" s="16">
        <v>4406</v>
      </c>
      <c r="B172" s="17">
        <f>VLOOKUP(A172,'[1]Nebris 11.27'!E:I,5,FALSE)</f>
        <v>618</v>
      </c>
      <c r="C172" s="4">
        <f>VLOOKUP(A172,'[1]Nebris 11.28.23'!$E:$I,5,FALSE)</f>
        <v>626</v>
      </c>
      <c r="D172" s="18">
        <f t="shared" si="12"/>
        <v>622</v>
      </c>
      <c r="E172" s="4">
        <v>2</v>
      </c>
      <c r="F172" s="4">
        <v>4</v>
      </c>
      <c r="G172" s="4">
        <v>0.60587619116932179</v>
      </c>
      <c r="H172" s="4">
        <v>309</v>
      </c>
      <c r="I172" s="4" t="str">
        <f t="shared" si="13"/>
        <v>Control</v>
      </c>
      <c r="W172" s="122"/>
      <c r="X172" s="123"/>
      <c r="Y172" s="123"/>
      <c r="Z172" s="123"/>
      <c r="AA172" s="124"/>
      <c r="AB172" s="124"/>
      <c r="AC172" s="125"/>
      <c r="AD172" s="125"/>
      <c r="AE172" s="125"/>
      <c r="AF172" s="125"/>
      <c r="AG172" s="125"/>
    </row>
    <row r="173" spans="1:33" x14ac:dyDescent="0.2">
      <c r="A173" s="16">
        <v>4368</v>
      </c>
      <c r="B173" s="17">
        <f>VLOOKUP(A173,'[1]Nebris 11.27'!E:I,5,FALSE)</f>
        <v>616</v>
      </c>
      <c r="C173" s="4">
        <f>VLOOKUP(A173,'[1]Nebris 11.28.23'!$E:$I,5,FALSE)</f>
        <v>618</v>
      </c>
      <c r="D173" s="18">
        <f t="shared" si="12"/>
        <v>617</v>
      </c>
      <c r="E173" s="4">
        <v>2</v>
      </c>
      <c r="F173" s="4">
        <v>4</v>
      </c>
      <c r="G173" s="4">
        <v>0.66601219518790045</v>
      </c>
      <c r="H173" s="4">
        <v>310</v>
      </c>
      <c r="I173" s="4" t="str">
        <f t="shared" si="13"/>
        <v>10% MDGS Variable</v>
      </c>
      <c r="W173" s="122"/>
      <c r="X173" s="123"/>
      <c r="Y173" s="123"/>
      <c r="Z173" s="123"/>
      <c r="AA173" s="124"/>
      <c r="AB173" s="124"/>
      <c r="AC173" s="125"/>
      <c r="AD173" s="125"/>
      <c r="AE173" s="125"/>
      <c r="AF173" s="125"/>
      <c r="AG173" s="125"/>
    </row>
    <row r="174" spans="1:33" x14ac:dyDescent="0.2">
      <c r="A174" s="16">
        <v>4472</v>
      </c>
      <c r="B174" s="17">
        <f>VLOOKUP(A174,'[1]Nebris 11.27'!E:I,5,FALSE)</f>
        <v>618</v>
      </c>
      <c r="C174" s="4">
        <f>VLOOKUP(A174,'[1]Nebris 11.28.23'!$E:$I,5,FALSE)</f>
        <v>604</v>
      </c>
      <c r="D174" s="18">
        <f t="shared" si="12"/>
        <v>611</v>
      </c>
      <c r="E174" s="4">
        <v>2</v>
      </c>
      <c r="F174" s="4">
        <v>4</v>
      </c>
      <c r="G174" s="4">
        <v>0.66733532273463292</v>
      </c>
      <c r="H174" s="4">
        <v>311</v>
      </c>
      <c r="I174" s="4" t="str">
        <f t="shared" si="13"/>
        <v xml:space="preserve">10% MDGS Constant </v>
      </c>
      <c r="W174" s="122"/>
      <c r="X174" s="123"/>
      <c r="Y174" s="123"/>
      <c r="Z174" s="123"/>
      <c r="AA174" s="124"/>
      <c r="AB174" s="124"/>
      <c r="AC174" s="125"/>
      <c r="AD174" s="125"/>
      <c r="AE174" s="125"/>
      <c r="AF174" s="125"/>
      <c r="AG174" s="125"/>
    </row>
    <row r="175" spans="1:33" x14ac:dyDescent="0.2">
      <c r="A175" s="16">
        <v>4481</v>
      </c>
      <c r="B175" s="17">
        <f>VLOOKUP(A175,'[1]Nebris 11.27'!E:I,5,FALSE)</f>
        <v>618</v>
      </c>
      <c r="C175" s="4">
        <f>VLOOKUP(A175,'[1]Nebris 11.28.23'!$E:$I,5,FALSE)</f>
        <v>630</v>
      </c>
      <c r="D175" s="18">
        <f t="shared" si="12"/>
        <v>624</v>
      </c>
      <c r="E175" s="4">
        <v>2</v>
      </c>
      <c r="F175" s="4">
        <v>4</v>
      </c>
      <c r="G175" s="4">
        <v>0.72287182065362676</v>
      </c>
      <c r="H175" s="4">
        <v>312</v>
      </c>
      <c r="I175" s="4" t="str">
        <f t="shared" si="13"/>
        <v xml:space="preserve">25% MDGS Constant </v>
      </c>
      <c r="W175" s="122"/>
      <c r="X175" s="123"/>
      <c r="Y175" s="123"/>
      <c r="Z175" s="123"/>
      <c r="AA175" s="124"/>
      <c r="AB175" s="124"/>
      <c r="AC175" s="125"/>
      <c r="AD175" s="125"/>
      <c r="AE175" s="125"/>
      <c r="AF175" s="125"/>
      <c r="AG175" s="125"/>
    </row>
    <row r="176" spans="1:33" x14ac:dyDescent="0.2">
      <c r="A176" s="16">
        <v>4488</v>
      </c>
      <c r="B176" s="17">
        <f>VLOOKUP(A176,'[1]Nebris 11.27'!E:I,5,FALSE)</f>
        <v>618</v>
      </c>
      <c r="C176" s="4">
        <f>VLOOKUP(A176,'[1]Nebris 11.28.23'!$E:$I,5,FALSE)</f>
        <v>608</v>
      </c>
      <c r="D176" s="18">
        <f t="shared" si="12"/>
        <v>613</v>
      </c>
      <c r="E176" s="4">
        <v>2</v>
      </c>
      <c r="F176" s="4">
        <v>4</v>
      </c>
      <c r="G176" s="4">
        <v>0.72476465156168768</v>
      </c>
      <c r="H176" s="4">
        <v>313</v>
      </c>
      <c r="I176" s="4" t="str">
        <f t="shared" si="13"/>
        <v>25% MDGS Variable</v>
      </c>
      <c r="W176" s="122"/>
      <c r="X176" s="123"/>
      <c r="Y176" s="123"/>
      <c r="Z176" s="123"/>
      <c r="AA176" s="124"/>
      <c r="AB176" s="124"/>
      <c r="AC176" s="125"/>
      <c r="AD176" s="125"/>
      <c r="AE176" s="125"/>
      <c r="AF176" s="125"/>
      <c r="AG176" s="125"/>
    </row>
    <row r="177" spans="1:33" x14ac:dyDescent="0.2">
      <c r="A177" s="16">
        <v>4351</v>
      </c>
      <c r="B177" s="17">
        <f>VLOOKUP(A177,'[1]Nebris 11.27'!E:I,5,FALSE)</f>
        <v>616</v>
      </c>
      <c r="C177" s="4">
        <f>VLOOKUP(A177,'[1]Nebris 11.28.23'!$E:$I,5,FALSE)</f>
        <v>612</v>
      </c>
      <c r="D177" s="18">
        <f t="shared" si="12"/>
        <v>614</v>
      </c>
      <c r="E177" s="4">
        <v>2</v>
      </c>
      <c r="F177" s="4">
        <v>4</v>
      </c>
      <c r="G177" s="4">
        <v>0.77649215864800014</v>
      </c>
      <c r="H177" s="4">
        <v>314</v>
      </c>
      <c r="I177" s="4" t="str">
        <f t="shared" si="13"/>
        <v>25% MDGS Variable</v>
      </c>
      <c r="W177" s="122"/>
      <c r="X177" s="123"/>
      <c r="Y177" s="123"/>
      <c r="Z177" s="123"/>
      <c r="AA177" s="124"/>
      <c r="AB177" s="124"/>
      <c r="AC177" s="125"/>
      <c r="AD177" s="125"/>
      <c r="AE177" s="125"/>
      <c r="AF177" s="125"/>
      <c r="AG177" s="125"/>
    </row>
    <row r="178" spans="1:33" x14ac:dyDescent="0.2">
      <c r="A178" s="16">
        <v>4323</v>
      </c>
      <c r="B178" s="17">
        <f>VLOOKUP(A178,'[1]Nebris 11.27'!E:I,5,FALSE)</f>
        <v>618</v>
      </c>
      <c r="C178" s="4">
        <f>VLOOKUP(A178,'[1]Nebris 11.28.23'!$E:$I,5,FALSE)</f>
        <v>626</v>
      </c>
      <c r="D178" s="18">
        <f t="shared" si="12"/>
        <v>622</v>
      </c>
      <c r="E178" s="4">
        <v>2</v>
      </c>
      <c r="F178" s="4">
        <v>4</v>
      </c>
      <c r="G178" s="4">
        <v>0.8698331700404125</v>
      </c>
      <c r="H178" s="4">
        <v>315</v>
      </c>
      <c r="I178" s="4" t="str">
        <f t="shared" si="13"/>
        <v xml:space="preserve">25% MDGS Constant </v>
      </c>
      <c r="W178" s="122"/>
      <c r="X178" s="123"/>
      <c r="Y178" s="123"/>
      <c r="Z178" s="123"/>
      <c r="AA178" s="124"/>
      <c r="AB178" s="124"/>
      <c r="AC178" s="125"/>
      <c r="AD178" s="125"/>
      <c r="AE178" s="125"/>
      <c r="AF178" s="125"/>
      <c r="AG178" s="125"/>
    </row>
    <row r="179" spans="1:33" x14ac:dyDescent="0.2">
      <c r="A179" s="16">
        <v>4642</v>
      </c>
      <c r="B179" s="17">
        <f>VLOOKUP(A179,'[1]Nebris 11.27'!E:I,5,FALSE)</f>
        <v>618</v>
      </c>
      <c r="C179" s="4">
        <f>VLOOKUP(A179,'[1]Nebris 11.28.23'!$E:$I,5,FALSE)</f>
        <v>618</v>
      </c>
      <c r="D179" s="18">
        <f t="shared" si="12"/>
        <v>618</v>
      </c>
      <c r="E179" s="4">
        <v>2</v>
      </c>
      <c r="F179" s="4">
        <v>4</v>
      </c>
      <c r="G179" s="4">
        <v>0.88389775283968552</v>
      </c>
      <c r="H179" s="4">
        <v>316</v>
      </c>
      <c r="I179" s="4" t="str">
        <f t="shared" si="13"/>
        <v xml:space="preserve">10% MDGS Constant </v>
      </c>
      <c r="W179" s="122"/>
      <c r="X179" s="123"/>
      <c r="Y179" s="123"/>
      <c r="Z179" s="123"/>
      <c r="AA179" s="124"/>
      <c r="AB179" s="124"/>
      <c r="AC179" s="125"/>
      <c r="AD179" s="125"/>
      <c r="AE179" s="125"/>
      <c r="AF179" s="125"/>
      <c r="AG179" s="125"/>
    </row>
    <row r="180" spans="1:33" x14ac:dyDescent="0.2">
      <c r="A180" s="16">
        <v>4413</v>
      </c>
      <c r="B180" s="17">
        <f>VLOOKUP(A180,'[1]Nebris 11.27'!E:I,5,FALSE)</f>
        <v>618</v>
      </c>
      <c r="C180" s="4">
        <f>VLOOKUP(A180,'[1]Nebris 11.28.23'!$E:$I,5,FALSE)</f>
        <v>626</v>
      </c>
      <c r="D180" s="18">
        <f t="shared" si="12"/>
        <v>622</v>
      </c>
      <c r="E180" s="4">
        <v>2</v>
      </c>
      <c r="F180" s="4">
        <v>4</v>
      </c>
      <c r="G180" s="4">
        <v>0.91919560669742761</v>
      </c>
      <c r="H180" s="4">
        <v>317</v>
      </c>
      <c r="I180" s="4" t="str">
        <f t="shared" si="13"/>
        <v>Control</v>
      </c>
      <c r="W180" s="122"/>
      <c r="X180" s="123"/>
      <c r="Y180" s="123"/>
      <c r="Z180" s="123"/>
      <c r="AA180" s="124"/>
      <c r="AB180" s="124"/>
      <c r="AC180" s="125"/>
      <c r="AD180" s="125"/>
      <c r="AE180" s="125"/>
      <c r="AF180" s="125"/>
      <c r="AG180" s="125"/>
    </row>
    <row r="181" spans="1:33" x14ac:dyDescent="0.2">
      <c r="A181" s="16">
        <v>4559</v>
      </c>
      <c r="B181" s="17">
        <f>VLOOKUP(A181,'[1]Nebris 11.27'!E:I,5,FALSE)</f>
        <v>616</v>
      </c>
      <c r="C181" s="4">
        <f>VLOOKUP(A181,'[1]Nebris 11.28.23'!$E:$I,5,FALSE)</f>
        <v>620</v>
      </c>
      <c r="D181" s="18">
        <f t="shared" si="12"/>
        <v>618</v>
      </c>
      <c r="E181" s="4">
        <v>2</v>
      </c>
      <c r="F181" s="4">
        <v>4</v>
      </c>
      <c r="G181" s="4">
        <v>0.98343248675091532</v>
      </c>
      <c r="H181" s="4">
        <v>318</v>
      </c>
      <c r="I181" s="4" t="str">
        <f t="shared" si="13"/>
        <v>10% MDGS Variable</v>
      </c>
      <c r="W181" s="122"/>
      <c r="X181" s="123"/>
      <c r="Y181" s="123"/>
      <c r="Z181" s="123"/>
      <c r="AA181" s="124"/>
      <c r="AB181" s="124"/>
      <c r="AC181" s="125"/>
      <c r="AD181" s="125"/>
      <c r="AE181" s="125"/>
      <c r="AF181" s="125"/>
      <c r="AG181" s="125"/>
    </row>
    <row r="182" spans="1:33" x14ac:dyDescent="0.2">
      <c r="A182" s="16">
        <v>4531</v>
      </c>
      <c r="B182" s="17">
        <f>VLOOKUP(A182,'[1]Nebris 11.27'!E:I,5,FALSE)</f>
        <v>624</v>
      </c>
      <c r="C182" s="4">
        <f>VLOOKUP(A182,'[1]Nebris 11.28.23'!$E:$I,5,FALSE)</f>
        <v>636</v>
      </c>
      <c r="D182" s="18">
        <f t="shared" si="12"/>
        <v>630</v>
      </c>
      <c r="E182" s="4">
        <v>2</v>
      </c>
      <c r="F182" s="4">
        <v>5</v>
      </c>
      <c r="G182" s="4">
        <v>6.8033846188889635E-3</v>
      </c>
      <c r="H182" s="4">
        <v>215</v>
      </c>
      <c r="I182" s="4" t="str">
        <f t="shared" si="13"/>
        <v>10% MDGS Variable</v>
      </c>
      <c r="W182" s="122"/>
      <c r="X182" s="123"/>
      <c r="Y182" s="123"/>
      <c r="Z182" s="123"/>
      <c r="AA182" s="124"/>
      <c r="AB182" s="124"/>
      <c r="AC182" s="125"/>
      <c r="AD182" s="125"/>
      <c r="AE182" s="125"/>
      <c r="AF182" s="125"/>
      <c r="AG182" s="125"/>
    </row>
    <row r="183" spans="1:33" x14ac:dyDescent="0.2">
      <c r="A183" s="16">
        <v>4511</v>
      </c>
      <c r="B183" s="17">
        <f>VLOOKUP(A183,'[1]Nebris 11.27'!E:I,5,FALSE)</f>
        <v>620</v>
      </c>
      <c r="C183" s="4">
        <f>VLOOKUP(A183,'[1]Nebris 11.28.23'!$E:$I,5,FALSE)</f>
        <v>602</v>
      </c>
      <c r="D183" s="18">
        <f t="shared" si="12"/>
        <v>611</v>
      </c>
      <c r="E183" s="4">
        <v>2</v>
      </c>
      <c r="F183" s="4">
        <v>5</v>
      </c>
      <c r="G183" s="4">
        <v>1.4701750534922731E-2</v>
      </c>
      <c r="H183" s="4">
        <v>216</v>
      </c>
      <c r="I183" s="4" t="str">
        <f t="shared" si="13"/>
        <v xml:space="preserve">10% MDGS Constant </v>
      </c>
      <c r="W183" s="122"/>
      <c r="X183" s="123"/>
      <c r="Y183" s="123"/>
      <c r="Z183" s="123"/>
      <c r="AA183" s="124"/>
      <c r="AB183" s="124"/>
      <c r="AC183" s="125"/>
      <c r="AD183" s="125"/>
      <c r="AE183" s="125"/>
      <c r="AF183" s="125"/>
      <c r="AG183" s="125"/>
    </row>
    <row r="184" spans="1:33" x14ac:dyDescent="0.2">
      <c r="A184" s="16">
        <v>4646</v>
      </c>
      <c r="B184" s="17">
        <f>VLOOKUP(A184,'[1]Nebris 11.27'!E:I,5,FALSE)</f>
        <v>624</v>
      </c>
      <c r="C184" s="4">
        <f>VLOOKUP(A184,'[1]Nebris 11.28.23'!$E:$I,5,FALSE)</f>
        <v>640</v>
      </c>
      <c r="D184" s="18">
        <f t="shared" si="12"/>
        <v>632</v>
      </c>
      <c r="E184" s="4">
        <v>2</v>
      </c>
      <c r="F184" s="4">
        <v>5</v>
      </c>
      <c r="G184" s="4">
        <v>2.7485194967023618E-2</v>
      </c>
      <c r="H184" s="4">
        <v>301</v>
      </c>
      <c r="I184" s="4" t="str">
        <f t="shared" si="13"/>
        <v xml:space="preserve">25% MDGS Constant </v>
      </c>
      <c r="W184" s="122"/>
      <c r="X184" s="123"/>
      <c r="Y184" s="123"/>
      <c r="Z184" s="123"/>
      <c r="AA184" s="124"/>
      <c r="AB184" s="124"/>
      <c r="AC184" s="125"/>
      <c r="AD184" s="125"/>
      <c r="AE184" s="125"/>
      <c r="AF184" s="125"/>
      <c r="AG184" s="125"/>
    </row>
    <row r="185" spans="1:33" x14ac:dyDescent="0.2">
      <c r="A185" s="16">
        <v>4500</v>
      </c>
      <c r="B185" s="17">
        <f>VLOOKUP(A185,'[1]Nebris 11.27'!E:I,5,FALSE)</f>
        <v>622</v>
      </c>
      <c r="C185" s="4">
        <f>VLOOKUP(A185,'[1]Nebris 11.28.23'!$E:$I,5,FALSE)</f>
        <v>612</v>
      </c>
      <c r="D185" s="18">
        <f t="shared" si="12"/>
        <v>617</v>
      </c>
      <c r="E185" s="4">
        <v>2</v>
      </c>
      <c r="F185" s="4">
        <v>5</v>
      </c>
      <c r="G185" s="4">
        <v>3.4243381876801426E-2</v>
      </c>
      <c r="H185" s="4">
        <v>302</v>
      </c>
      <c r="I185" s="4" t="str">
        <f t="shared" si="13"/>
        <v>25% MDGS Variable</v>
      </c>
      <c r="W185" s="122"/>
      <c r="X185" s="123"/>
      <c r="Y185" s="123"/>
      <c r="Z185" s="123"/>
      <c r="AA185" s="124"/>
      <c r="AB185" s="124"/>
      <c r="AC185" s="125"/>
      <c r="AD185" s="125"/>
      <c r="AE185" s="125"/>
      <c r="AF185" s="125"/>
      <c r="AG185" s="125"/>
    </row>
    <row r="186" spans="1:33" x14ac:dyDescent="0.2">
      <c r="A186" s="16">
        <v>4321</v>
      </c>
      <c r="B186" s="17">
        <f>VLOOKUP(A186,'[1]Nebris 11.27'!E:I,5,FALSE)</f>
        <v>626</v>
      </c>
      <c r="C186" s="4">
        <f>VLOOKUP(A186,'[1]Nebris 11.28.23'!$E:$I,5,FALSE)</f>
        <v>640</v>
      </c>
      <c r="D186" s="18">
        <f t="shared" si="12"/>
        <v>633</v>
      </c>
      <c r="E186" s="4">
        <v>2</v>
      </c>
      <c r="F186" s="4">
        <v>5</v>
      </c>
      <c r="G186" s="4">
        <v>0.12680060964484752</v>
      </c>
      <c r="H186" s="4">
        <v>303</v>
      </c>
      <c r="I186" s="4" t="str">
        <f t="shared" si="13"/>
        <v>Control</v>
      </c>
      <c r="W186" s="122"/>
      <c r="X186" s="123"/>
      <c r="Y186" s="123"/>
      <c r="Z186" s="123"/>
      <c r="AA186" s="124"/>
      <c r="AB186" s="124"/>
      <c r="AC186" s="125"/>
      <c r="AD186" s="125"/>
      <c r="AE186" s="125"/>
      <c r="AF186" s="125"/>
      <c r="AG186" s="125"/>
    </row>
    <row r="187" spans="1:33" x14ac:dyDescent="0.2">
      <c r="A187" s="16">
        <v>4527</v>
      </c>
      <c r="B187" s="17">
        <f>VLOOKUP(A187,'[1]Nebris 11.27'!E:I,5,FALSE)</f>
        <v>620</v>
      </c>
      <c r="C187" s="4">
        <f>VLOOKUP(A187,'[1]Nebris 11.28.23'!$E:$I,5,FALSE)</f>
        <v>624</v>
      </c>
      <c r="D187" s="18">
        <f t="shared" si="12"/>
        <v>622</v>
      </c>
      <c r="E187" s="4">
        <v>2</v>
      </c>
      <c r="F187" s="4">
        <v>5</v>
      </c>
      <c r="G187" s="4">
        <v>0.31973530945024509</v>
      </c>
      <c r="H187" s="4">
        <v>304</v>
      </c>
      <c r="I187" s="4" t="str">
        <f t="shared" si="13"/>
        <v>10% MDGS Variable</v>
      </c>
      <c r="W187" s="122"/>
      <c r="X187" s="123"/>
      <c r="Y187" s="123"/>
      <c r="Z187" s="123"/>
      <c r="AA187" s="124"/>
      <c r="AB187" s="124"/>
      <c r="AC187" s="125"/>
      <c r="AD187" s="125"/>
      <c r="AE187" s="125"/>
      <c r="AF187" s="125"/>
      <c r="AG187" s="125"/>
    </row>
    <row r="188" spans="1:33" x14ac:dyDescent="0.2">
      <c r="A188" s="16">
        <v>4513</v>
      </c>
      <c r="B188" s="17">
        <f>VLOOKUP(A188,'[1]Nebris 11.27'!E:I,5,FALSE)</f>
        <v>626</v>
      </c>
      <c r="C188" s="4">
        <f>VLOOKUP(A188,'[1]Nebris 11.28.23'!$E:$I,5,FALSE)</f>
        <v>630</v>
      </c>
      <c r="D188" s="18">
        <f t="shared" si="12"/>
        <v>628</v>
      </c>
      <c r="E188" s="4">
        <v>2</v>
      </c>
      <c r="F188" s="4">
        <v>5</v>
      </c>
      <c r="G188" s="4">
        <v>0.40609950488640101</v>
      </c>
      <c r="H188" s="4">
        <v>305</v>
      </c>
      <c r="I188" s="4" t="str">
        <f t="shared" si="13"/>
        <v xml:space="preserve">10% MDGS Constant </v>
      </c>
      <c r="W188" s="122"/>
      <c r="X188" s="123"/>
      <c r="Y188" s="123"/>
      <c r="Z188" s="123"/>
      <c r="AA188" s="124"/>
      <c r="AB188" s="124"/>
      <c r="AC188" s="125"/>
      <c r="AD188" s="125"/>
      <c r="AE188" s="125"/>
      <c r="AF188" s="125"/>
      <c r="AG188" s="125"/>
    </row>
    <row r="189" spans="1:33" x14ac:dyDescent="0.2">
      <c r="A189" s="16">
        <v>4385</v>
      </c>
      <c r="B189" s="17">
        <f>VLOOKUP(A189,'[1]Nebris 11.27'!E:I,5,FALSE)</f>
        <v>620</v>
      </c>
      <c r="C189" s="4">
        <f>VLOOKUP(A189,'[1]Nebris 11.28.23'!$E:$I,5,FALSE)</f>
        <v>608</v>
      </c>
      <c r="D189" s="18">
        <f t="shared" si="12"/>
        <v>614</v>
      </c>
      <c r="E189" s="4">
        <v>2</v>
      </c>
      <c r="F189" s="4">
        <v>5</v>
      </c>
      <c r="G189" s="4">
        <v>0.45995677669159007</v>
      </c>
      <c r="H189" s="4">
        <v>306</v>
      </c>
      <c r="I189" s="4" t="str">
        <f t="shared" si="13"/>
        <v>Control</v>
      </c>
      <c r="W189" s="122"/>
      <c r="X189" s="123"/>
      <c r="Y189" s="123"/>
      <c r="Z189" s="123"/>
      <c r="AA189" s="124"/>
      <c r="AB189" s="124"/>
      <c r="AC189" s="125"/>
      <c r="AD189" s="125"/>
      <c r="AE189" s="125"/>
      <c r="AF189" s="125"/>
      <c r="AG189" s="125"/>
    </row>
    <row r="190" spans="1:33" x14ac:dyDescent="0.2">
      <c r="A190" s="16">
        <v>4410</v>
      </c>
      <c r="B190" s="17">
        <f>VLOOKUP(A190,'[1]Nebris 11.27'!E:I,5,FALSE)</f>
        <v>622</v>
      </c>
      <c r="C190" s="4">
        <f>VLOOKUP(A190,'[1]Nebris 11.28.23'!$E:$I,5,FALSE)</f>
        <v>636</v>
      </c>
      <c r="D190" s="18">
        <f t="shared" si="12"/>
        <v>629</v>
      </c>
      <c r="E190" s="4">
        <v>2</v>
      </c>
      <c r="F190" s="4">
        <v>5</v>
      </c>
      <c r="G190" s="4">
        <v>0.46350334329507203</v>
      </c>
      <c r="H190" s="4">
        <v>307</v>
      </c>
      <c r="I190" s="4" t="str">
        <f t="shared" si="13"/>
        <v>25% MDGS Variable</v>
      </c>
      <c r="W190" s="122"/>
      <c r="X190" s="123"/>
      <c r="Y190" s="123"/>
      <c r="Z190" s="123"/>
      <c r="AA190" s="124"/>
      <c r="AB190" s="124"/>
      <c r="AC190" s="125"/>
      <c r="AD190" s="125"/>
      <c r="AE190" s="125"/>
      <c r="AF190" s="125"/>
      <c r="AG190" s="125"/>
    </row>
    <row r="191" spans="1:33" x14ac:dyDescent="0.2">
      <c r="A191" s="16">
        <v>4681</v>
      </c>
      <c r="B191" s="17">
        <f>VLOOKUP(A191,'[1]Nebris 11.27'!E:I,5,FALSE)</f>
        <v>624</v>
      </c>
      <c r="C191" s="4">
        <f>VLOOKUP(A191,'[1]Nebris 11.28.23'!$E:$I,5,FALSE)</f>
        <v>622</v>
      </c>
      <c r="D191" s="18">
        <f t="shared" si="12"/>
        <v>623</v>
      </c>
      <c r="E191" s="4">
        <v>2</v>
      </c>
      <c r="F191" s="4">
        <v>5</v>
      </c>
      <c r="G191" s="4">
        <v>0.49266880427212456</v>
      </c>
      <c r="H191" s="4">
        <v>308</v>
      </c>
      <c r="I191" s="4" t="str">
        <f t="shared" si="13"/>
        <v xml:space="preserve">25% MDGS Constant </v>
      </c>
      <c r="W191" s="122"/>
      <c r="X191" s="123"/>
      <c r="Y191" s="123"/>
      <c r="Z191" s="123"/>
      <c r="AA191" s="124"/>
      <c r="AB191" s="124"/>
      <c r="AC191" s="125"/>
      <c r="AD191" s="125"/>
      <c r="AE191" s="125"/>
      <c r="AF191" s="125"/>
      <c r="AG191" s="125"/>
    </row>
    <row r="192" spans="1:33" x14ac:dyDescent="0.2">
      <c r="A192" s="16">
        <v>4587</v>
      </c>
      <c r="B192" s="17">
        <f>VLOOKUP(A192,'[1]Nebris 11.27'!E:I,5,FALSE)</f>
        <v>626</v>
      </c>
      <c r="C192" s="4">
        <f>VLOOKUP(A192,'[1]Nebris 11.28.23'!$E:$I,5,FALSE)</f>
        <v>638</v>
      </c>
      <c r="D192" s="18">
        <f t="shared" si="12"/>
        <v>632</v>
      </c>
      <c r="E192" s="4">
        <v>2</v>
      </c>
      <c r="F192" s="4">
        <v>5</v>
      </c>
      <c r="G192" s="4">
        <v>0.52364762067651993</v>
      </c>
      <c r="H192" s="4">
        <v>309</v>
      </c>
      <c r="I192" s="4" t="str">
        <f t="shared" si="13"/>
        <v>Control</v>
      </c>
      <c r="W192" s="122"/>
      <c r="X192" s="123"/>
      <c r="Y192" s="123"/>
      <c r="Z192" s="123"/>
      <c r="AA192" s="124"/>
      <c r="AB192" s="124"/>
      <c r="AC192" s="125"/>
      <c r="AD192" s="125"/>
      <c r="AE192" s="125"/>
      <c r="AF192" s="125"/>
      <c r="AG192" s="125"/>
    </row>
    <row r="193" spans="1:33" x14ac:dyDescent="0.2">
      <c r="A193" s="16">
        <v>4528</v>
      </c>
      <c r="B193" s="17">
        <f>VLOOKUP(A193,'[1]Nebris 11.27'!E:I,5,FALSE)</f>
        <v>626</v>
      </c>
      <c r="C193" s="4">
        <f>VLOOKUP(A193,'[1]Nebris 11.28.23'!$E:$I,5,FALSE)</f>
        <v>636</v>
      </c>
      <c r="D193" s="18">
        <f t="shared" si="12"/>
        <v>631</v>
      </c>
      <c r="E193" s="4">
        <v>2</v>
      </c>
      <c r="F193" s="4">
        <v>5</v>
      </c>
      <c r="G193" s="4">
        <v>0.6068074412951</v>
      </c>
      <c r="H193" s="4">
        <v>310</v>
      </c>
      <c r="I193" s="4" t="str">
        <f t="shared" si="13"/>
        <v>10% MDGS Variable</v>
      </c>
      <c r="W193" s="122"/>
      <c r="X193" s="123"/>
      <c r="Y193" s="123"/>
      <c r="Z193" s="123"/>
      <c r="AA193" s="124"/>
      <c r="AB193" s="124"/>
      <c r="AC193" s="125"/>
      <c r="AD193" s="125"/>
      <c r="AE193" s="125"/>
      <c r="AF193" s="125"/>
      <c r="AG193" s="125"/>
    </row>
    <row r="194" spans="1:33" x14ac:dyDescent="0.2">
      <c r="A194" s="16">
        <v>4742</v>
      </c>
      <c r="B194" s="17">
        <f>VLOOKUP(A194,'[1]Nebris 11.27'!E:I,5,FALSE)</f>
        <v>626</v>
      </c>
      <c r="C194" s="4">
        <f>VLOOKUP(A194,'[1]Nebris 11.28.23'!$E:$I,5,FALSE)</f>
        <v>626</v>
      </c>
      <c r="D194" s="18">
        <f t="shared" si="12"/>
        <v>626</v>
      </c>
      <c r="E194" s="4">
        <v>2</v>
      </c>
      <c r="F194" s="4">
        <v>5</v>
      </c>
      <c r="G194" s="4">
        <v>0.61851410388864037</v>
      </c>
      <c r="H194" s="4">
        <v>311</v>
      </c>
      <c r="I194" s="4" t="str">
        <f t="shared" si="13"/>
        <v xml:space="preserve">10% MDGS Constant </v>
      </c>
      <c r="W194" s="122"/>
      <c r="X194" s="123"/>
      <c r="Y194" s="123"/>
      <c r="Z194" s="123"/>
      <c r="AA194" s="124"/>
      <c r="AB194" s="124"/>
      <c r="AC194" s="125"/>
      <c r="AD194" s="125"/>
      <c r="AE194" s="125"/>
      <c r="AF194" s="125"/>
      <c r="AG194" s="125"/>
    </row>
    <row r="195" spans="1:33" x14ac:dyDescent="0.2">
      <c r="A195" s="16">
        <v>4560</v>
      </c>
      <c r="B195" s="17">
        <f>VLOOKUP(A195,'[1]Nebris 11.27'!E:I,5,FALSE)</f>
        <v>626</v>
      </c>
      <c r="C195" s="4">
        <f>VLOOKUP(A195,'[1]Nebris 11.28.23'!$E:$I,5,FALSE)</f>
        <v>614</v>
      </c>
      <c r="D195" s="18">
        <f t="shared" ref="D195:D258" si="14">AVERAGE(B195:C195)</f>
        <v>620</v>
      </c>
      <c r="E195" s="4">
        <v>2</v>
      </c>
      <c r="F195" s="4">
        <v>5</v>
      </c>
      <c r="G195" s="4">
        <v>0.65901743596973761</v>
      </c>
      <c r="H195" s="4">
        <v>312</v>
      </c>
      <c r="I195" s="4" t="str">
        <f t="shared" ref="I195:I258" si="15">VLOOKUP(H195,$Q$2:$U$57,5,FALSE)</f>
        <v xml:space="preserve">25% MDGS Constant </v>
      </c>
      <c r="W195" s="122"/>
      <c r="X195" s="123"/>
      <c r="Y195" s="123"/>
      <c r="Z195" s="123"/>
      <c r="AA195" s="124"/>
      <c r="AB195" s="124"/>
      <c r="AC195" s="125"/>
      <c r="AD195" s="125"/>
      <c r="AE195" s="125"/>
      <c r="AF195" s="125"/>
      <c r="AG195" s="125"/>
    </row>
    <row r="196" spans="1:33" x14ac:dyDescent="0.2">
      <c r="A196" s="16">
        <v>4523</v>
      </c>
      <c r="B196" s="17">
        <f>VLOOKUP(A196,'[1]Nebris 11.27'!E:I,5,FALSE)</f>
        <v>620</v>
      </c>
      <c r="C196" s="4">
        <f>VLOOKUP(A196,'[1]Nebris 11.28.23'!$E:$I,5,FALSE)</f>
        <v>644</v>
      </c>
      <c r="D196" s="18">
        <f t="shared" si="14"/>
        <v>632</v>
      </c>
      <c r="E196" s="4">
        <v>2</v>
      </c>
      <c r="F196" s="4">
        <v>5</v>
      </c>
      <c r="G196" s="4">
        <v>0.67548121295803676</v>
      </c>
      <c r="H196" s="4">
        <v>313</v>
      </c>
      <c r="I196" s="4" t="str">
        <f t="shared" si="15"/>
        <v>25% MDGS Variable</v>
      </c>
      <c r="W196" s="122"/>
      <c r="X196" s="123"/>
      <c r="Y196" s="123"/>
      <c r="Z196" s="123"/>
      <c r="AA196" s="124"/>
      <c r="AB196" s="124"/>
      <c r="AC196" s="125"/>
      <c r="AD196" s="125"/>
      <c r="AE196" s="125"/>
      <c r="AF196" s="125"/>
      <c r="AG196" s="125"/>
    </row>
    <row r="197" spans="1:33" x14ac:dyDescent="0.2">
      <c r="A197" s="16">
        <v>4548</v>
      </c>
      <c r="B197" s="17">
        <f>VLOOKUP(A197,'[1]Nebris 11.27'!E:I,5,FALSE)</f>
        <v>626</v>
      </c>
      <c r="C197" s="4">
        <f>VLOOKUP(A197,'[1]Nebris 11.28.23'!$E:$I,5,FALSE)</f>
        <v>614</v>
      </c>
      <c r="D197" s="18">
        <f t="shared" si="14"/>
        <v>620</v>
      </c>
      <c r="E197" s="4">
        <v>2</v>
      </c>
      <c r="F197" s="4">
        <v>5</v>
      </c>
      <c r="G197" s="4">
        <v>0.74897909639592319</v>
      </c>
      <c r="H197" s="4">
        <v>314</v>
      </c>
      <c r="I197" s="4" t="str">
        <f t="shared" si="15"/>
        <v>25% MDGS Variable</v>
      </c>
      <c r="W197" s="122"/>
      <c r="X197" s="123"/>
      <c r="Y197" s="123"/>
      <c r="Z197" s="123"/>
      <c r="AA197" s="124"/>
      <c r="AB197" s="124"/>
      <c r="AC197" s="125"/>
      <c r="AD197" s="125"/>
      <c r="AE197" s="125"/>
      <c r="AF197" s="125"/>
      <c r="AG197" s="125"/>
    </row>
    <row r="198" spans="1:33" x14ac:dyDescent="0.2">
      <c r="A198" s="16">
        <v>4575</v>
      </c>
      <c r="B198" s="17">
        <f>VLOOKUP(A198,'[1]Nebris 11.27'!E:I,5,FALSE)</f>
        <v>622</v>
      </c>
      <c r="C198" s="4">
        <f>VLOOKUP(A198,'[1]Nebris 11.28.23'!$E:$I,5,FALSE)</f>
        <v>608</v>
      </c>
      <c r="D198" s="18">
        <f t="shared" si="14"/>
        <v>615</v>
      </c>
      <c r="E198" s="4">
        <v>2</v>
      </c>
      <c r="F198" s="4">
        <v>5</v>
      </c>
      <c r="G198" s="4">
        <v>0.83499027036862827</v>
      </c>
      <c r="H198" s="4">
        <v>315</v>
      </c>
      <c r="I198" s="4" t="str">
        <f t="shared" si="15"/>
        <v xml:space="preserve">25% MDGS Constant </v>
      </c>
      <c r="W198" s="122"/>
      <c r="X198" s="123"/>
      <c r="Y198" s="123"/>
      <c r="Z198" s="123"/>
      <c r="AA198" s="124"/>
      <c r="AB198" s="124"/>
      <c r="AC198" s="125"/>
      <c r="AD198" s="125"/>
      <c r="AE198" s="125"/>
      <c r="AF198" s="125"/>
      <c r="AG198" s="125"/>
    </row>
    <row r="199" spans="1:33" x14ac:dyDescent="0.2">
      <c r="A199" s="16">
        <v>4711</v>
      </c>
      <c r="B199" s="17">
        <f>VLOOKUP(A199,'[1]Nebris 11.27'!E:I,5,FALSE)</f>
        <v>624</v>
      </c>
      <c r="C199" s="4">
        <f>VLOOKUP(A199,'[1]Nebris 11.28.23'!$E:$I,5,FALSE)</f>
        <v>618</v>
      </c>
      <c r="D199" s="18">
        <f t="shared" si="14"/>
        <v>621</v>
      </c>
      <c r="E199" s="4">
        <v>2</v>
      </c>
      <c r="F199" s="4">
        <v>5</v>
      </c>
      <c r="G199" s="4">
        <v>0.87451670835624939</v>
      </c>
      <c r="H199" s="4">
        <v>316</v>
      </c>
      <c r="I199" s="4" t="str">
        <f t="shared" si="15"/>
        <v xml:space="preserve">10% MDGS Constant </v>
      </c>
      <c r="W199" s="122"/>
      <c r="X199" s="123"/>
      <c r="Y199" s="123"/>
      <c r="Z199" s="123"/>
      <c r="AA199" s="124"/>
      <c r="AB199" s="124"/>
      <c r="AC199" s="125"/>
      <c r="AD199" s="125"/>
      <c r="AE199" s="125"/>
      <c r="AF199" s="125"/>
      <c r="AG199" s="125"/>
    </row>
    <row r="200" spans="1:33" x14ac:dyDescent="0.2">
      <c r="A200" s="16">
        <v>4666</v>
      </c>
      <c r="B200" s="17">
        <f>VLOOKUP(A200,'[1]Nebris 11.27'!E:I,5,FALSE)</f>
        <v>626</v>
      </c>
      <c r="C200" s="4">
        <f>VLOOKUP(A200,'[1]Nebris 11.28.23'!$E:$I,5,FALSE)</f>
        <v>630</v>
      </c>
      <c r="D200" s="18">
        <f t="shared" si="14"/>
        <v>628</v>
      </c>
      <c r="E200" s="4">
        <v>2</v>
      </c>
      <c r="F200" s="4">
        <v>5</v>
      </c>
      <c r="G200" s="4">
        <v>0.94258506194435365</v>
      </c>
      <c r="H200" s="4">
        <v>317</v>
      </c>
      <c r="I200" s="4" t="str">
        <f t="shared" si="15"/>
        <v>Control</v>
      </c>
      <c r="W200" s="122"/>
      <c r="X200" s="123"/>
      <c r="Y200" s="123"/>
      <c r="Z200" s="123"/>
      <c r="AA200" s="124"/>
      <c r="AB200" s="124"/>
      <c r="AC200" s="125"/>
      <c r="AD200" s="125"/>
      <c r="AE200" s="125"/>
      <c r="AF200" s="125"/>
      <c r="AG200" s="125"/>
    </row>
    <row r="201" spans="1:33" x14ac:dyDescent="0.2">
      <c r="A201" s="16">
        <v>4543</v>
      </c>
      <c r="B201" s="17">
        <f>VLOOKUP(A201,'[1]Nebris 11.27'!E:I,5,FALSE)</f>
        <v>624</v>
      </c>
      <c r="C201" s="4">
        <f>VLOOKUP(A201,'[1]Nebris 11.28.23'!$E:$I,5,FALSE)</f>
        <v>632</v>
      </c>
      <c r="D201" s="18">
        <f t="shared" si="14"/>
        <v>628</v>
      </c>
      <c r="E201" s="4">
        <v>2</v>
      </c>
      <c r="F201" s="4">
        <v>5</v>
      </c>
      <c r="G201" s="4">
        <v>0.99977494214263873</v>
      </c>
      <c r="H201" s="4">
        <v>318</v>
      </c>
      <c r="I201" s="4" t="str">
        <f t="shared" si="15"/>
        <v>10% MDGS Variable</v>
      </c>
      <c r="W201" s="122"/>
      <c r="X201" s="123"/>
      <c r="Y201" s="123"/>
      <c r="Z201" s="123"/>
      <c r="AA201" s="124"/>
      <c r="AB201" s="124"/>
      <c r="AC201" s="125"/>
      <c r="AD201" s="125"/>
      <c r="AE201" s="125"/>
      <c r="AF201" s="125"/>
      <c r="AG201" s="125"/>
    </row>
    <row r="202" spans="1:33" x14ac:dyDescent="0.2">
      <c r="A202" s="16">
        <v>4370</v>
      </c>
      <c r="B202" s="17">
        <f>VLOOKUP(A202,'[1]Nebris 11.27'!E:I,5,FALSE)</f>
        <v>628</v>
      </c>
      <c r="C202" s="4">
        <f>VLOOKUP(A202,'[1]Nebris 11.28.23'!$E:$I,5,FALSE)</f>
        <v>630</v>
      </c>
      <c r="D202" s="18">
        <f t="shared" si="14"/>
        <v>629</v>
      </c>
      <c r="E202" s="4">
        <v>2</v>
      </c>
      <c r="F202" s="4">
        <v>6</v>
      </c>
      <c r="G202" s="4">
        <v>6.1625891784457987E-2</v>
      </c>
      <c r="H202" s="4">
        <v>215</v>
      </c>
      <c r="I202" s="4" t="str">
        <f t="shared" si="15"/>
        <v>10% MDGS Variable</v>
      </c>
      <c r="W202" s="122"/>
      <c r="X202" s="123"/>
      <c r="Y202" s="123"/>
      <c r="Z202" s="123"/>
      <c r="AA202" s="124"/>
      <c r="AB202" s="124"/>
      <c r="AC202" s="125"/>
      <c r="AD202" s="125"/>
      <c r="AE202" s="125"/>
      <c r="AF202" s="125"/>
      <c r="AG202" s="125"/>
    </row>
    <row r="203" spans="1:33" x14ac:dyDescent="0.2">
      <c r="A203" s="16">
        <v>4740</v>
      </c>
      <c r="B203" s="17">
        <f>VLOOKUP(A203,'[1]Nebris 11.27'!E:I,5,FALSE)</f>
        <v>628</v>
      </c>
      <c r="C203" s="4">
        <f>VLOOKUP(A203,'[1]Nebris 11.28.23'!$E:$I,5,FALSE)</f>
        <v>618</v>
      </c>
      <c r="D203" s="18">
        <f t="shared" si="14"/>
        <v>623</v>
      </c>
      <c r="E203" s="4">
        <v>2</v>
      </c>
      <c r="F203" s="4">
        <v>6</v>
      </c>
      <c r="G203" s="4">
        <v>0.2480001241741665</v>
      </c>
      <c r="H203" s="4">
        <v>216</v>
      </c>
      <c r="I203" s="4" t="str">
        <f t="shared" si="15"/>
        <v xml:space="preserve">10% MDGS Constant </v>
      </c>
      <c r="W203" s="122"/>
      <c r="X203" s="123"/>
      <c r="Y203" s="123"/>
      <c r="Z203" s="123"/>
      <c r="AA203" s="124"/>
      <c r="AB203" s="124"/>
      <c r="AC203" s="125"/>
      <c r="AD203" s="125"/>
      <c r="AE203" s="125"/>
      <c r="AF203" s="125"/>
      <c r="AG203" s="125"/>
    </row>
    <row r="204" spans="1:33" x14ac:dyDescent="0.2">
      <c r="A204" s="16">
        <v>4708</v>
      </c>
      <c r="B204" s="17">
        <f>VLOOKUP(A204,'[1]Nebris 11.27'!E:I,5,FALSE)</f>
        <v>632</v>
      </c>
      <c r="C204" s="4">
        <f>VLOOKUP(A204,'[1]Nebris 11.28.23'!$E:$I,5,FALSE)</f>
        <v>618</v>
      </c>
      <c r="D204" s="18">
        <f t="shared" si="14"/>
        <v>625</v>
      </c>
      <c r="E204" s="4">
        <v>2</v>
      </c>
      <c r="F204" s="4">
        <v>6</v>
      </c>
      <c r="G204" s="4">
        <v>0.24935754226075002</v>
      </c>
      <c r="H204" s="4">
        <v>301</v>
      </c>
      <c r="I204" s="4" t="str">
        <f t="shared" si="15"/>
        <v xml:space="preserve">25% MDGS Constant </v>
      </c>
      <c r="W204" s="122"/>
      <c r="X204" s="123"/>
      <c r="Y204" s="123"/>
      <c r="Z204" s="123"/>
      <c r="AA204" s="124"/>
      <c r="AB204" s="124"/>
      <c r="AC204" s="125"/>
      <c r="AD204" s="125"/>
      <c r="AE204" s="125"/>
      <c r="AF204" s="125"/>
      <c r="AG204" s="125"/>
    </row>
    <row r="205" spans="1:33" x14ac:dyDescent="0.2">
      <c r="A205" s="16">
        <v>4644</v>
      </c>
      <c r="B205" s="17">
        <f>VLOOKUP(A205,'[1]Nebris 11.27'!E:I,5,FALSE)</f>
        <v>632</v>
      </c>
      <c r="C205" s="4">
        <f>VLOOKUP(A205,'[1]Nebris 11.28.23'!$E:$I,5,FALSE)</f>
        <v>624</v>
      </c>
      <c r="D205" s="18">
        <f t="shared" si="14"/>
        <v>628</v>
      </c>
      <c r="E205" s="4">
        <v>2</v>
      </c>
      <c r="F205" s="4">
        <v>6</v>
      </c>
      <c r="G205" s="4">
        <v>0.25749064834239555</v>
      </c>
      <c r="H205" s="4">
        <v>302</v>
      </c>
      <c r="I205" s="4" t="str">
        <f t="shared" si="15"/>
        <v>25% MDGS Variable</v>
      </c>
      <c r="W205" s="122"/>
      <c r="X205" s="123"/>
      <c r="Y205" s="123"/>
      <c r="Z205" s="123"/>
      <c r="AA205" s="124"/>
      <c r="AB205" s="124"/>
      <c r="AC205" s="125"/>
      <c r="AD205" s="125"/>
      <c r="AE205" s="125"/>
      <c r="AF205" s="125"/>
      <c r="AG205" s="125"/>
    </row>
    <row r="206" spans="1:33" x14ac:dyDescent="0.2">
      <c r="A206" s="16">
        <v>4400</v>
      </c>
      <c r="B206" s="17">
        <f>VLOOKUP(A206,'[1]Nebris 11.27'!E:I,5,FALSE)</f>
        <v>634</v>
      </c>
      <c r="C206" s="4">
        <f>VLOOKUP(A206,'[1]Nebris 11.28.23'!$E:$I,5,FALSE)</f>
        <v>628</v>
      </c>
      <c r="D206" s="18">
        <f t="shared" si="14"/>
        <v>631</v>
      </c>
      <c r="E206" s="4">
        <v>2</v>
      </c>
      <c r="F206" s="4">
        <v>6</v>
      </c>
      <c r="G206" s="4">
        <v>0.33744033405263896</v>
      </c>
      <c r="H206" s="4">
        <v>303</v>
      </c>
      <c r="I206" s="4" t="str">
        <f t="shared" si="15"/>
        <v>Control</v>
      </c>
      <c r="W206" s="122"/>
      <c r="X206" s="123"/>
      <c r="Y206" s="123"/>
      <c r="Z206" s="123"/>
      <c r="AA206" s="124"/>
      <c r="AB206" s="124"/>
      <c r="AC206" s="125"/>
      <c r="AD206" s="125"/>
      <c r="AE206" s="125"/>
      <c r="AF206" s="125"/>
      <c r="AG206" s="125"/>
    </row>
    <row r="207" spans="1:33" x14ac:dyDescent="0.2">
      <c r="A207" s="16">
        <v>4540</v>
      </c>
      <c r="B207" s="17">
        <f>VLOOKUP(A207,'[1]Nebris 11.27'!E:I,5,FALSE)</f>
        <v>630</v>
      </c>
      <c r="C207" s="4">
        <f>VLOOKUP(A207,'[1]Nebris 11.28.23'!$E:$I,5,FALSE)</f>
        <v>610</v>
      </c>
      <c r="D207" s="18">
        <f t="shared" si="14"/>
        <v>620</v>
      </c>
      <c r="E207" s="4">
        <v>2</v>
      </c>
      <c r="F207" s="4">
        <v>6</v>
      </c>
      <c r="G207" s="4">
        <v>0.42197828319337827</v>
      </c>
      <c r="H207" s="4">
        <v>304</v>
      </c>
      <c r="I207" s="4" t="str">
        <f t="shared" si="15"/>
        <v>10% MDGS Variable</v>
      </c>
      <c r="W207" s="122"/>
      <c r="X207" s="123"/>
      <c r="Y207" s="123"/>
      <c r="Z207" s="123"/>
      <c r="AA207" s="124"/>
      <c r="AB207" s="124"/>
      <c r="AC207" s="125"/>
      <c r="AD207" s="125"/>
      <c r="AE207" s="125"/>
      <c r="AF207" s="125"/>
      <c r="AG207" s="125"/>
    </row>
    <row r="208" spans="1:33" x14ac:dyDescent="0.2">
      <c r="A208" s="16">
        <v>4396</v>
      </c>
      <c r="B208" s="17">
        <f>VLOOKUP(A208,'[1]Nebris 11.27'!E:I,5,FALSE)</f>
        <v>634</v>
      </c>
      <c r="C208" s="4">
        <f>VLOOKUP(A208,'[1]Nebris 11.28.23'!$E:$I,5,FALSE)</f>
        <v>632</v>
      </c>
      <c r="D208" s="18">
        <f t="shared" si="14"/>
        <v>633</v>
      </c>
      <c r="E208" s="4">
        <v>2</v>
      </c>
      <c r="F208" s="4">
        <v>6</v>
      </c>
      <c r="G208" s="4">
        <v>0.42308318039694293</v>
      </c>
      <c r="H208" s="4">
        <v>305</v>
      </c>
      <c r="I208" s="4" t="str">
        <f t="shared" si="15"/>
        <v xml:space="preserve">10% MDGS Constant </v>
      </c>
      <c r="W208" s="122"/>
      <c r="X208" s="123"/>
      <c r="Y208" s="123"/>
      <c r="Z208" s="123"/>
      <c r="AA208" s="124"/>
      <c r="AB208" s="124"/>
      <c r="AC208" s="125"/>
      <c r="AD208" s="125"/>
      <c r="AE208" s="125"/>
      <c r="AF208" s="125"/>
      <c r="AG208" s="125"/>
    </row>
    <row r="209" spans="1:33" x14ac:dyDescent="0.2">
      <c r="A209" s="16">
        <v>4384</v>
      </c>
      <c r="B209" s="17">
        <f>VLOOKUP(A209,'[1]Nebris 11.27'!E:I,5,FALSE)</f>
        <v>628</v>
      </c>
      <c r="C209" s="4">
        <f>VLOOKUP(A209,'[1]Nebris 11.28.23'!$E:$I,5,FALSE)</f>
        <v>636</v>
      </c>
      <c r="D209" s="18">
        <f t="shared" si="14"/>
        <v>632</v>
      </c>
      <c r="E209" s="4">
        <v>2</v>
      </c>
      <c r="F209" s="4">
        <v>6</v>
      </c>
      <c r="G209" s="4">
        <v>0.45778744738743726</v>
      </c>
      <c r="H209" s="4">
        <v>306</v>
      </c>
      <c r="I209" s="4" t="str">
        <f t="shared" si="15"/>
        <v>Control</v>
      </c>
      <c r="W209" s="122"/>
      <c r="X209" s="123"/>
      <c r="Y209" s="123"/>
      <c r="Z209" s="123"/>
      <c r="AA209" s="124"/>
      <c r="AB209" s="124"/>
      <c r="AC209" s="125"/>
      <c r="AD209" s="125"/>
      <c r="AE209" s="125"/>
      <c r="AF209" s="125"/>
      <c r="AG209" s="125"/>
    </row>
    <row r="210" spans="1:33" x14ac:dyDescent="0.2">
      <c r="A210" s="16">
        <v>4647</v>
      </c>
      <c r="B210" s="17">
        <f>VLOOKUP(A210,'[1]Nebris 11.27'!E:I,5,FALSE)</f>
        <v>628</v>
      </c>
      <c r="C210" s="4">
        <f>VLOOKUP(A210,'[1]Nebris 11.28.23'!$E:$I,5,FALSE)</f>
        <v>612</v>
      </c>
      <c r="D210" s="18">
        <f t="shared" si="14"/>
        <v>620</v>
      </c>
      <c r="E210" s="4">
        <v>2</v>
      </c>
      <c r="F210" s="4">
        <v>6</v>
      </c>
      <c r="G210" s="4">
        <v>0.46318418025960706</v>
      </c>
      <c r="H210" s="4">
        <v>307</v>
      </c>
      <c r="I210" s="4" t="str">
        <f t="shared" si="15"/>
        <v>25% MDGS Variable</v>
      </c>
      <c r="W210" s="122"/>
      <c r="X210" s="123"/>
      <c r="Y210" s="123"/>
      <c r="Z210" s="123"/>
      <c r="AA210" s="124"/>
      <c r="AB210" s="124"/>
      <c r="AC210" s="125"/>
      <c r="AD210" s="125"/>
      <c r="AE210" s="125"/>
      <c r="AF210" s="125"/>
      <c r="AG210" s="125"/>
    </row>
    <row r="211" spans="1:33" x14ac:dyDescent="0.2">
      <c r="A211" s="16">
        <v>4359</v>
      </c>
      <c r="B211" s="17">
        <f>VLOOKUP(A211,'[1]Nebris 11.27'!E:I,5,FALSE)</f>
        <v>628</v>
      </c>
      <c r="C211" s="4">
        <f>VLOOKUP(A211,'[1]Nebris 11.28.23'!$E:$I,5,FALSE)</f>
        <v>620</v>
      </c>
      <c r="D211" s="18">
        <f t="shared" si="14"/>
        <v>624</v>
      </c>
      <c r="E211" s="4">
        <v>2</v>
      </c>
      <c r="F211" s="4">
        <v>6</v>
      </c>
      <c r="G211" s="4">
        <v>0.47345901006423285</v>
      </c>
      <c r="H211" s="4">
        <v>308</v>
      </c>
      <c r="I211" s="4" t="str">
        <f t="shared" si="15"/>
        <v xml:space="preserve">25% MDGS Constant </v>
      </c>
      <c r="W211" s="122"/>
      <c r="X211" s="123"/>
      <c r="Y211" s="123"/>
      <c r="Z211" s="123"/>
      <c r="AA211" s="124"/>
      <c r="AB211" s="124"/>
      <c r="AC211" s="125"/>
      <c r="AD211" s="125"/>
      <c r="AE211" s="125"/>
      <c r="AF211" s="125"/>
      <c r="AG211" s="125"/>
    </row>
    <row r="212" spans="1:33" x14ac:dyDescent="0.2">
      <c r="A212" s="16">
        <v>4619</v>
      </c>
      <c r="B212" s="17">
        <f>VLOOKUP(A212,'[1]Nebris 11.27'!E:I,5,FALSE)</f>
        <v>632</v>
      </c>
      <c r="C212" s="4">
        <f>VLOOKUP(A212,'[1]Nebris 11.28.23'!$E:$I,5,FALSE)</f>
        <v>640</v>
      </c>
      <c r="D212" s="18">
        <f t="shared" si="14"/>
        <v>636</v>
      </c>
      <c r="E212" s="4">
        <v>2</v>
      </c>
      <c r="F212" s="4">
        <v>6</v>
      </c>
      <c r="G212" s="4">
        <v>0.57026828435846699</v>
      </c>
      <c r="H212" s="4">
        <v>309</v>
      </c>
      <c r="I212" s="4" t="str">
        <f t="shared" si="15"/>
        <v>Control</v>
      </c>
      <c r="W212" s="122"/>
      <c r="X212" s="123"/>
      <c r="Y212" s="123"/>
      <c r="Z212" s="123"/>
      <c r="AA212" s="124"/>
      <c r="AB212" s="124"/>
      <c r="AC212" s="125"/>
      <c r="AD212" s="125"/>
      <c r="AE212" s="125"/>
      <c r="AF212" s="125"/>
      <c r="AG212" s="125"/>
    </row>
    <row r="213" spans="1:33" x14ac:dyDescent="0.2">
      <c r="A213" s="16">
        <v>4698</v>
      </c>
      <c r="B213" s="17">
        <f>VLOOKUP(A213,'[1]Nebris 11.27'!E:I,5,FALSE)</f>
        <v>632</v>
      </c>
      <c r="C213" s="4">
        <f>VLOOKUP(A213,'[1]Nebris 11.28.23'!$E:$I,5,FALSE)</f>
        <v>636</v>
      </c>
      <c r="D213" s="18">
        <f t="shared" si="14"/>
        <v>634</v>
      </c>
      <c r="E213" s="4">
        <v>2</v>
      </c>
      <c r="F213" s="4">
        <v>6</v>
      </c>
      <c r="G213" s="4">
        <v>0.58657417667037448</v>
      </c>
      <c r="H213" s="4">
        <v>310</v>
      </c>
      <c r="I213" s="4" t="str">
        <f t="shared" si="15"/>
        <v>10% MDGS Variable</v>
      </c>
      <c r="W213" s="122"/>
      <c r="X213" s="123"/>
      <c r="Y213" s="123"/>
      <c r="Z213" s="123"/>
      <c r="AA213" s="124"/>
      <c r="AB213" s="124"/>
      <c r="AC213" s="125"/>
      <c r="AD213" s="125"/>
      <c r="AE213" s="125"/>
      <c r="AF213" s="125"/>
      <c r="AG213" s="125"/>
    </row>
    <row r="214" spans="1:33" x14ac:dyDescent="0.2">
      <c r="A214" s="16">
        <v>4475</v>
      </c>
      <c r="B214" s="17">
        <f>VLOOKUP(A214,'[1]Nebris 11.27'!E:I,5,FALSE)</f>
        <v>630</v>
      </c>
      <c r="C214" s="4">
        <f>VLOOKUP(A214,'[1]Nebris 11.28.23'!$E:$I,5,FALSE)</f>
        <v>650</v>
      </c>
      <c r="D214" s="18">
        <f t="shared" si="14"/>
        <v>640</v>
      </c>
      <c r="E214" s="4">
        <v>2</v>
      </c>
      <c r="F214" s="4">
        <v>6</v>
      </c>
      <c r="G214" s="4">
        <v>0.65793407414717975</v>
      </c>
      <c r="H214" s="4">
        <v>311</v>
      </c>
      <c r="I214" s="4" t="str">
        <f t="shared" si="15"/>
        <v xml:space="preserve">10% MDGS Constant </v>
      </c>
      <c r="W214" s="122"/>
      <c r="X214" s="123"/>
      <c r="Y214" s="123"/>
      <c r="Z214" s="123"/>
      <c r="AA214" s="124"/>
      <c r="AB214" s="124"/>
      <c r="AC214" s="125"/>
      <c r="AD214" s="125"/>
      <c r="AE214" s="125"/>
      <c r="AF214" s="125"/>
      <c r="AG214" s="125"/>
    </row>
    <row r="215" spans="1:33" x14ac:dyDescent="0.2">
      <c r="A215" s="16">
        <v>4713</v>
      </c>
      <c r="B215" s="17">
        <f>VLOOKUP(A215,'[1]Nebris 11.27'!E:I,5,FALSE)</f>
        <v>632</v>
      </c>
      <c r="C215" s="4">
        <f>VLOOKUP(A215,'[1]Nebris 11.28.23'!$E:$I,5,FALSE)</f>
        <v>636</v>
      </c>
      <c r="D215" s="18">
        <f t="shared" si="14"/>
        <v>634</v>
      </c>
      <c r="E215" s="4">
        <v>2</v>
      </c>
      <c r="F215" s="4">
        <v>6</v>
      </c>
      <c r="G215" s="4">
        <v>0.67420013228306486</v>
      </c>
      <c r="H215" s="4">
        <v>312</v>
      </c>
      <c r="I215" s="4" t="str">
        <f t="shared" si="15"/>
        <v xml:space="preserve">25% MDGS Constant </v>
      </c>
      <c r="W215" s="122"/>
      <c r="X215" s="123"/>
      <c r="Y215" s="123"/>
      <c r="Z215" s="123"/>
      <c r="AA215" s="124"/>
      <c r="AB215" s="124"/>
      <c r="AC215" s="125"/>
      <c r="AD215" s="125"/>
      <c r="AE215" s="125"/>
      <c r="AF215" s="125"/>
      <c r="AG215" s="125"/>
    </row>
    <row r="216" spans="1:33" x14ac:dyDescent="0.2">
      <c r="A216" s="16">
        <v>4661</v>
      </c>
      <c r="B216" s="17">
        <f>VLOOKUP(A216,'[1]Nebris 11.27'!E:I,5,FALSE)</f>
        <v>628</v>
      </c>
      <c r="C216" s="4">
        <f>VLOOKUP(A216,'[1]Nebris 11.28.23'!$E:$I,5,FALSE)</f>
        <v>600</v>
      </c>
      <c r="D216" s="18">
        <f t="shared" si="14"/>
        <v>614</v>
      </c>
      <c r="E216" s="4">
        <v>2</v>
      </c>
      <c r="F216" s="4">
        <v>6</v>
      </c>
      <c r="G216" s="4">
        <v>0.74957150450271082</v>
      </c>
      <c r="H216" s="4">
        <v>313</v>
      </c>
      <c r="I216" s="4" t="str">
        <f t="shared" si="15"/>
        <v>25% MDGS Variable</v>
      </c>
      <c r="W216" s="122"/>
      <c r="X216" s="123"/>
      <c r="Y216" s="123"/>
      <c r="Z216" s="123"/>
      <c r="AA216" s="124"/>
      <c r="AB216" s="124"/>
      <c r="AC216" s="125"/>
      <c r="AD216" s="125"/>
      <c r="AE216" s="125"/>
      <c r="AF216" s="125"/>
      <c r="AG216" s="125"/>
    </row>
    <row r="217" spans="1:33" x14ac:dyDescent="0.2">
      <c r="A217" s="16">
        <v>4738</v>
      </c>
      <c r="B217" s="17">
        <f>VLOOKUP(A217,'[1]Nebris 11.27'!E:I,5,FALSE)</f>
        <v>632</v>
      </c>
      <c r="C217" s="4">
        <f>VLOOKUP(A217,'[1]Nebris 11.28.23'!$E:$I,5,FALSE)</f>
        <v>636</v>
      </c>
      <c r="D217" s="18">
        <f t="shared" si="14"/>
        <v>634</v>
      </c>
      <c r="E217" s="4">
        <v>2</v>
      </c>
      <c r="F217" s="4">
        <v>6</v>
      </c>
      <c r="G217" s="4">
        <v>0.7552394581720473</v>
      </c>
      <c r="H217" s="4">
        <v>314</v>
      </c>
      <c r="I217" s="4" t="str">
        <f t="shared" si="15"/>
        <v>25% MDGS Variable</v>
      </c>
      <c r="W217" s="122"/>
      <c r="X217" s="123"/>
      <c r="Y217" s="123"/>
      <c r="Z217" s="123"/>
      <c r="AA217" s="124"/>
      <c r="AB217" s="124"/>
      <c r="AC217" s="125"/>
      <c r="AD217" s="125"/>
      <c r="AE217" s="125"/>
      <c r="AF217" s="125"/>
      <c r="AG217" s="125"/>
    </row>
    <row r="218" spans="1:33" x14ac:dyDescent="0.2">
      <c r="A218" s="16">
        <v>4380</v>
      </c>
      <c r="B218" s="17">
        <f>VLOOKUP(A218,'[1]Nebris 11.27'!E:I,5,FALSE)</f>
        <v>632</v>
      </c>
      <c r="C218" s="4">
        <f>VLOOKUP(A218,'[1]Nebris 11.28.23'!$E:$I,5,FALSE)</f>
        <v>602</v>
      </c>
      <c r="D218" s="18">
        <f t="shared" si="14"/>
        <v>617</v>
      </c>
      <c r="E218" s="4">
        <v>2</v>
      </c>
      <c r="F218" s="4">
        <v>6</v>
      </c>
      <c r="G218" s="4">
        <v>0.80858249518515612</v>
      </c>
      <c r="H218" s="4">
        <v>315</v>
      </c>
      <c r="I218" s="4" t="str">
        <f t="shared" si="15"/>
        <v xml:space="preserve">25% MDGS Constant </v>
      </c>
      <c r="W218" s="122"/>
      <c r="X218" s="123"/>
      <c r="Y218" s="123"/>
      <c r="Z218" s="123"/>
      <c r="AA218" s="124"/>
      <c r="AB218" s="124"/>
      <c r="AC218" s="125"/>
      <c r="AD218" s="125"/>
      <c r="AE218" s="125"/>
      <c r="AF218" s="125"/>
      <c r="AG218" s="125"/>
    </row>
    <row r="219" spans="1:33" x14ac:dyDescent="0.2">
      <c r="A219" s="16">
        <v>4314</v>
      </c>
      <c r="B219" s="17">
        <f>VLOOKUP(A219,'[1]Nebris 11.27'!E:I,5,FALSE)</f>
        <v>634</v>
      </c>
      <c r="C219" s="4">
        <f>VLOOKUP(A219,'[1]Nebris 11.28.23'!$E:$I,5,FALSE)</f>
        <v>630</v>
      </c>
      <c r="D219" s="18">
        <f t="shared" si="14"/>
        <v>632</v>
      </c>
      <c r="E219" s="4">
        <v>2</v>
      </c>
      <c r="F219" s="4">
        <v>6</v>
      </c>
      <c r="G219" s="4">
        <v>0.86984261120337147</v>
      </c>
      <c r="H219" s="4">
        <v>316</v>
      </c>
      <c r="I219" s="4" t="str">
        <f t="shared" si="15"/>
        <v xml:space="preserve">10% MDGS Constant </v>
      </c>
      <c r="W219" s="122"/>
      <c r="X219" s="123"/>
      <c r="Y219" s="123"/>
      <c r="Z219" s="123"/>
      <c r="AA219" s="124"/>
      <c r="AB219" s="124"/>
      <c r="AC219" s="125"/>
      <c r="AD219" s="125"/>
      <c r="AE219" s="125"/>
      <c r="AF219" s="125"/>
      <c r="AG219" s="125"/>
    </row>
    <row r="220" spans="1:33" x14ac:dyDescent="0.2">
      <c r="A220" s="16">
        <v>4608</v>
      </c>
      <c r="B220" s="17">
        <f>VLOOKUP(A220,'[1]Nebris 11.27'!E:I,5,FALSE)</f>
        <v>628</v>
      </c>
      <c r="C220" s="4">
        <f>VLOOKUP(A220,'[1]Nebris 11.28.23'!$E:$I,5,FALSE)</f>
        <v>628</v>
      </c>
      <c r="D220" s="18">
        <f t="shared" si="14"/>
        <v>628</v>
      </c>
      <c r="E220" s="4">
        <v>2</v>
      </c>
      <c r="F220" s="4">
        <v>6</v>
      </c>
      <c r="G220" s="4">
        <v>0.88858289671865798</v>
      </c>
      <c r="H220" s="4">
        <v>317</v>
      </c>
      <c r="I220" s="4" t="str">
        <f t="shared" si="15"/>
        <v>Control</v>
      </c>
      <c r="W220" s="122"/>
      <c r="X220" s="123"/>
      <c r="Y220" s="123"/>
      <c r="Z220" s="123"/>
      <c r="AA220" s="124"/>
      <c r="AB220" s="124"/>
      <c r="AC220" s="125"/>
      <c r="AD220" s="125"/>
      <c r="AE220" s="125"/>
      <c r="AF220" s="125"/>
      <c r="AG220" s="125"/>
    </row>
    <row r="221" spans="1:33" x14ac:dyDescent="0.2">
      <c r="A221" s="16">
        <v>4374</v>
      </c>
      <c r="B221" s="17">
        <f>VLOOKUP(A221,'[1]Nebris 11.27'!E:I,5,FALSE)</f>
        <v>634</v>
      </c>
      <c r="C221" s="4">
        <f>VLOOKUP(A221,'[1]Nebris 11.28.23'!$E:$I,5,FALSE)</f>
        <v>640</v>
      </c>
      <c r="D221" s="18">
        <f t="shared" si="14"/>
        <v>637</v>
      </c>
      <c r="E221" s="4">
        <v>2</v>
      </c>
      <c r="F221" s="4">
        <v>6</v>
      </c>
      <c r="G221" s="4">
        <v>0.9067748353531403</v>
      </c>
      <c r="H221" s="4">
        <v>318</v>
      </c>
      <c r="I221" s="4" t="str">
        <f t="shared" si="15"/>
        <v>10% MDGS Variable</v>
      </c>
      <c r="W221" s="122"/>
      <c r="X221" s="123"/>
      <c r="Y221" s="123"/>
      <c r="Z221" s="123"/>
      <c r="AA221" s="124"/>
      <c r="AB221" s="124"/>
      <c r="AC221" s="125"/>
      <c r="AD221" s="125"/>
      <c r="AE221" s="125"/>
      <c r="AF221" s="125"/>
      <c r="AG221" s="125"/>
    </row>
    <row r="222" spans="1:33" x14ac:dyDescent="0.2">
      <c r="A222" s="16">
        <v>4541</v>
      </c>
      <c r="B222" s="17">
        <f>VLOOKUP(A222,'[1]Nebris 11.27'!E:I,5,FALSE)</f>
        <v>636</v>
      </c>
      <c r="C222" s="4">
        <f>VLOOKUP(A222,'[1]Nebris 11.28.23'!$E:$I,5,FALSE)</f>
        <v>634</v>
      </c>
      <c r="D222" s="18">
        <f t="shared" si="14"/>
        <v>635</v>
      </c>
      <c r="E222" s="4">
        <v>2</v>
      </c>
      <c r="F222" s="4">
        <v>7</v>
      </c>
      <c r="G222" s="4">
        <v>1.6361780520034008E-2</v>
      </c>
      <c r="H222" s="4">
        <v>215</v>
      </c>
      <c r="I222" s="4" t="str">
        <f t="shared" si="15"/>
        <v>10% MDGS Variable</v>
      </c>
      <c r="W222" s="122"/>
      <c r="X222" s="123"/>
      <c r="Y222" s="123"/>
      <c r="Z222" s="123"/>
      <c r="AA222" s="124"/>
      <c r="AB222" s="124"/>
      <c r="AC222" s="125"/>
      <c r="AD222" s="125"/>
      <c r="AE222" s="125"/>
      <c r="AF222" s="125"/>
      <c r="AG222" s="125"/>
    </row>
    <row r="223" spans="1:33" x14ac:dyDescent="0.2">
      <c r="A223" s="16">
        <v>4630</v>
      </c>
      <c r="B223" s="17">
        <f>VLOOKUP(A223,'[1]Nebris 11.27'!E:I,5,FALSE)</f>
        <v>634</v>
      </c>
      <c r="C223" s="4">
        <f>VLOOKUP(A223,'[1]Nebris 11.28.23'!$E:$I,5,FALSE)</f>
        <v>638</v>
      </c>
      <c r="D223" s="18">
        <f t="shared" si="14"/>
        <v>636</v>
      </c>
      <c r="E223" s="4">
        <v>2</v>
      </c>
      <c r="F223" s="4">
        <v>7</v>
      </c>
      <c r="G223" s="4">
        <v>3.6419150762423635E-2</v>
      </c>
      <c r="H223" s="4">
        <v>216</v>
      </c>
      <c r="I223" s="4" t="str">
        <f t="shared" si="15"/>
        <v xml:space="preserve">10% MDGS Constant </v>
      </c>
      <c r="W223" s="122"/>
      <c r="X223" s="123"/>
      <c r="Y223" s="123"/>
      <c r="Z223" s="123"/>
      <c r="AA223" s="124"/>
      <c r="AB223" s="124"/>
      <c r="AC223" s="125"/>
      <c r="AD223" s="125"/>
      <c r="AE223" s="125"/>
      <c r="AF223" s="125"/>
      <c r="AG223" s="125"/>
    </row>
    <row r="224" spans="1:33" x14ac:dyDescent="0.2">
      <c r="A224" s="16">
        <v>4673</v>
      </c>
      <c r="B224" s="17">
        <f>VLOOKUP(A224,'[1]Nebris 11.27'!E:I,5,FALSE)</f>
        <v>636</v>
      </c>
      <c r="C224" s="4">
        <f>VLOOKUP(A224,'[1]Nebris 11.28.23'!$E:$I,5,FALSE)</f>
        <v>636</v>
      </c>
      <c r="D224" s="18">
        <f t="shared" si="14"/>
        <v>636</v>
      </c>
      <c r="E224" s="4">
        <v>2</v>
      </c>
      <c r="F224" s="4">
        <v>7</v>
      </c>
      <c r="G224" s="4">
        <v>6.6503652804393742E-2</v>
      </c>
      <c r="H224" s="4">
        <v>301</v>
      </c>
      <c r="I224" s="4" t="str">
        <f t="shared" si="15"/>
        <v xml:space="preserve">25% MDGS Constant </v>
      </c>
      <c r="W224" s="122"/>
      <c r="X224" s="123"/>
      <c r="Y224" s="123"/>
      <c r="Z224" s="123"/>
      <c r="AA224" s="124"/>
      <c r="AB224" s="124"/>
      <c r="AC224" s="125"/>
      <c r="AD224" s="125"/>
      <c r="AE224" s="125"/>
      <c r="AF224" s="125"/>
      <c r="AG224" s="125"/>
    </row>
    <row r="225" spans="1:33" x14ac:dyDescent="0.2">
      <c r="A225" s="16">
        <v>4633</v>
      </c>
      <c r="B225" s="17">
        <f>VLOOKUP(A225,'[1]Nebris 11.27'!E:I,5,FALSE)</f>
        <v>634</v>
      </c>
      <c r="C225" s="4">
        <f>VLOOKUP(A225,'[1]Nebris 11.28.23'!$E:$I,5,FALSE)</f>
        <v>650</v>
      </c>
      <c r="D225" s="18">
        <f t="shared" si="14"/>
        <v>642</v>
      </c>
      <c r="E225" s="4">
        <v>2</v>
      </c>
      <c r="F225" s="4">
        <v>7</v>
      </c>
      <c r="G225" s="4">
        <v>0.10477043325720292</v>
      </c>
      <c r="H225" s="4">
        <v>302</v>
      </c>
      <c r="I225" s="4" t="str">
        <f t="shared" si="15"/>
        <v>25% MDGS Variable</v>
      </c>
      <c r="W225" s="122"/>
      <c r="X225" s="123"/>
      <c r="Y225" s="123"/>
      <c r="Z225" s="123"/>
      <c r="AA225" s="124"/>
      <c r="AB225" s="124"/>
      <c r="AC225" s="125"/>
      <c r="AD225" s="125"/>
      <c r="AE225" s="125"/>
      <c r="AF225" s="125"/>
      <c r="AG225" s="125"/>
    </row>
    <row r="226" spans="1:33" x14ac:dyDescent="0.2">
      <c r="A226" s="16">
        <v>4487</v>
      </c>
      <c r="B226" s="17">
        <f>VLOOKUP(A226,'[1]Nebris 11.27'!E:I,5,FALSE)</f>
        <v>634</v>
      </c>
      <c r="C226" s="4">
        <f>VLOOKUP(A226,'[1]Nebris 11.28.23'!$E:$I,5,FALSE)</f>
        <v>634</v>
      </c>
      <c r="D226" s="18">
        <f t="shared" si="14"/>
        <v>634</v>
      </c>
      <c r="E226" s="4">
        <v>2</v>
      </c>
      <c r="F226" s="4">
        <v>7</v>
      </c>
      <c r="G226" s="4">
        <v>0.12394927416353607</v>
      </c>
      <c r="H226" s="4">
        <v>303</v>
      </c>
      <c r="I226" s="4" t="str">
        <f t="shared" si="15"/>
        <v>Control</v>
      </c>
      <c r="W226" s="122"/>
      <c r="X226" s="123"/>
      <c r="Y226" s="123"/>
      <c r="Z226" s="123"/>
      <c r="AA226" s="124"/>
      <c r="AB226" s="124"/>
      <c r="AC226" s="125"/>
      <c r="AD226" s="125"/>
      <c r="AE226" s="125"/>
      <c r="AF226" s="125"/>
      <c r="AG226" s="125"/>
    </row>
    <row r="227" spans="1:33" x14ac:dyDescent="0.2">
      <c r="A227" s="16">
        <v>4369</v>
      </c>
      <c r="B227" s="17">
        <f>VLOOKUP(A227,'[1]Nebris 11.27'!E:I,5,FALSE)</f>
        <v>636</v>
      </c>
      <c r="C227" s="4">
        <f>VLOOKUP(A227,'[1]Nebris 11.28.23'!$E:$I,5,FALSE)</f>
        <v>660</v>
      </c>
      <c r="D227" s="18">
        <f t="shared" si="14"/>
        <v>648</v>
      </c>
      <c r="E227" s="4">
        <v>2</v>
      </c>
      <c r="F227" s="4">
        <v>7</v>
      </c>
      <c r="G227" s="4">
        <v>0.15909750920594623</v>
      </c>
      <c r="H227" s="4">
        <v>304</v>
      </c>
      <c r="I227" s="4" t="str">
        <f t="shared" si="15"/>
        <v>10% MDGS Variable</v>
      </c>
      <c r="W227" s="122"/>
      <c r="X227" s="123"/>
      <c r="Y227" s="123"/>
      <c r="Z227" s="123"/>
      <c r="AA227" s="124"/>
      <c r="AB227" s="124"/>
      <c r="AC227" s="125"/>
      <c r="AD227" s="125"/>
      <c r="AE227" s="125"/>
      <c r="AF227" s="125"/>
      <c r="AG227" s="125"/>
    </row>
    <row r="228" spans="1:33" x14ac:dyDescent="0.2">
      <c r="A228" s="16">
        <v>4430</v>
      </c>
      <c r="B228" s="17">
        <f>VLOOKUP(A228,'[1]Nebris 11.27'!E:I,5,FALSE)</f>
        <v>636</v>
      </c>
      <c r="C228" s="4">
        <f>VLOOKUP(A228,'[1]Nebris 11.28.23'!$E:$I,5,FALSE)</f>
        <v>638</v>
      </c>
      <c r="D228" s="18">
        <f t="shared" si="14"/>
        <v>637</v>
      </c>
      <c r="E228" s="4">
        <v>2</v>
      </c>
      <c r="F228" s="4">
        <v>7</v>
      </c>
      <c r="G228" s="4">
        <v>0.26274818039795567</v>
      </c>
      <c r="H228" s="4">
        <v>305</v>
      </c>
      <c r="I228" s="4" t="str">
        <f t="shared" si="15"/>
        <v xml:space="preserve">10% MDGS Constant </v>
      </c>
      <c r="W228" s="122"/>
      <c r="X228" s="123"/>
      <c r="Y228" s="123"/>
      <c r="Z228" s="123"/>
      <c r="AA228" s="124"/>
      <c r="AB228" s="124"/>
      <c r="AC228" s="125"/>
      <c r="AD228" s="125"/>
      <c r="AE228" s="125"/>
      <c r="AF228" s="125"/>
      <c r="AG228" s="125"/>
    </row>
    <row r="229" spans="1:33" x14ac:dyDescent="0.2">
      <c r="A229" s="16">
        <v>4417</v>
      </c>
      <c r="B229" s="17">
        <f>VLOOKUP(A229,'[1]Nebris 11.27'!E:I,5,FALSE)</f>
        <v>636</v>
      </c>
      <c r="C229" s="4">
        <f>VLOOKUP(A229,'[1]Nebris 11.28.23'!$E:$I,5,FALSE)</f>
        <v>632</v>
      </c>
      <c r="D229" s="18">
        <f t="shared" si="14"/>
        <v>634</v>
      </c>
      <c r="E229" s="4">
        <v>2</v>
      </c>
      <c r="F229" s="4">
        <v>7</v>
      </c>
      <c r="G229" s="4">
        <v>0.29915721759852687</v>
      </c>
      <c r="H229" s="4">
        <v>306</v>
      </c>
      <c r="I229" s="4" t="str">
        <f t="shared" si="15"/>
        <v>Control</v>
      </c>
      <c r="W229" s="122"/>
      <c r="X229" s="123"/>
      <c r="Y229" s="123"/>
      <c r="Z229" s="123"/>
      <c r="AA229" s="124"/>
      <c r="AB229" s="124"/>
      <c r="AC229" s="125"/>
      <c r="AD229" s="125"/>
      <c r="AE229" s="125"/>
      <c r="AF229" s="125"/>
      <c r="AG229" s="125"/>
    </row>
    <row r="230" spans="1:33" x14ac:dyDescent="0.2">
      <c r="A230" s="16">
        <v>4597</v>
      </c>
      <c r="B230" s="17">
        <f>VLOOKUP(A230,'[1]Nebris 11.27'!E:I,5,FALSE)</f>
        <v>634</v>
      </c>
      <c r="C230" s="4">
        <f>VLOOKUP(A230,'[1]Nebris 11.28.23'!$E:$I,5,FALSE)</f>
        <v>620</v>
      </c>
      <c r="D230" s="18">
        <f t="shared" si="14"/>
        <v>627</v>
      </c>
      <c r="E230" s="4">
        <v>2</v>
      </c>
      <c r="F230" s="4">
        <v>7</v>
      </c>
      <c r="G230" s="4">
        <v>0.32107701921841525</v>
      </c>
      <c r="H230" s="4">
        <v>307</v>
      </c>
      <c r="I230" s="4" t="str">
        <f t="shared" si="15"/>
        <v>25% MDGS Variable</v>
      </c>
      <c r="W230" s="122"/>
      <c r="X230" s="123"/>
      <c r="Y230" s="123"/>
      <c r="Z230" s="123"/>
      <c r="AA230" s="124"/>
      <c r="AB230" s="124"/>
      <c r="AC230" s="125"/>
      <c r="AD230" s="125"/>
      <c r="AE230" s="125"/>
      <c r="AF230" s="125"/>
      <c r="AG230" s="125"/>
    </row>
    <row r="231" spans="1:33" x14ac:dyDescent="0.2">
      <c r="A231" s="16">
        <v>4429</v>
      </c>
      <c r="B231" s="17">
        <f>VLOOKUP(A231,'[1]Nebris 11.27'!E:I,5,FALSE)</f>
        <v>636</v>
      </c>
      <c r="C231" s="4">
        <f>VLOOKUP(A231,'[1]Nebris 11.28.23'!$E:$I,5,FALSE)</f>
        <v>638</v>
      </c>
      <c r="D231" s="18">
        <f t="shared" si="14"/>
        <v>637</v>
      </c>
      <c r="E231" s="4">
        <v>2</v>
      </c>
      <c r="F231" s="4">
        <v>7</v>
      </c>
      <c r="G231" s="4">
        <v>0.36711200468667959</v>
      </c>
      <c r="H231" s="4">
        <v>308</v>
      </c>
      <c r="I231" s="4" t="str">
        <f t="shared" si="15"/>
        <v xml:space="preserve">25% MDGS Constant </v>
      </c>
      <c r="W231" s="122"/>
      <c r="X231" s="123"/>
      <c r="Y231" s="123"/>
      <c r="Z231" s="123"/>
      <c r="AA231" s="124"/>
      <c r="AB231" s="124"/>
      <c r="AC231" s="125"/>
      <c r="AD231" s="125"/>
      <c r="AE231" s="125"/>
      <c r="AF231" s="125"/>
      <c r="AG231" s="125"/>
    </row>
    <row r="232" spans="1:33" x14ac:dyDescent="0.2">
      <c r="A232" s="16">
        <v>4393</v>
      </c>
      <c r="B232" s="17">
        <f>VLOOKUP(A232,'[1]Nebris 11.27'!E:I,5,FALSE)</f>
        <v>636</v>
      </c>
      <c r="C232" s="4">
        <f>VLOOKUP(A232,'[1]Nebris 11.28.23'!$E:$I,5,FALSE)</f>
        <v>626</v>
      </c>
      <c r="D232" s="18">
        <f t="shared" si="14"/>
        <v>631</v>
      </c>
      <c r="E232" s="4">
        <v>2</v>
      </c>
      <c r="F232" s="4">
        <v>7</v>
      </c>
      <c r="G232" s="4">
        <v>0.37686400122695018</v>
      </c>
      <c r="H232" s="4">
        <v>309</v>
      </c>
      <c r="I232" s="4" t="str">
        <f t="shared" si="15"/>
        <v>Control</v>
      </c>
      <c r="W232" s="122"/>
      <c r="X232" s="123"/>
      <c r="Y232" s="123"/>
      <c r="Z232" s="123"/>
      <c r="AA232" s="124"/>
      <c r="AB232" s="124"/>
      <c r="AC232" s="125"/>
      <c r="AD232" s="125"/>
      <c r="AE232" s="125"/>
      <c r="AF232" s="125"/>
      <c r="AG232" s="125"/>
    </row>
    <row r="233" spans="1:33" x14ac:dyDescent="0.2">
      <c r="A233" s="16">
        <v>4440</v>
      </c>
      <c r="B233" s="17">
        <f>VLOOKUP(A233,'[1]Nebris 11.27'!E:I,5,FALSE)</f>
        <v>636</v>
      </c>
      <c r="C233" s="4">
        <f>VLOOKUP(A233,'[1]Nebris 11.28.23'!$E:$I,5,FALSE)</f>
        <v>650</v>
      </c>
      <c r="D233" s="18">
        <f t="shared" si="14"/>
        <v>643</v>
      </c>
      <c r="E233" s="4">
        <v>2</v>
      </c>
      <c r="F233" s="4">
        <v>7</v>
      </c>
      <c r="G233" s="4">
        <v>0.40945202089975485</v>
      </c>
      <c r="H233" s="4">
        <v>310</v>
      </c>
      <c r="I233" s="4" t="str">
        <f t="shared" si="15"/>
        <v>10% MDGS Variable</v>
      </c>
      <c r="W233" s="122"/>
      <c r="X233" s="123"/>
      <c r="Y233" s="123"/>
      <c r="Z233" s="123"/>
      <c r="AA233" s="124"/>
      <c r="AB233" s="124"/>
      <c r="AC233" s="125"/>
      <c r="AD233" s="125"/>
      <c r="AE233" s="125"/>
      <c r="AF233" s="125"/>
      <c r="AG233" s="125"/>
    </row>
    <row r="234" spans="1:33" x14ac:dyDescent="0.2">
      <c r="A234" s="16">
        <v>4452</v>
      </c>
      <c r="B234" s="17">
        <f>VLOOKUP(A234,'[1]Nebris 11.27'!E:I,5,FALSE)</f>
        <v>636</v>
      </c>
      <c r="C234" s="4">
        <f>VLOOKUP(A234,'[1]Nebris 11.28.23'!$E:$I,5,FALSE)</f>
        <v>650</v>
      </c>
      <c r="D234" s="18">
        <f t="shared" si="14"/>
        <v>643</v>
      </c>
      <c r="E234" s="4">
        <v>2</v>
      </c>
      <c r="F234" s="4">
        <v>7</v>
      </c>
      <c r="G234" s="4">
        <v>0.46769112593226836</v>
      </c>
      <c r="H234" s="4">
        <v>311</v>
      </c>
      <c r="I234" s="4" t="str">
        <f t="shared" si="15"/>
        <v xml:space="preserve">10% MDGS Constant </v>
      </c>
      <c r="W234" s="122"/>
      <c r="X234" s="123"/>
      <c r="Y234" s="123"/>
      <c r="Z234" s="123"/>
      <c r="AA234" s="124"/>
      <c r="AB234" s="124"/>
      <c r="AC234" s="125"/>
      <c r="AD234" s="125"/>
      <c r="AE234" s="125"/>
      <c r="AF234" s="125"/>
      <c r="AG234" s="125"/>
    </row>
    <row r="235" spans="1:33" x14ac:dyDescent="0.2">
      <c r="A235" s="16">
        <v>4672</v>
      </c>
      <c r="B235" s="17">
        <f>VLOOKUP(A235,'[1]Nebris 11.27'!E:I,5,FALSE)</f>
        <v>636</v>
      </c>
      <c r="C235" s="4">
        <f>VLOOKUP(A235,'[1]Nebris 11.28.23'!$E:$I,5,FALSE)</f>
        <v>638</v>
      </c>
      <c r="D235" s="18">
        <f t="shared" si="14"/>
        <v>637</v>
      </c>
      <c r="E235" s="4">
        <v>2</v>
      </c>
      <c r="F235" s="4">
        <v>7</v>
      </c>
      <c r="G235" s="4">
        <v>0.55927023133768916</v>
      </c>
      <c r="H235" s="4">
        <v>312</v>
      </c>
      <c r="I235" s="4" t="str">
        <f t="shared" si="15"/>
        <v xml:space="preserve">25% MDGS Constant </v>
      </c>
      <c r="W235" s="122"/>
      <c r="X235" s="123"/>
      <c r="Y235" s="123"/>
      <c r="Z235" s="123"/>
      <c r="AA235" s="124"/>
      <c r="AB235" s="124"/>
      <c r="AC235" s="125"/>
      <c r="AD235" s="125"/>
      <c r="AE235" s="125"/>
      <c r="AF235" s="125"/>
      <c r="AG235" s="125"/>
    </row>
    <row r="236" spans="1:33" x14ac:dyDescent="0.2">
      <c r="A236" s="16">
        <v>4596</v>
      </c>
      <c r="B236" s="17">
        <f>VLOOKUP(A236,'[1]Nebris 11.27'!E:I,5,FALSE)</f>
        <v>636</v>
      </c>
      <c r="C236" s="4">
        <f>VLOOKUP(A236,'[1]Nebris 11.28.23'!$E:$I,5,FALSE)</f>
        <v>656</v>
      </c>
      <c r="D236" s="18">
        <f t="shared" si="14"/>
        <v>646</v>
      </c>
      <c r="E236" s="4">
        <v>2</v>
      </c>
      <c r="F236" s="4">
        <v>7</v>
      </c>
      <c r="G236" s="4">
        <v>0.55946420855368917</v>
      </c>
      <c r="H236" s="4">
        <v>313</v>
      </c>
      <c r="I236" s="4" t="str">
        <f t="shared" si="15"/>
        <v>25% MDGS Variable</v>
      </c>
      <c r="W236" s="122"/>
      <c r="X236" s="123"/>
      <c r="Y236" s="123"/>
      <c r="Z236" s="123"/>
      <c r="AA236" s="124"/>
      <c r="AB236" s="124"/>
      <c r="AC236" s="125"/>
      <c r="AD236" s="125"/>
      <c r="AE236" s="125"/>
      <c r="AF236" s="125"/>
      <c r="AG236" s="125"/>
    </row>
    <row r="237" spans="1:33" x14ac:dyDescent="0.2">
      <c r="A237" s="16">
        <v>4693</v>
      </c>
      <c r="B237" s="17">
        <f>VLOOKUP(A237,'[1]Nebris 11.27'!E:I,5,FALSE)</f>
        <v>636</v>
      </c>
      <c r="C237" s="4">
        <f>VLOOKUP(A237,'[1]Nebris 11.28.23'!$E:$I,5,FALSE)</f>
        <v>656</v>
      </c>
      <c r="D237" s="18">
        <f t="shared" si="14"/>
        <v>646</v>
      </c>
      <c r="E237" s="4">
        <v>2</v>
      </c>
      <c r="F237" s="4">
        <v>7</v>
      </c>
      <c r="G237" s="4">
        <v>0.66454971431494503</v>
      </c>
      <c r="H237" s="4">
        <v>314</v>
      </c>
      <c r="I237" s="4" t="str">
        <f t="shared" si="15"/>
        <v>25% MDGS Variable</v>
      </c>
      <c r="W237" s="122"/>
      <c r="X237" s="123"/>
      <c r="Y237" s="123"/>
      <c r="Z237" s="123"/>
      <c r="AA237" s="124"/>
      <c r="AB237" s="124"/>
      <c r="AC237" s="125"/>
      <c r="AD237" s="125"/>
      <c r="AE237" s="125"/>
      <c r="AF237" s="125"/>
      <c r="AG237" s="125"/>
    </row>
    <row r="238" spans="1:33" x14ac:dyDescent="0.2">
      <c r="A238" s="16">
        <v>4604</v>
      </c>
      <c r="B238" s="17">
        <f>VLOOKUP(A238,'[1]Nebris 11.27'!E:I,5,FALSE)</f>
        <v>634</v>
      </c>
      <c r="C238" s="4">
        <f>VLOOKUP(A238,'[1]Nebris 11.28.23'!$E:$I,5,FALSE)</f>
        <v>630</v>
      </c>
      <c r="D238" s="18">
        <f t="shared" si="14"/>
        <v>632</v>
      </c>
      <c r="E238" s="4">
        <v>2</v>
      </c>
      <c r="F238" s="4">
        <v>7</v>
      </c>
      <c r="G238" s="4">
        <v>0.66491261169906279</v>
      </c>
      <c r="H238" s="4">
        <v>315</v>
      </c>
      <c r="I238" s="4" t="str">
        <f t="shared" si="15"/>
        <v xml:space="preserve">25% MDGS Constant </v>
      </c>
      <c r="W238" s="122"/>
      <c r="X238" s="123"/>
      <c r="Y238" s="123"/>
      <c r="Z238" s="123"/>
      <c r="AA238" s="124"/>
      <c r="AB238" s="124"/>
      <c r="AC238" s="125"/>
      <c r="AD238" s="125"/>
      <c r="AE238" s="125"/>
      <c r="AF238" s="125"/>
      <c r="AG238" s="125"/>
    </row>
    <row r="239" spans="1:33" x14ac:dyDescent="0.2">
      <c r="A239" s="16">
        <v>4732</v>
      </c>
      <c r="B239" s="17">
        <f>VLOOKUP(A239,'[1]Nebris 11.27'!E:I,5,FALSE)</f>
        <v>636</v>
      </c>
      <c r="C239" s="4">
        <f>VLOOKUP(A239,'[1]Nebris 11.28.23'!$E:$I,5,FALSE)</f>
        <v>632</v>
      </c>
      <c r="D239" s="18">
        <f t="shared" si="14"/>
        <v>634</v>
      </c>
      <c r="E239" s="4">
        <v>2</v>
      </c>
      <c r="F239" s="4">
        <v>7</v>
      </c>
      <c r="G239" s="4">
        <v>0.76016382012336081</v>
      </c>
      <c r="H239" s="4">
        <v>316</v>
      </c>
      <c r="I239" s="4" t="str">
        <f t="shared" si="15"/>
        <v xml:space="preserve">10% MDGS Constant </v>
      </c>
      <c r="W239" s="122"/>
      <c r="X239" s="123"/>
      <c r="Y239" s="123"/>
      <c r="Z239" s="123"/>
      <c r="AA239" s="124"/>
      <c r="AB239" s="124"/>
      <c r="AC239" s="125"/>
      <c r="AD239" s="125"/>
      <c r="AE239" s="125"/>
      <c r="AF239" s="125"/>
      <c r="AG239" s="125"/>
    </row>
    <row r="240" spans="1:33" x14ac:dyDescent="0.2">
      <c r="A240" s="16">
        <v>4556</v>
      </c>
      <c r="B240" s="17">
        <f>VLOOKUP(A240,'[1]Nebris 11.27'!E:I,5,FALSE)</f>
        <v>636</v>
      </c>
      <c r="C240" s="4">
        <f>VLOOKUP(A240,'[1]Nebris 11.28.23'!$E:$I,5,FALSE)</f>
        <v>624</v>
      </c>
      <c r="D240" s="18">
        <f t="shared" si="14"/>
        <v>630</v>
      </c>
      <c r="E240" s="4">
        <v>2</v>
      </c>
      <c r="F240" s="4">
        <v>7</v>
      </c>
      <c r="G240" s="4">
        <v>0.91868338669885408</v>
      </c>
      <c r="H240" s="4">
        <v>317</v>
      </c>
      <c r="I240" s="4" t="str">
        <f t="shared" si="15"/>
        <v>Control</v>
      </c>
      <c r="W240" s="122"/>
      <c r="X240" s="123"/>
      <c r="Y240" s="123"/>
      <c r="Z240" s="123"/>
      <c r="AA240" s="124"/>
      <c r="AB240" s="124"/>
      <c r="AC240" s="125"/>
      <c r="AD240" s="125"/>
      <c r="AE240" s="125"/>
      <c r="AF240" s="125"/>
      <c r="AG240" s="125"/>
    </row>
    <row r="241" spans="1:33" x14ac:dyDescent="0.2">
      <c r="A241" s="16">
        <v>4416</v>
      </c>
      <c r="B241" s="17">
        <f>VLOOKUP(A241,'[1]Nebris 11.27'!E:I,5,FALSE)</f>
        <v>636</v>
      </c>
      <c r="C241" s="4">
        <f>VLOOKUP(A241,'[1]Nebris 11.28.23'!$E:$I,5,FALSE)</f>
        <v>650</v>
      </c>
      <c r="D241" s="18">
        <f t="shared" si="14"/>
        <v>643</v>
      </c>
      <c r="E241" s="4">
        <v>2</v>
      </c>
      <c r="F241" s="4">
        <v>7</v>
      </c>
      <c r="G241" s="4">
        <v>0.93864889182117972</v>
      </c>
      <c r="H241" s="4">
        <v>318</v>
      </c>
      <c r="I241" s="4" t="str">
        <f t="shared" si="15"/>
        <v>10% MDGS Variable</v>
      </c>
      <c r="W241" s="122"/>
      <c r="X241" s="123"/>
      <c r="Y241" s="123"/>
      <c r="Z241" s="123"/>
      <c r="AA241" s="124"/>
      <c r="AB241" s="124"/>
      <c r="AC241" s="125"/>
      <c r="AD241" s="125"/>
      <c r="AE241" s="125"/>
      <c r="AF241" s="125"/>
      <c r="AG241" s="125"/>
    </row>
    <row r="242" spans="1:33" x14ac:dyDescent="0.2">
      <c r="A242" s="16">
        <v>4327</v>
      </c>
      <c r="B242" s="17">
        <f>VLOOKUP(A242,'[1]Nebris 11.27'!E:I,5,FALSE)</f>
        <v>646</v>
      </c>
      <c r="C242" s="4">
        <f>VLOOKUP(A242,'[1]Nebris 11.28.23'!$E:$I,5,FALSE)</f>
        <v>650</v>
      </c>
      <c r="D242" s="18">
        <f t="shared" si="14"/>
        <v>648</v>
      </c>
      <c r="E242" s="4">
        <v>2</v>
      </c>
      <c r="F242" s="4">
        <v>8</v>
      </c>
      <c r="G242" s="4">
        <v>5.5496116585426636E-2</v>
      </c>
      <c r="H242" s="4">
        <v>215</v>
      </c>
      <c r="I242" s="4" t="str">
        <f t="shared" si="15"/>
        <v>10% MDGS Variable</v>
      </c>
      <c r="W242" s="122"/>
      <c r="X242" s="123"/>
      <c r="Y242" s="123"/>
      <c r="Z242" s="123"/>
      <c r="AA242" s="124"/>
      <c r="AB242" s="124"/>
      <c r="AC242" s="125"/>
      <c r="AD242" s="125"/>
      <c r="AE242" s="125"/>
      <c r="AF242" s="125"/>
      <c r="AG242" s="125"/>
    </row>
    <row r="243" spans="1:33" x14ac:dyDescent="0.2">
      <c r="A243" s="16">
        <v>4592</v>
      </c>
      <c r="B243" s="17">
        <f>VLOOKUP(A243,'[1]Nebris 11.27'!E:I,5,FALSE)</f>
        <v>638</v>
      </c>
      <c r="C243" s="4">
        <f>VLOOKUP(A243,'[1]Nebris 11.28.23'!$E:$I,5,FALSE)</f>
        <v>624</v>
      </c>
      <c r="D243" s="18">
        <f t="shared" si="14"/>
        <v>631</v>
      </c>
      <c r="E243" s="4">
        <v>2</v>
      </c>
      <c r="F243" s="4">
        <v>8</v>
      </c>
      <c r="G243" s="4">
        <v>8.4685324292916753E-2</v>
      </c>
      <c r="H243" s="4">
        <v>216</v>
      </c>
      <c r="I243" s="4" t="str">
        <f t="shared" si="15"/>
        <v xml:space="preserve">10% MDGS Constant </v>
      </c>
      <c r="W243" s="122"/>
      <c r="X243" s="123"/>
      <c r="Y243" s="123"/>
      <c r="Z243" s="123"/>
      <c r="AA243" s="124"/>
      <c r="AB243" s="124"/>
      <c r="AC243" s="125"/>
      <c r="AD243" s="125"/>
      <c r="AE243" s="125"/>
      <c r="AF243" s="125"/>
      <c r="AG243" s="125"/>
    </row>
    <row r="244" spans="1:33" x14ac:dyDescent="0.2">
      <c r="A244" s="16">
        <v>4358</v>
      </c>
      <c r="B244" s="17">
        <f>VLOOKUP(A244,'[1]Nebris 11.27'!E:I,5,FALSE)</f>
        <v>644</v>
      </c>
      <c r="C244" s="4">
        <f>VLOOKUP(A244,'[1]Nebris 11.28.23'!$E:$I,5,FALSE)</f>
        <v>650</v>
      </c>
      <c r="D244" s="18">
        <f t="shared" si="14"/>
        <v>647</v>
      </c>
      <c r="E244" s="4">
        <v>2</v>
      </c>
      <c r="F244" s="4">
        <v>8</v>
      </c>
      <c r="G244" s="4">
        <v>0.11945458948240373</v>
      </c>
      <c r="H244" s="4">
        <v>301</v>
      </c>
      <c r="I244" s="4" t="str">
        <f t="shared" si="15"/>
        <v xml:space="preserve">25% MDGS Constant </v>
      </c>
      <c r="W244" s="122"/>
      <c r="X244" s="123"/>
      <c r="Y244" s="123"/>
      <c r="Z244" s="123"/>
      <c r="AA244" s="124"/>
      <c r="AB244" s="124"/>
      <c r="AC244" s="125"/>
      <c r="AD244" s="125"/>
      <c r="AE244" s="125"/>
      <c r="AF244" s="125"/>
      <c r="AG244" s="125"/>
    </row>
    <row r="245" spans="1:33" x14ac:dyDescent="0.2">
      <c r="A245" s="16">
        <v>4762</v>
      </c>
      <c r="B245" s="17">
        <f>VLOOKUP(A245,'[1]Nebris 11.27'!E:I,5,FALSE)</f>
        <v>636</v>
      </c>
      <c r="C245" s="4">
        <f>VLOOKUP(A245,'[1]Nebris 11.28.23'!$E:$I,5,FALSE)</f>
        <v>640</v>
      </c>
      <c r="D245" s="18">
        <f t="shared" si="14"/>
        <v>638</v>
      </c>
      <c r="E245" s="4">
        <v>2</v>
      </c>
      <c r="F245" s="4">
        <v>8</v>
      </c>
      <c r="G245" s="4">
        <v>0.21722091891857709</v>
      </c>
      <c r="H245" s="4">
        <v>302</v>
      </c>
      <c r="I245" s="4" t="str">
        <f t="shared" si="15"/>
        <v>25% MDGS Variable</v>
      </c>
      <c r="W245" s="122"/>
      <c r="X245" s="123"/>
      <c r="Y245" s="123"/>
      <c r="Z245" s="123"/>
      <c r="AA245" s="124"/>
      <c r="AB245" s="124"/>
      <c r="AC245" s="125"/>
      <c r="AD245" s="125"/>
      <c r="AE245" s="125"/>
      <c r="AF245" s="125"/>
      <c r="AG245" s="125"/>
    </row>
    <row r="246" spans="1:33" x14ac:dyDescent="0.2">
      <c r="A246" s="16">
        <v>4618</v>
      </c>
      <c r="B246" s="17">
        <f>VLOOKUP(A246,'[1]Nebris 11.27'!E:I,5,FALSE)</f>
        <v>640</v>
      </c>
      <c r="C246" s="4">
        <f>VLOOKUP(A246,'[1]Nebris 11.28.23'!$E:$I,5,FALSE)</f>
        <v>658</v>
      </c>
      <c r="D246" s="18">
        <f t="shared" si="14"/>
        <v>649</v>
      </c>
      <c r="E246" s="4">
        <v>2</v>
      </c>
      <c r="F246" s="4">
        <v>8</v>
      </c>
      <c r="G246" s="4">
        <v>0.29015142462215926</v>
      </c>
      <c r="H246" s="4">
        <v>303</v>
      </c>
      <c r="I246" s="4" t="str">
        <f t="shared" si="15"/>
        <v>Control</v>
      </c>
      <c r="W246" s="122"/>
      <c r="X246" s="123"/>
      <c r="Y246" s="123"/>
      <c r="Z246" s="123"/>
      <c r="AA246" s="124"/>
      <c r="AB246" s="124"/>
      <c r="AC246" s="125"/>
      <c r="AD246" s="125"/>
      <c r="AE246" s="125"/>
      <c r="AF246" s="125"/>
      <c r="AG246" s="125"/>
    </row>
    <row r="247" spans="1:33" x14ac:dyDescent="0.2">
      <c r="A247" s="16">
        <v>4754</v>
      </c>
      <c r="B247" s="17">
        <f>VLOOKUP(A247,'[1]Nebris 11.27'!E:I,5,FALSE)</f>
        <v>646</v>
      </c>
      <c r="C247" s="4">
        <f>VLOOKUP(A247,'[1]Nebris 11.28.23'!$E:$I,5,FALSE)</f>
        <v>656</v>
      </c>
      <c r="D247" s="18">
        <f t="shared" si="14"/>
        <v>651</v>
      </c>
      <c r="E247" s="4">
        <v>2</v>
      </c>
      <c r="F247" s="4">
        <v>8</v>
      </c>
      <c r="G247" s="4">
        <v>0.29417860854240463</v>
      </c>
      <c r="H247" s="4">
        <v>304</v>
      </c>
      <c r="I247" s="4" t="str">
        <f t="shared" si="15"/>
        <v>10% MDGS Variable</v>
      </c>
      <c r="W247" s="122"/>
      <c r="X247" s="123"/>
      <c r="Y247" s="123"/>
      <c r="Z247" s="123"/>
      <c r="AA247" s="124"/>
      <c r="AB247" s="124"/>
      <c r="AC247" s="125"/>
      <c r="AD247" s="125"/>
      <c r="AE247" s="125"/>
      <c r="AF247" s="125"/>
      <c r="AG247" s="125"/>
    </row>
    <row r="248" spans="1:33" x14ac:dyDescent="0.2">
      <c r="A248" s="16">
        <v>4366</v>
      </c>
      <c r="B248" s="17">
        <f>VLOOKUP(A248,'[1]Nebris 11.27'!E:I,5,FALSE)</f>
        <v>646</v>
      </c>
      <c r="C248" s="4">
        <f>VLOOKUP(A248,'[1]Nebris 11.28.23'!$E:$I,5,FALSE)</f>
        <v>646</v>
      </c>
      <c r="D248" s="18">
        <f t="shared" si="14"/>
        <v>646</v>
      </c>
      <c r="E248" s="4">
        <v>2</v>
      </c>
      <c r="F248" s="4">
        <v>8</v>
      </c>
      <c r="G248" s="4">
        <v>0.40128894866417852</v>
      </c>
      <c r="H248" s="4">
        <v>305</v>
      </c>
      <c r="I248" s="4" t="str">
        <f t="shared" si="15"/>
        <v xml:space="preserve">10% MDGS Constant </v>
      </c>
      <c r="W248" s="122"/>
      <c r="X248" s="123"/>
      <c r="Y248" s="123"/>
      <c r="Z248" s="123"/>
      <c r="AA248" s="124"/>
      <c r="AB248" s="124"/>
      <c r="AC248" s="125"/>
      <c r="AD248" s="125"/>
      <c r="AE248" s="125"/>
      <c r="AF248" s="125"/>
      <c r="AG248" s="125"/>
    </row>
    <row r="249" spans="1:33" x14ac:dyDescent="0.2">
      <c r="A249" s="16">
        <v>4741</v>
      </c>
      <c r="B249" s="17">
        <f>VLOOKUP(A249,'[1]Nebris 11.27'!E:I,5,FALSE)</f>
        <v>646</v>
      </c>
      <c r="C249" s="4">
        <f>VLOOKUP(A249,'[1]Nebris 11.28.23'!$E:$I,5,FALSE)</f>
        <v>652</v>
      </c>
      <c r="D249" s="18">
        <f t="shared" si="14"/>
        <v>649</v>
      </c>
      <c r="E249" s="4">
        <v>2</v>
      </c>
      <c r="F249" s="4">
        <v>8</v>
      </c>
      <c r="G249" s="4">
        <v>0.42236184647911612</v>
      </c>
      <c r="H249" s="4">
        <v>306</v>
      </c>
      <c r="I249" s="4" t="str">
        <f t="shared" si="15"/>
        <v>Control</v>
      </c>
      <c r="W249" s="122"/>
      <c r="X249" s="123"/>
      <c r="Y249" s="123"/>
      <c r="Z249" s="123"/>
      <c r="AA249" s="124"/>
      <c r="AB249" s="124"/>
      <c r="AC249" s="125"/>
      <c r="AD249" s="125"/>
      <c r="AE249" s="125"/>
      <c r="AF249" s="125"/>
      <c r="AG249" s="125"/>
    </row>
    <row r="250" spans="1:33" x14ac:dyDescent="0.2">
      <c r="A250" s="16">
        <v>4372</v>
      </c>
      <c r="B250" s="17">
        <f>VLOOKUP(A250,'[1]Nebris 11.27'!E:I,5,FALSE)</f>
        <v>644</v>
      </c>
      <c r="C250" s="4">
        <f>VLOOKUP(A250,'[1]Nebris 11.28.23'!$E:$I,5,FALSE)</f>
        <v>656</v>
      </c>
      <c r="D250" s="18">
        <f t="shared" si="14"/>
        <v>650</v>
      </c>
      <c r="E250" s="4">
        <v>2</v>
      </c>
      <c r="F250" s="4">
        <v>8</v>
      </c>
      <c r="G250" s="4">
        <v>0.42378755372311394</v>
      </c>
      <c r="H250" s="4">
        <v>307</v>
      </c>
      <c r="I250" s="4" t="str">
        <f t="shared" si="15"/>
        <v>25% MDGS Variable</v>
      </c>
      <c r="W250" s="122"/>
      <c r="X250" s="123"/>
      <c r="Y250" s="123"/>
      <c r="Z250" s="123"/>
      <c r="AA250" s="124"/>
      <c r="AB250" s="124"/>
      <c r="AC250" s="125"/>
      <c r="AD250" s="125"/>
      <c r="AE250" s="125"/>
      <c r="AF250" s="125"/>
      <c r="AG250" s="125"/>
    </row>
    <row r="251" spans="1:33" x14ac:dyDescent="0.2">
      <c r="A251" s="16">
        <v>4525</v>
      </c>
      <c r="B251" s="17">
        <f>VLOOKUP(A251,'[1]Nebris 11.27'!E:I,5,FALSE)</f>
        <v>646</v>
      </c>
      <c r="C251" s="4">
        <f>VLOOKUP(A251,'[1]Nebris 11.28.23'!$E:$I,5,FALSE)</f>
        <v>642</v>
      </c>
      <c r="D251" s="18">
        <f t="shared" si="14"/>
        <v>644</v>
      </c>
      <c r="E251" s="4">
        <v>2</v>
      </c>
      <c r="F251" s="4">
        <v>8</v>
      </c>
      <c r="G251" s="4">
        <v>0.42863382756700619</v>
      </c>
      <c r="H251" s="4">
        <v>308</v>
      </c>
      <c r="I251" s="4" t="str">
        <f t="shared" si="15"/>
        <v xml:space="preserve">25% MDGS Constant </v>
      </c>
      <c r="W251" s="122"/>
      <c r="X251" s="123"/>
      <c r="Y251" s="123"/>
      <c r="Z251" s="123"/>
      <c r="AA251" s="124"/>
      <c r="AB251" s="124"/>
      <c r="AC251" s="125"/>
      <c r="AD251" s="125"/>
      <c r="AE251" s="125"/>
      <c r="AF251" s="125"/>
      <c r="AG251" s="125"/>
    </row>
    <row r="252" spans="1:33" x14ac:dyDescent="0.2">
      <c r="A252" s="16">
        <v>4506</v>
      </c>
      <c r="B252" s="17">
        <f>VLOOKUP(A252,'[1]Nebris 11.27'!E:I,5,FALSE)</f>
        <v>644</v>
      </c>
      <c r="C252" s="4">
        <f>VLOOKUP(A252,'[1]Nebris 11.28.23'!$E:$I,5,FALSE)</f>
        <v>660</v>
      </c>
      <c r="D252" s="18">
        <f t="shared" si="14"/>
        <v>652</v>
      </c>
      <c r="E252" s="4">
        <v>2</v>
      </c>
      <c r="F252" s="4">
        <v>8</v>
      </c>
      <c r="G252" s="4">
        <v>0.43513006833687196</v>
      </c>
      <c r="H252" s="4">
        <v>309</v>
      </c>
      <c r="I252" s="4" t="str">
        <f t="shared" si="15"/>
        <v>Control</v>
      </c>
      <c r="W252" s="122"/>
      <c r="X252" s="123"/>
      <c r="Y252" s="123"/>
      <c r="Z252" s="123"/>
      <c r="AA252" s="124"/>
      <c r="AB252" s="124"/>
      <c r="AC252" s="125"/>
      <c r="AD252" s="125"/>
      <c r="AE252" s="125"/>
      <c r="AF252" s="125"/>
      <c r="AG252" s="125"/>
    </row>
    <row r="253" spans="1:33" x14ac:dyDescent="0.2">
      <c r="A253" s="16">
        <v>4694</v>
      </c>
      <c r="B253" s="17">
        <f>VLOOKUP(A253,'[1]Nebris 11.27'!E:I,5,FALSE)</f>
        <v>638</v>
      </c>
      <c r="C253" s="4">
        <f>VLOOKUP(A253,'[1]Nebris 11.28.23'!$E:$I,5,FALSE)</f>
        <v>650</v>
      </c>
      <c r="D253" s="18">
        <f t="shared" si="14"/>
        <v>644</v>
      </c>
      <c r="E253" s="4">
        <v>2</v>
      </c>
      <c r="F253" s="4">
        <v>8</v>
      </c>
      <c r="G253" s="4">
        <v>0.46959263937982221</v>
      </c>
      <c r="H253" s="4">
        <v>310</v>
      </c>
      <c r="I253" s="4" t="str">
        <f t="shared" si="15"/>
        <v>10% MDGS Variable</v>
      </c>
      <c r="W253" s="122"/>
      <c r="X253" s="123"/>
      <c r="Y253" s="123"/>
      <c r="Z253" s="123"/>
      <c r="AA253" s="124"/>
      <c r="AB253" s="124"/>
      <c r="AC253" s="125"/>
      <c r="AD253" s="125"/>
      <c r="AE253" s="125"/>
      <c r="AF253" s="125"/>
      <c r="AG253" s="125"/>
    </row>
    <row r="254" spans="1:33" x14ac:dyDescent="0.2">
      <c r="A254" s="16">
        <v>4442</v>
      </c>
      <c r="B254" s="17">
        <f>VLOOKUP(A254,'[1]Nebris 11.27'!E:I,5,FALSE)</f>
        <v>638</v>
      </c>
      <c r="C254" s="4">
        <f>VLOOKUP(A254,'[1]Nebris 11.28.23'!$E:$I,5,FALSE)</f>
        <v>660</v>
      </c>
      <c r="D254" s="18">
        <f t="shared" si="14"/>
        <v>649</v>
      </c>
      <c r="E254" s="4">
        <v>2</v>
      </c>
      <c r="F254" s="4">
        <v>8</v>
      </c>
      <c r="G254" s="4">
        <v>0.58316519553934165</v>
      </c>
      <c r="H254" s="4">
        <v>311</v>
      </c>
      <c r="I254" s="4" t="str">
        <f t="shared" si="15"/>
        <v xml:space="preserve">10% MDGS Constant </v>
      </c>
      <c r="W254" s="122"/>
      <c r="X254" s="123"/>
      <c r="Y254" s="123"/>
      <c r="Z254" s="123"/>
      <c r="AA254" s="124"/>
      <c r="AB254" s="124"/>
      <c r="AC254" s="125"/>
      <c r="AD254" s="125"/>
      <c r="AE254" s="125"/>
      <c r="AF254" s="125"/>
      <c r="AG254" s="125"/>
    </row>
    <row r="255" spans="1:33" x14ac:dyDescent="0.2">
      <c r="A255" s="16">
        <v>4453</v>
      </c>
      <c r="B255" s="17">
        <f>VLOOKUP(A255,'[1]Nebris 11.27'!E:I,5,FALSE)</f>
        <v>646</v>
      </c>
      <c r="C255" s="4">
        <f>VLOOKUP(A255,'[1]Nebris 11.28.23'!$E:$I,5,FALSE)</f>
        <v>646</v>
      </c>
      <c r="D255" s="18">
        <f t="shared" si="14"/>
        <v>646</v>
      </c>
      <c r="E255" s="4">
        <v>2</v>
      </c>
      <c r="F255" s="4">
        <v>8</v>
      </c>
      <c r="G255" s="4">
        <v>0.65451494603966398</v>
      </c>
      <c r="H255" s="4">
        <v>312</v>
      </c>
      <c r="I255" s="4" t="str">
        <f t="shared" si="15"/>
        <v xml:space="preserve">25% MDGS Constant </v>
      </c>
      <c r="W255" s="122"/>
      <c r="X255" s="123"/>
      <c r="Y255" s="123"/>
      <c r="Z255" s="123"/>
      <c r="AA255" s="124"/>
      <c r="AB255" s="124"/>
      <c r="AC255" s="125"/>
      <c r="AD255" s="125"/>
      <c r="AE255" s="125"/>
      <c r="AF255" s="125"/>
      <c r="AG255" s="125"/>
    </row>
    <row r="256" spans="1:33" x14ac:dyDescent="0.2">
      <c r="A256" s="16">
        <v>4676</v>
      </c>
      <c r="B256" s="17">
        <f>VLOOKUP(A256,'[1]Nebris 11.27'!E:I,5,FALSE)</f>
        <v>638</v>
      </c>
      <c r="C256" s="4">
        <f>VLOOKUP(A256,'[1]Nebris 11.28.23'!$E:$I,5,FALSE)</f>
        <v>630</v>
      </c>
      <c r="D256" s="18">
        <f t="shared" si="14"/>
        <v>634</v>
      </c>
      <c r="E256" s="4">
        <v>2</v>
      </c>
      <c r="F256" s="4">
        <v>8</v>
      </c>
      <c r="G256" s="4">
        <v>0.72321773290374247</v>
      </c>
      <c r="H256" s="4">
        <v>313</v>
      </c>
      <c r="I256" s="4" t="str">
        <f t="shared" si="15"/>
        <v>25% MDGS Variable</v>
      </c>
      <c r="W256" s="122"/>
      <c r="X256" s="123"/>
      <c r="Y256" s="123"/>
      <c r="Z256" s="123"/>
      <c r="AA256" s="124"/>
      <c r="AB256" s="124"/>
      <c r="AC256" s="125"/>
      <c r="AD256" s="125"/>
      <c r="AE256" s="125"/>
      <c r="AF256" s="125"/>
      <c r="AG256" s="125"/>
    </row>
    <row r="257" spans="1:33" x14ac:dyDescent="0.2">
      <c r="A257" s="16">
        <v>4470</v>
      </c>
      <c r="B257" s="17">
        <f>VLOOKUP(A257,'[1]Nebris 11.27'!E:I,5,FALSE)</f>
        <v>640</v>
      </c>
      <c r="C257" s="4">
        <f>VLOOKUP(A257,'[1]Nebris 11.28.23'!$E:$I,5,FALSE)</f>
        <v>640</v>
      </c>
      <c r="D257" s="18">
        <f t="shared" si="14"/>
        <v>640</v>
      </c>
      <c r="E257" s="4">
        <v>2</v>
      </c>
      <c r="F257" s="4">
        <v>8</v>
      </c>
      <c r="G257" s="4">
        <v>0.74162227695080163</v>
      </c>
      <c r="H257" s="4">
        <v>314</v>
      </c>
      <c r="I257" s="4" t="str">
        <f t="shared" si="15"/>
        <v>25% MDGS Variable</v>
      </c>
      <c r="W257" s="122"/>
      <c r="X257" s="123"/>
      <c r="Y257" s="123"/>
      <c r="Z257" s="123"/>
      <c r="AA257" s="124"/>
      <c r="AB257" s="124"/>
      <c r="AC257" s="125"/>
      <c r="AD257" s="125"/>
      <c r="AE257" s="125"/>
      <c r="AF257" s="125"/>
      <c r="AG257" s="125"/>
    </row>
    <row r="258" spans="1:33" x14ac:dyDescent="0.2">
      <c r="A258" s="16">
        <v>4435</v>
      </c>
      <c r="B258" s="17">
        <f>VLOOKUP(A258,'[1]Nebris 11.27'!E:I,5,FALSE)</f>
        <v>638</v>
      </c>
      <c r="C258" s="4">
        <f>VLOOKUP(A258,'[1]Nebris 11.28.23'!$E:$I,5,FALSE)</f>
        <v>636</v>
      </c>
      <c r="D258" s="18">
        <f t="shared" si="14"/>
        <v>637</v>
      </c>
      <c r="E258" s="4">
        <v>2</v>
      </c>
      <c r="F258" s="4">
        <v>8</v>
      </c>
      <c r="G258" s="4">
        <v>0.7835208447429971</v>
      </c>
      <c r="H258" s="4">
        <v>315</v>
      </c>
      <c r="I258" s="4" t="str">
        <f t="shared" si="15"/>
        <v xml:space="preserve">25% MDGS Constant </v>
      </c>
      <c r="W258" s="122"/>
      <c r="X258" s="123"/>
      <c r="Y258" s="123"/>
      <c r="Z258" s="123"/>
      <c r="AA258" s="124"/>
      <c r="AB258" s="124"/>
      <c r="AC258" s="125"/>
      <c r="AD258" s="125"/>
      <c r="AE258" s="125"/>
      <c r="AF258" s="125"/>
      <c r="AG258" s="125"/>
    </row>
    <row r="259" spans="1:33" x14ac:dyDescent="0.2">
      <c r="A259" s="16">
        <v>4643</v>
      </c>
      <c r="B259" s="17">
        <f>VLOOKUP(A259,'[1]Nebris 11.27'!E:I,5,FALSE)</f>
        <v>642</v>
      </c>
      <c r="C259" s="4">
        <f>VLOOKUP(A259,'[1]Nebris 11.28.23'!$E:$I,5,FALSE)</f>
        <v>634</v>
      </c>
      <c r="D259" s="18">
        <f t="shared" ref="D259:D322" si="16">AVERAGE(B259:C259)</f>
        <v>638</v>
      </c>
      <c r="E259" s="4">
        <v>2</v>
      </c>
      <c r="F259" s="4">
        <v>8</v>
      </c>
      <c r="G259" s="4">
        <v>0.78407915778062687</v>
      </c>
      <c r="H259" s="4">
        <v>316</v>
      </c>
      <c r="I259" s="4" t="str">
        <f t="shared" ref="I259:I322" si="17">VLOOKUP(H259,$Q$2:$U$57,5,FALSE)</f>
        <v xml:space="preserve">10% MDGS Constant </v>
      </c>
      <c r="W259" s="122"/>
      <c r="X259" s="123"/>
      <c r="Y259" s="123"/>
      <c r="Z259" s="123"/>
      <c r="AA259" s="124"/>
      <c r="AB259" s="124"/>
      <c r="AC259" s="125"/>
      <c r="AD259" s="125"/>
      <c r="AE259" s="125"/>
      <c r="AF259" s="125"/>
      <c r="AG259" s="125"/>
    </row>
    <row r="260" spans="1:33" x14ac:dyDescent="0.2">
      <c r="A260" s="16">
        <v>4737</v>
      </c>
      <c r="B260" s="17">
        <f>VLOOKUP(A260,'[1]Nebris 11.27'!E:I,5,FALSE)</f>
        <v>644</v>
      </c>
      <c r="C260" s="4">
        <f>VLOOKUP(A260,'[1]Nebris 11.28.23'!$E:$I,5,FALSE)</f>
        <v>624</v>
      </c>
      <c r="D260" s="18">
        <f t="shared" si="16"/>
        <v>634</v>
      </c>
      <c r="E260" s="4">
        <v>2</v>
      </c>
      <c r="F260" s="4">
        <v>8</v>
      </c>
      <c r="G260" s="4">
        <v>0.89906931839505444</v>
      </c>
      <c r="H260" s="4">
        <v>317</v>
      </c>
      <c r="I260" s="4" t="str">
        <f t="shared" si="17"/>
        <v>Control</v>
      </c>
      <c r="W260" s="122"/>
      <c r="X260" s="123"/>
      <c r="Y260" s="123"/>
      <c r="Z260" s="123"/>
      <c r="AA260" s="124"/>
      <c r="AB260" s="124"/>
      <c r="AC260" s="125"/>
      <c r="AD260" s="125"/>
      <c r="AE260" s="125"/>
      <c r="AF260" s="125"/>
      <c r="AG260" s="125"/>
    </row>
    <row r="261" spans="1:33" x14ac:dyDescent="0.2">
      <c r="A261" s="16">
        <v>4579</v>
      </c>
      <c r="B261" s="17">
        <f>VLOOKUP(A261,'[1]Nebris 11.27'!E:I,5,FALSE)</f>
        <v>646</v>
      </c>
      <c r="C261" s="4">
        <f>VLOOKUP(A261,'[1]Nebris 11.28.23'!$E:$I,5,FALSE)</f>
        <v>630</v>
      </c>
      <c r="D261" s="18">
        <f t="shared" si="16"/>
        <v>638</v>
      </c>
      <c r="E261" s="4">
        <v>2</v>
      </c>
      <c r="F261" s="4">
        <v>8</v>
      </c>
      <c r="G261" s="4">
        <v>0.96376431649230021</v>
      </c>
      <c r="H261" s="4">
        <v>318</v>
      </c>
      <c r="I261" s="4" t="str">
        <f t="shared" si="17"/>
        <v>10% MDGS Variable</v>
      </c>
      <c r="W261" s="122"/>
      <c r="X261" s="123"/>
      <c r="Y261" s="123"/>
      <c r="Z261" s="123"/>
      <c r="AA261" s="124"/>
      <c r="AB261" s="124"/>
      <c r="AC261" s="125"/>
      <c r="AD261" s="125"/>
      <c r="AE261" s="125"/>
      <c r="AF261" s="125"/>
      <c r="AG261" s="125"/>
    </row>
    <row r="262" spans="1:33" x14ac:dyDescent="0.2">
      <c r="A262" s="16">
        <v>4734</v>
      </c>
      <c r="B262" s="17">
        <f>VLOOKUP(A262,'[1]Nebris 11.27'!E:I,5,FALSE)</f>
        <v>652</v>
      </c>
      <c r="C262" s="4">
        <f>VLOOKUP(A262,'[1]Nebris 11.28.23'!$E:$I,5,FALSE)</f>
        <v>658</v>
      </c>
      <c r="D262" s="18">
        <f t="shared" si="16"/>
        <v>655</v>
      </c>
      <c r="E262" s="4">
        <v>2</v>
      </c>
      <c r="F262" s="4">
        <v>9</v>
      </c>
      <c r="G262" s="4">
        <v>5.6804922864541418E-2</v>
      </c>
      <c r="H262" s="4">
        <v>215</v>
      </c>
      <c r="I262" s="4" t="str">
        <f t="shared" si="17"/>
        <v>10% MDGS Variable</v>
      </c>
      <c r="W262" s="122"/>
      <c r="X262" s="123"/>
      <c r="Y262" s="123"/>
      <c r="Z262" s="123"/>
      <c r="AA262" s="124"/>
      <c r="AB262" s="124"/>
      <c r="AC262" s="125"/>
      <c r="AD262" s="125"/>
      <c r="AE262" s="125"/>
      <c r="AF262" s="125"/>
      <c r="AG262" s="125"/>
    </row>
    <row r="263" spans="1:33" x14ac:dyDescent="0.2">
      <c r="A263" s="16">
        <v>4658</v>
      </c>
      <c r="B263" s="17">
        <f>VLOOKUP(A263,'[1]Nebris 11.27'!E:I,5,FALSE)</f>
        <v>652</v>
      </c>
      <c r="C263" s="4">
        <f>VLOOKUP(A263,'[1]Nebris 11.28.23'!$E:$I,5,FALSE)</f>
        <v>652</v>
      </c>
      <c r="D263" s="18">
        <f t="shared" si="16"/>
        <v>652</v>
      </c>
      <c r="E263" s="4">
        <v>2</v>
      </c>
      <c r="F263" s="4">
        <v>9</v>
      </c>
      <c r="G263" s="4">
        <v>0.1259847070667045</v>
      </c>
      <c r="H263" s="4">
        <v>216</v>
      </c>
      <c r="I263" s="4" t="str">
        <f t="shared" si="17"/>
        <v xml:space="preserve">10% MDGS Constant </v>
      </c>
      <c r="W263" s="122"/>
      <c r="X263" s="123"/>
      <c r="Y263" s="123"/>
      <c r="Z263" s="123"/>
      <c r="AA263" s="124"/>
      <c r="AB263" s="124"/>
      <c r="AC263" s="125"/>
      <c r="AD263" s="125"/>
      <c r="AE263" s="125"/>
      <c r="AF263" s="125"/>
      <c r="AG263" s="125"/>
    </row>
    <row r="264" spans="1:33" x14ac:dyDescent="0.2">
      <c r="A264" s="16">
        <v>4615</v>
      </c>
      <c r="B264" s="17">
        <f>VLOOKUP(A264,'[1]Nebris 11.27'!E:I,5,FALSE)</f>
        <v>652</v>
      </c>
      <c r="C264" s="4">
        <f>VLOOKUP(A264,'[1]Nebris 11.28.23'!$E:$I,5,FALSE)</f>
        <v>664</v>
      </c>
      <c r="D264" s="18">
        <f t="shared" si="16"/>
        <v>658</v>
      </c>
      <c r="E264" s="4">
        <v>2</v>
      </c>
      <c r="F264" s="4">
        <v>9</v>
      </c>
      <c r="G264" s="4">
        <v>0.20442481356679498</v>
      </c>
      <c r="H264" s="4">
        <v>301</v>
      </c>
      <c r="I264" s="4" t="str">
        <f t="shared" si="17"/>
        <v xml:space="preserve">25% MDGS Constant </v>
      </c>
      <c r="W264" s="122"/>
      <c r="X264" s="123"/>
      <c r="Y264" s="123"/>
      <c r="Z264" s="123"/>
      <c r="AA264" s="124"/>
      <c r="AB264" s="124"/>
      <c r="AC264" s="125"/>
      <c r="AD264" s="125"/>
      <c r="AE264" s="125"/>
      <c r="AF264" s="125"/>
      <c r="AG264" s="125"/>
    </row>
    <row r="265" spans="1:33" x14ac:dyDescent="0.2">
      <c r="A265" s="16">
        <v>4585</v>
      </c>
      <c r="B265" s="17">
        <f>VLOOKUP(A265,'[1]Nebris 11.27'!E:I,5,FALSE)</f>
        <v>652</v>
      </c>
      <c r="C265" s="4">
        <f>VLOOKUP(A265,'[1]Nebris 11.28.23'!$E:$I,5,FALSE)</f>
        <v>670</v>
      </c>
      <c r="D265" s="18">
        <f t="shared" si="16"/>
        <v>661</v>
      </c>
      <c r="E265" s="4">
        <v>2</v>
      </c>
      <c r="F265" s="4">
        <v>9</v>
      </c>
      <c r="G265" s="4">
        <v>0.20862085663900432</v>
      </c>
      <c r="H265" s="4">
        <v>302</v>
      </c>
      <c r="I265" s="4" t="str">
        <f t="shared" si="17"/>
        <v>25% MDGS Variable</v>
      </c>
      <c r="W265" s="122"/>
      <c r="X265" s="123"/>
      <c r="Y265" s="123"/>
      <c r="Z265" s="123"/>
      <c r="AA265" s="124"/>
      <c r="AB265" s="124"/>
      <c r="AC265" s="125"/>
      <c r="AD265" s="125"/>
      <c r="AE265" s="125"/>
      <c r="AF265" s="125"/>
      <c r="AG265" s="125"/>
    </row>
    <row r="266" spans="1:33" x14ac:dyDescent="0.2">
      <c r="A266" s="16">
        <v>4652</v>
      </c>
      <c r="B266" s="17">
        <f>VLOOKUP(A266,'[1]Nebris 11.27'!E:I,5,FALSE)</f>
        <v>648</v>
      </c>
      <c r="C266" s="4">
        <f>VLOOKUP(A266,'[1]Nebris 11.28.23'!$E:$I,5,FALSE)</f>
        <v>624</v>
      </c>
      <c r="D266" s="18">
        <f t="shared" si="16"/>
        <v>636</v>
      </c>
      <c r="E266" s="4">
        <v>2</v>
      </c>
      <c r="F266" s="4">
        <v>9</v>
      </c>
      <c r="G266" s="4">
        <v>0.27198870513286899</v>
      </c>
      <c r="H266" s="4">
        <v>303</v>
      </c>
      <c r="I266" s="4" t="str">
        <f t="shared" si="17"/>
        <v>Control</v>
      </c>
      <c r="W266" s="122"/>
      <c r="X266" s="123"/>
      <c r="Y266" s="123"/>
      <c r="Z266" s="123"/>
      <c r="AA266" s="124"/>
      <c r="AB266" s="124"/>
      <c r="AC266" s="125"/>
      <c r="AD266" s="125"/>
      <c r="AE266" s="125"/>
      <c r="AF266" s="125"/>
      <c r="AG266" s="125"/>
    </row>
    <row r="267" spans="1:33" x14ac:dyDescent="0.2">
      <c r="A267" s="16">
        <v>4631</v>
      </c>
      <c r="B267" s="17">
        <f>VLOOKUP(A267,'[1]Nebris 11.27'!E:I,5,FALSE)</f>
        <v>652</v>
      </c>
      <c r="C267" s="4">
        <f>VLOOKUP(A267,'[1]Nebris 11.28.23'!$E:$I,5,FALSE)</f>
        <v>662</v>
      </c>
      <c r="D267" s="18">
        <f t="shared" si="16"/>
        <v>657</v>
      </c>
      <c r="E267" s="4">
        <v>2</v>
      </c>
      <c r="F267" s="4">
        <v>9</v>
      </c>
      <c r="G267" s="4">
        <v>0.2885852603518706</v>
      </c>
      <c r="H267" s="4">
        <v>304</v>
      </c>
      <c r="I267" s="4" t="str">
        <f t="shared" si="17"/>
        <v>10% MDGS Variable</v>
      </c>
      <c r="W267" s="122"/>
      <c r="X267" s="123"/>
      <c r="Y267" s="123"/>
      <c r="Z267" s="123"/>
      <c r="AA267" s="124"/>
      <c r="AB267" s="124"/>
      <c r="AC267" s="125"/>
      <c r="AD267" s="125"/>
      <c r="AE267" s="125"/>
      <c r="AF267" s="125"/>
      <c r="AG267" s="125"/>
    </row>
    <row r="268" spans="1:33" x14ac:dyDescent="0.2">
      <c r="A268" s="16">
        <v>4563</v>
      </c>
      <c r="B268" s="17">
        <f>VLOOKUP(A268,'[1]Nebris 11.27'!E:I,5,FALSE)</f>
        <v>648</v>
      </c>
      <c r="C268" s="4">
        <f>VLOOKUP(A268,'[1]Nebris 11.28.23'!$E:$I,5,FALSE)</f>
        <v>632</v>
      </c>
      <c r="D268" s="18">
        <f t="shared" si="16"/>
        <v>640</v>
      </c>
      <c r="E268" s="4">
        <v>2</v>
      </c>
      <c r="F268" s="4">
        <v>9</v>
      </c>
      <c r="G268" s="4">
        <v>0.31718992699513693</v>
      </c>
      <c r="H268" s="4">
        <v>305</v>
      </c>
      <c r="I268" s="4" t="str">
        <f t="shared" si="17"/>
        <v xml:space="preserve">10% MDGS Constant </v>
      </c>
      <c r="W268" s="122"/>
      <c r="X268" s="123"/>
      <c r="Y268" s="123"/>
      <c r="Z268" s="123"/>
      <c r="AA268" s="124"/>
      <c r="AB268" s="124"/>
      <c r="AC268" s="125"/>
      <c r="AD268" s="125"/>
      <c r="AE268" s="125"/>
      <c r="AF268" s="125"/>
      <c r="AG268" s="125"/>
    </row>
    <row r="269" spans="1:33" x14ac:dyDescent="0.2">
      <c r="A269" s="16">
        <v>4607</v>
      </c>
      <c r="B269" s="17">
        <f>VLOOKUP(A269,'[1]Nebris 11.27'!E:I,5,FALSE)</f>
        <v>650</v>
      </c>
      <c r="C269" s="4">
        <f>VLOOKUP(A269,'[1]Nebris 11.28.23'!$E:$I,5,FALSE)</f>
        <v>646</v>
      </c>
      <c r="D269" s="18">
        <f t="shared" si="16"/>
        <v>648</v>
      </c>
      <c r="E269" s="4">
        <v>2</v>
      </c>
      <c r="F269" s="4">
        <v>9</v>
      </c>
      <c r="G269" s="4">
        <v>0.32264146396656224</v>
      </c>
      <c r="H269" s="4">
        <v>306</v>
      </c>
      <c r="I269" s="4" t="str">
        <f t="shared" si="17"/>
        <v>Control</v>
      </c>
      <c r="W269" s="122"/>
      <c r="X269" s="123"/>
      <c r="Y269" s="123"/>
      <c r="Z269" s="123"/>
      <c r="AA269" s="124"/>
      <c r="AB269" s="124"/>
      <c r="AC269" s="125"/>
      <c r="AD269" s="125"/>
      <c r="AE269" s="125"/>
      <c r="AF269" s="125"/>
      <c r="AG269" s="125"/>
    </row>
    <row r="270" spans="1:33" x14ac:dyDescent="0.2">
      <c r="A270" s="16">
        <v>4484</v>
      </c>
      <c r="B270" s="17">
        <f>VLOOKUP(A270,'[1]Nebris 11.27'!E:I,5,FALSE)</f>
        <v>648</v>
      </c>
      <c r="C270" s="4">
        <f>VLOOKUP(A270,'[1]Nebris 11.28.23'!$E:$I,5,FALSE)</f>
        <v>644</v>
      </c>
      <c r="D270" s="18">
        <f t="shared" si="16"/>
        <v>646</v>
      </c>
      <c r="E270" s="4">
        <v>2</v>
      </c>
      <c r="F270" s="4">
        <v>9</v>
      </c>
      <c r="G270" s="4">
        <v>0.3250503532655673</v>
      </c>
      <c r="H270" s="4">
        <v>307</v>
      </c>
      <c r="I270" s="4" t="str">
        <f t="shared" si="17"/>
        <v>25% MDGS Variable</v>
      </c>
      <c r="W270" s="122"/>
      <c r="X270" s="123"/>
      <c r="Y270" s="123"/>
      <c r="Z270" s="123"/>
      <c r="AA270" s="124"/>
      <c r="AB270" s="124"/>
      <c r="AC270" s="125"/>
      <c r="AD270" s="125"/>
      <c r="AE270" s="125"/>
      <c r="AF270" s="125"/>
      <c r="AG270" s="125"/>
    </row>
    <row r="271" spans="1:33" x14ac:dyDescent="0.2">
      <c r="A271" s="16">
        <v>4574</v>
      </c>
      <c r="B271" s="17">
        <f>VLOOKUP(A271,'[1]Nebris 11.27'!E:I,5,FALSE)</f>
        <v>650</v>
      </c>
      <c r="C271" s="4">
        <f>VLOOKUP(A271,'[1]Nebris 11.28.23'!$E:$I,5,FALSE)</f>
        <v>636</v>
      </c>
      <c r="D271" s="18">
        <f t="shared" si="16"/>
        <v>643</v>
      </c>
      <c r="E271" s="4">
        <v>2</v>
      </c>
      <c r="F271" s="4">
        <v>9</v>
      </c>
      <c r="G271" s="4">
        <v>0.40947641456871386</v>
      </c>
      <c r="H271" s="4">
        <v>308</v>
      </c>
      <c r="I271" s="4" t="str">
        <f t="shared" si="17"/>
        <v xml:space="preserve">25% MDGS Constant </v>
      </c>
      <c r="W271" s="122"/>
      <c r="X271" s="123"/>
      <c r="Y271" s="123"/>
      <c r="Z271" s="123"/>
      <c r="AA271" s="124"/>
      <c r="AB271" s="124"/>
      <c r="AC271" s="125"/>
      <c r="AD271" s="125"/>
      <c r="AE271" s="125"/>
      <c r="AF271" s="125"/>
      <c r="AG271" s="125"/>
    </row>
    <row r="272" spans="1:33" x14ac:dyDescent="0.2">
      <c r="A272" s="16">
        <v>4509</v>
      </c>
      <c r="B272" s="17">
        <f>VLOOKUP(A272,'[1]Nebris 11.27'!E:I,5,FALSE)</f>
        <v>648</v>
      </c>
      <c r="C272" s="4">
        <f>VLOOKUP(A272,'[1]Nebris 11.28.23'!$E:$I,5,FALSE)</f>
        <v>634</v>
      </c>
      <c r="D272" s="18">
        <f t="shared" si="16"/>
        <v>641</v>
      </c>
      <c r="E272" s="4">
        <v>2</v>
      </c>
      <c r="F272" s="4">
        <v>9</v>
      </c>
      <c r="G272" s="4">
        <v>0.42190733061202645</v>
      </c>
      <c r="H272" s="4">
        <v>309</v>
      </c>
      <c r="I272" s="4" t="str">
        <f t="shared" si="17"/>
        <v>Control</v>
      </c>
      <c r="W272" s="122"/>
      <c r="X272" s="123"/>
      <c r="Y272" s="123"/>
      <c r="Z272" s="123"/>
      <c r="AA272" s="124"/>
      <c r="AB272" s="124"/>
      <c r="AC272" s="125"/>
      <c r="AD272" s="125"/>
      <c r="AE272" s="125"/>
      <c r="AF272" s="125"/>
      <c r="AG272" s="125"/>
    </row>
    <row r="273" spans="1:33" x14ac:dyDescent="0.2">
      <c r="A273" s="16">
        <v>4715</v>
      </c>
      <c r="B273" s="17">
        <f>VLOOKUP(A273,'[1]Nebris 11.27'!E:I,5,FALSE)</f>
        <v>652</v>
      </c>
      <c r="C273" s="4">
        <f>VLOOKUP(A273,'[1]Nebris 11.28.23'!$E:$I,5,FALSE)</f>
        <v>640</v>
      </c>
      <c r="D273" s="18">
        <f t="shared" si="16"/>
        <v>646</v>
      </c>
      <c r="E273" s="4">
        <v>2</v>
      </c>
      <c r="F273" s="4">
        <v>9</v>
      </c>
      <c r="G273" s="4">
        <v>0.49322980939415551</v>
      </c>
      <c r="H273" s="4">
        <v>310</v>
      </c>
      <c r="I273" s="4" t="str">
        <f t="shared" si="17"/>
        <v>10% MDGS Variable</v>
      </c>
      <c r="W273" s="122"/>
      <c r="X273" s="123"/>
      <c r="Y273" s="123"/>
      <c r="Z273" s="123"/>
      <c r="AA273" s="124"/>
      <c r="AB273" s="124"/>
      <c r="AC273" s="125"/>
      <c r="AD273" s="125"/>
      <c r="AE273" s="125"/>
      <c r="AF273" s="125"/>
      <c r="AG273" s="125"/>
    </row>
    <row r="274" spans="1:33" x14ac:dyDescent="0.2">
      <c r="A274" s="16">
        <v>4448</v>
      </c>
      <c r="B274" s="17">
        <f>VLOOKUP(A274,'[1]Nebris 11.27'!E:I,5,FALSE)</f>
        <v>648</v>
      </c>
      <c r="C274" s="4">
        <f>VLOOKUP(A274,'[1]Nebris 11.28.23'!$E:$I,5,FALSE)</f>
        <v>656</v>
      </c>
      <c r="D274" s="18">
        <f t="shared" si="16"/>
        <v>652</v>
      </c>
      <c r="E274" s="4">
        <v>2</v>
      </c>
      <c r="F274" s="4">
        <v>9</v>
      </c>
      <c r="G274" s="4">
        <v>0.52089708945847535</v>
      </c>
      <c r="H274" s="4">
        <v>311</v>
      </c>
      <c r="I274" s="4" t="str">
        <f t="shared" si="17"/>
        <v xml:space="preserve">10% MDGS Constant </v>
      </c>
      <c r="W274" s="122"/>
      <c r="X274" s="123"/>
      <c r="Y274" s="123"/>
      <c r="Z274" s="123"/>
      <c r="AA274" s="124"/>
      <c r="AB274" s="124"/>
      <c r="AC274" s="125"/>
      <c r="AD274" s="125"/>
      <c r="AE274" s="125"/>
      <c r="AF274" s="125"/>
      <c r="AG274" s="125"/>
    </row>
    <row r="275" spans="1:33" x14ac:dyDescent="0.2">
      <c r="A275" s="16">
        <v>4573</v>
      </c>
      <c r="B275" s="17">
        <f>VLOOKUP(A275,'[1]Nebris 11.27'!E:I,5,FALSE)</f>
        <v>650</v>
      </c>
      <c r="C275" s="4">
        <f>VLOOKUP(A275,'[1]Nebris 11.28.23'!$E:$I,5,FALSE)</f>
        <v>650</v>
      </c>
      <c r="D275" s="18">
        <f t="shared" si="16"/>
        <v>650</v>
      </c>
      <c r="E275" s="4">
        <v>2</v>
      </c>
      <c r="F275" s="4">
        <v>9</v>
      </c>
      <c r="G275" s="4">
        <v>0.57059854821536937</v>
      </c>
      <c r="H275" s="4">
        <v>312</v>
      </c>
      <c r="I275" s="4" t="str">
        <f t="shared" si="17"/>
        <v xml:space="preserve">25% MDGS Constant </v>
      </c>
      <c r="W275" s="122"/>
      <c r="X275" s="123"/>
      <c r="Y275" s="123"/>
      <c r="Z275" s="123"/>
      <c r="AA275" s="124"/>
      <c r="AB275" s="124"/>
      <c r="AC275" s="125"/>
      <c r="AD275" s="125"/>
      <c r="AE275" s="125"/>
      <c r="AF275" s="125"/>
      <c r="AG275" s="125"/>
    </row>
    <row r="276" spans="1:33" x14ac:dyDescent="0.2">
      <c r="A276" s="16">
        <v>4510</v>
      </c>
      <c r="B276" s="17">
        <f>VLOOKUP(A276,'[1]Nebris 11.27'!E:I,5,FALSE)</f>
        <v>648</v>
      </c>
      <c r="C276" s="4">
        <f>VLOOKUP(A276,'[1]Nebris 11.28.23'!$E:$I,5,FALSE)</f>
        <v>644</v>
      </c>
      <c r="D276" s="18">
        <f t="shared" si="16"/>
        <v>646</v>
      </c>
      <c r="E276" s="4">
        <v>2</v>
      </c>
      <c r="F276" s="4">
        <v>9</v>
      </c>
      <c r="G276" s="4">
        <v>0.6407497672109167</v>
      </c>
      <c r="H276" s="4">
        <v>313</v>
      </c>
      <c r="I276" s="4" t="str">
        <f t="shared" si="17"/>
        <v>25% MDGS Variable</v>
      </c>
      <c r="W276" s="122"/>
      <c r="X276" s="123"/>
      <c r="Y276" s="123"/>
      <c r="Z276" s="123"/>
      <c r="AA276" s="124"/>
      <c r="AB276" s="124"/>
      <c r="AC276" s="125"/>
      <c r="AD276" s="125"/>
      <c r="AE276" s="125"/>
      <c r="AF276" s="125"/>
      <c r="AG276" s="125"/>
    </row>
    <row r="277" spans="1:33" x14ac:dyDescent="0.2">
      <c r="A277" s="16">
        <v>4758</v>
      </c>
      <c r="B277" s="17">
        <f>VLOOKUP(A277,'[1]Nebris 11.27'!E:I,5,FALSE)</f>
        <v>650</v>
      </c>
      <c r="C277" s="4">
        <f>VLOOKUP(A277,'[1]Nebris 11.28.23'!$E:$I,5,FALSE)</f>
        <v>662</v>
      </c>
      <c r="D277" s="18">
        <f t="shared" si="16"/>
        <v>656</v>
      </c>
      <c r="E277" s="4">
        <v>2</v>
      </c>
      <c r="F277" s="4">
        <v>9</v>
      </c>
      <c r="G277" s="4">
        <v>0.70070069323194895</v>
      </c>
      <c r="H277" s="4">
        <v>314</v>
      </c>
      <c r="I277" s="4" t="str">
        <f t="shared" si="17"/>
        <v>25% MDGS Variable</v>
      </c>
      <c r="W277" s="122"/>
      <c r="X277" s="123"/>
      <c r="Y277" s="123"/>
      <c r="Z277" s="123"/>
      <c r="AA277" s="124"/>
      <c r="AB277" s="124"/>
      <c r="AC277" s="125"/>
      <c r="AD277" s="125"/>
      <c r="AE277" s="125"/>
      <c r="AF277" s="125"/>
      <c r="AG277" s="125"/>
    </row>
    <row r="278" spans="1:33" x14ac:dyDescent="0.2">
      <c r="A278" s="16">
        <v>4388</v>
      </c>
      <c r="B278" s="17">
        <f>VLOOKUP(A278,'[1]Nebris 11.27'!E:I,5,FALSE)</f>
        <v>650</v>
      </c>
      <c r="C278" s="4">
        <f>VLOOKUP(A278,'[1]Nebris 11.28.23'!$E:$I,5,FALSE)</f>
        <v>638</v>
      </c>
      <c r="D278" s="18">
        <f t="shared" si="16"/>
        <v>644</v>
      </c>
      <c r="E278" s="4">
        <v>2</v>
      </c>
      <c r="F278" s="4">
        <v>9</v>
      </c>
      <c r="G278" s="4">
        <v>0.75915180046028796</v>
      </c>
      <c r="H278" s="4">
        <v>315</v>
      </c>
      <c r="I278" s="4" t="str">
        <f t="shared" si="17"/>
        <v xml:space="preserve">25% MDGS Constant </v>
      </c>
      <c r="W278" s="122"/>
      <c r="X278" s="123"/>
      <c r="Y278" s="123"/>
      <c r="Z278" s="123"/>
      <c r="AA278" s="124"/>
      <c r="AB278" s="124"/>
      <c r="AC278" s="125"/>
      <c r="AD278" s="125"/>
      <c r="AE278" s="125"/>
      <c r="AF278" s="125"/>
      <c r="AG278" s="125"/>
    </row>
    <row r="279" spans="1:33" x14ac:dyDescent="0.2">
      <c r="A279" s="16">
        <v>4692</v>
      </c>
      <c r="B279" s="17">
        <f>VLOOKUP(A279,'[1]Nebris 11.27'!E:I,5,FALSE)</f>
        <v>652</v>
      </c>
      <c r="C279" s="4">
        <f>VLOOKUP(A279,'[1]Nebris 11.28.23'!$E:$I,5,FALSE)</f>
        <v>640</v>
      </c>
      <c r="D279" s="18">
        <f t="shared" si="16"/>
        <v>646</v>
      </c>
      <c r="E279" s="4">
        <v>2</v>
      </c>
      <c r="F279" s="4">
        <v>9</v>
      </c>
      <c r="G279" s="4">
        <v>0.79458260064954933</v>
      </c>
      <c r="H279" s="4">
        <v>316</v>
      </c>
      <c r="I279" s="4" t="str">
        <f t="shared" si="17"/>
        <v xml:space="preserve">10% MDGS Constant </v>
      </c>
      <c r="W279" s="122"/>
      <c r="X279" s="123"/>
      <c r="Y279" s="123"/>
      <c r="Z279" s="123"/>
      <c r="AA279" s="124"/>
      <c r="AB279" s="124"/>
      <c r="AC279" s="125"/>
      <c r="AD279" s="125"/>
      <c r="AE279" s="125"/>
      <c r="AF279" s="125"/>
      <c r="AG279" s="125"/>
    </row>
    <row r="280" spans="1:33" x14ac:dyDescent="0.2">
      <c r="A280" s="16">
        <v>4632</v>
      </c>
      <c r="B280" s="17">
        <f>VLOOKUP(A280,'[1]Nebris 11.27'!E:I,5,FALSE)</f>
        <v>650</v>
      </c>
      <c r="C280" s="4">
        <f>VLOOKUP(A280,'[1]Nebris 11.28.23'!$E:$I,5,FALSE)</f>
        <v>650</v>
      </c>
      <c r="D280" s="18">
        <f t="shared" si="16"/>
        <v>650</v>
      </c>
      <c r="E280" s="4">
        <v>2</v>
      </c>
      <c r="F280" s="4">
        <v>9</v>
      </c>
      <c r="G280" s="4">
        <v>0.89435832745578403</v>
      </c>
      <c r="H280" s="4">
        <v>317</v>
      </c>
      <c r="I280" s="4" t="str">
        <f t="shared" si="17"/>
        <v>Control</v>
      </c>
      <c r="W280" s="122"/>
      <c r="X280" s="123"/>
      <c r="Y280" s="123"/>
      <c r="Z280" s="123"/>
      <c r="AA280" s="124"/>
      <c r="AB280" s="124"/>
      <c r="AC280" s="125"/>
      <c r="AD280" s="125"/>
      <c r="AE280" s="125"/>
      <c r="AF280" s="125"/>
      <c r="AG280" s="125"/>
    </row>
    <row r="281" spans="1:33" x14ac:dyDescent="0.2">
      <c r="A281" s="16">
        <v>4768</v>
      </c>
      <c r="B281" s="17">
        <f>VLOOKUP(A281,'[1]Nebris 11.27'!E:I,5,FALSE)</f>
        <v>648</v>
      </c>
      <c r="C281" s="4">
        <f>VLOOKUP(A281,'[1]Nebris 11.28.23'!$E:$I,5,FALSE)</f>
        <v>630</v>
      </c>
      <c r="D281" s="18">
        <f t="shared" si="16"/>
        <v>639</v>
      </c>
      <c r="E281" s="4">
        <v>2</v>
      </c>
      <c r="F281" s="4">
        <v>9</v>
      </c>
      <c r="G281" s="4">
        <v>0.96879458043770306</v>
      </c>
      <c r="H281" s="4">
        <v>318</v>
      </c>
      <c r="I281" s="4" t="str">
        <f t="shared" si="17"/>
        <v>10% MDGS Variable</v>
      </c>
      <c r="W281" s="122"/>
      <c r="X281" s="123"/>
      <c r="Y281" s="123"/>
      <c r="Z281" s="123"/>
      <c r="AA281" s="124"/>
      <c r="AB281" s="124"/>
      <c r="AC281" s="125"/>
      <c r="AD281" s="125"/>
      <c r="AE281" s="125"/>
      <c r="AF281" s="125"/>
      <c r="AG281" s="125"/>
    </row>
    <row r="282" spans="1:33" x14ac:dyDescent="0.2">
      <c r="A282" s="16">
        <v>4494</v>
      </c>
      <c r="B282" s="17">
        <f>VLOOKUP(A282,'[1]Nebris 11.27'!E:I,5,FALSE)</f>
        <v>658</v>
      </c>
      <c r="C282" s="4">
        <f>VLOOKUP(A282,'[1]Nebris 11.28.23'!$E:$I,5,FALSE)</f>
        <v>658</v>
      </c>
      <c r="D282" s="18">
        <f t="shared" si="16"/>
        <v>658</v>
      </c>
      <c r="E282" s="4">
        <v>2</v>
      </c>
      <c r="F282" s="4">
        <v>10</v>
      </c>
      <c r="G282" s="4">
        <v>2.0153935026966385E-2</v>
      </c>
      <c r="H282" s="4">
        <v>215</v>
      </c>
      <c r="I282" s="4" t="str">
        <f t="shared" si="17"/>
        <v>10% MDGS Variable</v>
      </c>
      <c r="W282" s="122"/>
      <c r="X282" s="123"/>
      <c r="Y282" s="123"/>
      <c r="Z282" s="123"/>
      <c r="AA282" s="124"/>
      <c r="AB282" s="124"/>
      <c r="AC282" s="125"/>
      <c r="AD282" s="125"/>
      <c r="AE282" s="125"/>
      <c r="AF282" s="125"/>
      <c r="AG282" s="125"/>
    </row>
    <row r="283" spans="1:33" x14ac:dyDescent="0.2">
      <c r="A283" s="16">
        <v>4554</v>
      </c>
      <c r="B283" s="17">
        <f>VLOOKUP(A283,'[1]Nebris 11.27'!E:I,5,FALSE)</f>
        <v>654</v>
      </c>
      <c r="C283" s="4">
        <f>VLOOKUP(A283,'[1]Nebris 11.28.23'!$E:$I,5,FALSE)</f>
        <v>658</v>
      </c>
      <c r="D283" s="18">
        <f t="shared" si="16"/>
        <v>656</v>
      </c>
      <c r="E283" s="4">
        <v>2</v>
      </c>
      <c r="F283" s="4">
        <v>10</v>
      </c>
      <c r="G283" s="4">
        <v>3.7554101124554817E-2</v>
      </c>
      <c r="H283" s="4">
        <v>216</v>
      </c>
      <c r="I283" s="4" t="str">
        <f t="shared" si="17"/>
        <v xml:space="preserve">10% MDGS Constant </v>
      </c>
      <c r="W283" s="122"/>
      <c r="X283" s="123"/>
      <c r="Y283" s="123"/>
      <c r="Z283" s="123"/>
      <c r="AA283" s="124"/>
      <c r="AB283" s="124"/>
      <c r="AC283" s="125"/>
      <c r="AD283" s="125"/>
      <c r="AE283" s="125"/>
      <c r="AF283" s="125"/>
      <c r="AG283" s="125"/>
    </row>
    <row r="284" spans="1:33" x14ac:dyDescent="0.2">
      <c r="A284" s="16">
        <v>4733</v>
      </c>
      <c r="B284" s="17">
        <f>VLOOKUP(A284,'[1]Nebris 11.27'!E:I,5,FALSE)</f>
        <v>656</v>
      </c>
      <c r="C284" s="4">
        <f>VLOOKUP(A284,'[1]Nebris 11.28.23'!$E:$I,5,FALSE)</f>
        <v>660</v>
      </c>
      <c r="D284" s="18">
        <f t="shared" si="16"/>
        <v>658</v>
      </c>
      <c r="E284" s="4">
        <v>2</v>
      </c>
      <c r="F284" s="4">
        <v>10</v>
      </c>
      <c r="G284" s="4">
        <v>5.4781434944570551E-2</v>
      </c>
      <c r="H284" s="4">
        <v>301</v>
      </c>
      <c r="I284" s="4" t="str">
        <f t="shared" si="17"/>
        <v xml:space="preserve">25% MDGS Constant </v>
      </c>
      <c r="W284" s="122"/>
      <c r="X284" s="123"/>
      <c r="Y284" s="123"/>
      <c r="Z284" s="123"/>
      <c r="AA284" s="124"/>
      <c r="AB284" s="124"/>
      <c r="AC284" s="125"/>
      <c r="AD284" s="125"/>
      <c r="AE284" s="125"/>
      <c r="AF284" s="125"/>
      <c r="AG284" s="125"/>
    </row>
    <row r="285" spans="1:33" x14ac:dyDescent="0.2">
      <c r="A285" s="16">
        <v>4706</v>
      </c>
      <c r="B285" s="17">
        <f>VLOOKUP(A285,'[1]Nebris 11.27'!E:I,5,FALSE)</f>
        <v>656</v>
      </c>
      <c r="C285" s="4">
        <f>VLOOKUP(A285,'[1]Nebris 11.28.23'!$E:$I,5,FALSE)</f>
        <v>684</v>
      </c>
      <c r="D285" s="18">
        <f t="shared" si="16"/>
        <v>670</v>
      </c>
      <c r="E285" s="4">
        <v>2</v>
      </c>
      <c r="F285" s="4">
        <v>10</v>
      </c>
      <c r="G285" s="4">
        <v>7.8949878381684657E-2</v>
      </c>
      <c r="H285" s="4">
        <v>302</v>
      </c>
      <c r="I285" s="4" t="str">
        <f t="shared" si="17"/>
        <v>25% MDGS Variable</v>
      </c>
      <c r="W285" s="122"/>
      <c r="X285" s="123"/>
      <c r="Y285" s="123"/>
      <c r="Z285" s="123"/>
      <c r="AA285" s="124"/>
      <c r="AB285" s="124"/>
      <c r="AC285" s="125"/>
      <c r="AD285" s="125"/>
      <c r="AE285" s="125"/>
      <c r="AF285" s="125"/>
      <c r="AG285" s="125"/>
    </row>
    <row r="286" spans="1:33" x14ac:dyDescent="0.2">
      <c r="A286" s="16">
        <v>4684</v>
      </c>
      <c r="B286" s="17">
        <f>VLOOKUP(A286,'[1]Nebris 11.27'!E:I,5,FALSE)</f>
        <v>660</v>
      </c>
      <c r="C286" s="4">
        <f>VLOOKUP(A286,'[1]Nebris 11.28.23'!$E:$I,5,FALSE)</f>
        <v>664</v>
      </c>
      <c r="D286" s="18">
        <f t="shared" si="16"/>
        <v>662</v>
      </c>
      <c r="E286" s="4">
        <v>2</v>
      </c>
      <c r="F286" s="4">
        <v>10</v>
      </c>
      <c r="G286" s="4">
        <v>0.10172422723447649</v>
      </c>
      <c r="H286" s="4">
        <v>303</v>
      </c>
      <c r="I286" s="4" t="str">
        <f t="shared" si="17"/>
        <v>Control</v>
      </c>
      <c r="W286" s="122"/>
      <c r="X286" s="123"/>
      <c r="Y286" s="123"/>
      <c r="Z286" s="123"/>
      <c r="AA286" s="124"/>
      <c r="AB286" s="124"/>
      <c r="AC286" s="125"/>
      <c r="AD286" s="125"/>
      <c r="AE286" s="125"/>
      <c r="AF286" s="125"/>
      <c r="AG286" s="125"/>
    </row>
    <row r="287" spans="1:33" x14ac:dyDescent="0.2">
      <c r="A287" s="16">
        <v>4312</v>
      </c>
      <c r="B287" s="17">
        <f>VLOOKUP(A287,'[1]Nebris 11.27'!E:I,5,FALSE)</f>
        <v>654</v>
      </c>
      <c r="C287" s="4">
        <f>VLOOKUP(A287,'[1]Nebris 11.28.23'!$E:$I,5,FALSE)</f>
        <v>650</v>
      </c>
      <c r="D287" s="18">
        <f t="shared" si="16"/>
        <v>652</v>
      </c>
      <c r="E287" s="4">
        <v>2</v>
      </c>
      <c r="F287" s="4">
        <v>10</v>
      </c>
      <c r="G287" s="4">
        <v>0.20735082244761338</v>
      </c>
      <c r="H287" s="4">
        <v>304</v>
      </c>
      <c r="I287" s="4" t="str">
        <f t="shared" si="17"/>
        <v>10% MDGS Variable</v>
      </c>
      <c r="W287" s="122"/>
      <c r="X287" s="123"/>
      <c r="Y287" s="123"/>
      <c r="Z287" s="123"/>
      <c r="AA287" s="124"/>
      <c r="AB287" s="124"/>
      <c r="AC287" s="125"/>
      <c r="AD287" s="125"/>
      <c r="AE287" s="125"/>
      <c r="AF287" s="125"/>
      <c r="AG287" s="125"/>
    </row>
    <row r="288" spans="1:33" x14ac:dyDescent="0.2">
      <c r="A288" s="16">
        <v>4595</v>
      </c>
      <c r="B288" s="17">
        <f>VLOOKUP(A288,'[1]Nebris 11.27'!E:I,5,FALSE)</f>
        <v>658</v>
      </c>
      <c r="C288" s="4">
        <f>VLOOKUP(A288,'[1]Nebris 11.28.23'!$E:$I,5,FALSE)</f>
        <v>650</v>
      </c>
      <c r="D288" s="18">
        <f t="shared" si="16"/>
        <v>654</v>
      </c>
      <c r="E288" s="4">
        <v>2</v>
      </c>
      <c r="F288" s="4">
        <v>10</v>
      </c>
      <c r="G288" s="4">
        <v>0.23592606683280559</v>
      </c>
      <c r="H288" s="4">
        <v>305</v>
      </c>
      <c r="I288" s="4" t="str">
        <f t="shared" si="17"/>
        <v xml:space="preserve">10% MDGS Constant </v>
      </c>
      <c r="W288" s="122"/>
      <c r="X288" s="123"/>
      <c r="Y288" s="123"/>
      <c r="Z288" s="123"/>
      <c r="AA288" s="124"/>
      <c r="AB288" s="124"/>
      <c r="AC288" s="125"/>
      <c r="AD288" s="125"/>
      <c r="AE288" s="125"/>
      <c r="AF288" s="125"/>
      <c r="AG288" s="125"/>
    </row>
    <row r="289" spans="1:33" x14ac:dyDescent="0.2">
      <c r="A289" s="16">
        <v>4590</v>
      </c>
      <c r="B289" s="17">
        <f>VLOOKUP(A289,'[1]Nebris 11.27'!E:I,5,FALSE)</f>
        <v>658</v>
      </c>
      <c r="C289" s="4">
        <f>VLOOKUP(A289,'[1]Nebris 11.28.23'!$E:$I,5,FALSE)</f>
        <v>650</v>
      </c>
      <c r="D289" s="18">
        <f t="shared" si="16"/>
        <v>654</v>
      </c>
      <c r="E289" s="4">
        <v>2</v>
      </c>
      <c r="F289" s="4">
        <v>10</v>
      </c>
      <c r="G289" s="4">
        <v>0.34943283524800284</v>
      </c>
      <c r="H289" s="4">
        <v>306</v>
      </c>
      <c r="I289" s="4" t="str">
        <f t="shared" si="17"/>
        <v>Control</v>
      </c>
      <c r="W289" s="122"/>
      <c r="X289" s="123"/>
      <c r="Y289" s="123"/>
      <c r="Z289" s="123"/>
      <c r="AA289" s="124"/>
      <c r="AB289" s="124"/>
      <c r="AC289" s="125"/>
      <c r="AD289" s="125"/>
      <c r="AE289" s="125"/>
      <c r="AF289" s="125"/>
      <c r="AG289" s="125"/>
    </row>
    <row r="290" spans="1:33" x14ac:dyDescent="0.2">
      <c r="A290" s="16">
        <v>4330</v>
      </c>
      <c r="B290" s="17">
        <f>VLOOKUP(A290,'[1]Nebris 11.27'!E:I,5,FALSE)</f>
        <v>660</v>
      </c>
      <c r="C290" s="4">
        <f>VLOOKUP(A290,'[1]Nebris 11.28.23'!$E:$I,5,FALSE)</f>
        <v>678</v>
      </c>
      <c r="D290" s="18">
        <f t="shared" si="16"/>
        <v>669</v>
      </c>
      <c r="E290" s="4">
        <v>2</v>
      </c>
      <c r="F290" s="4">
        <v>10</v>
      </c>
      <c r="G290" s="4">
        <v>0.45982552727762238</v>
      </c>
      <c r="H290" s="4">
        <v>307</v>
      </c>
      <c r="I290" s="4" t="str">
        <f t="shared" si="17"/>
        <v>25% MDGS Variable</v>
      </c>
      <c r="W290" s="122"/>
      <c r="X290" s="123"/>
      <c r="Y290" s="123"/>
      <c r="Z290" s="123"/>
      <c r="AA290" s="124"/>
      <c r="AB290" s="124"/>
      <c r="AC290" s="125"/>
      <c r="AD290" s="125"/>
      <c r="AE290" s="125"/>
      <c r="AF290" s="125"/>
      <c r="AG290" s="125"/>
    </row>
    <row r="291" spans="1:33" x14ac:dyDescent="0.2">
      <c r="A291" s="16">
        <v>4689</v>
      </c>
      <c r="B291" s="17">
        <f>VLOOKUP(A291,'[1]Nebris 11.27'!E:I,5,FALSE)</f>
        <v>654</v>
      </c>
      <c r="C291" s="4">
        <f>VLOOKUP(A291,'[1]Nebris 11.28.23'!$E:$I,5,FALSE)</f>
        <v>674</v>
      </c>
      <c r="D291" s="18">
        <f t="shared" si="16"/>
        <v>664</v>
      </c>
      <c r="E291" s="4">
        <v>2</v>
      </c>
      <c r="F291" s="4">
        <v>10</v>
      </c>
      <c r="G291" s="4">
        <v>0.46687036496121881</v>
      </c>
      <c r="H291" s="4">
        <v>308</v>
      </c>
      <c r="I291" s="4" t="str">
        <f t="shared" si="17"/>
        <v xml:space="preserve">25% MDGS Constant </v>
      </c>
      <c r="W291" s="122"/>
      <c r="X291" s="123"/>
      <c r="Y291" s="123"/>
      <c r="Z291" s="123"/>
      <c r="AA291" s="124"/>
      <c r="AB291" s="124"/>
      <c r="AC291" s="125"/>
      <c r="AD291" s="125"/>
      <c r="AE291" s="125"/>
      <c r="AF291" s="125"/>
      <c r="AG291" s="125"/>
    </row>
    <row r="292" spans="1:33" x14ac:dyDescent="0.2">
      <c r="A292" s="16">
        <v>4491</v>
      </c>
      <c r="B292" s="17">
        <f>VLOOKUP(A292,'[1]Nebris 11.27'!E:I,5,FALSE)</f>
        <v>654</v>
      </c>
      <c r="C292" s="4">
        <f>VLOOKUP(A292,'[1]Nebris 11.28.23'!$E:$I,5,FALSE)</f>
        <v>652</v>
      </c>
      <c r="D292" s="18">
        <f t="shared" si="16"/>
        <v>653</v>
      </c>
      <c r="E292" s="4">
        <v>2</v>
      </c>
      <c r="F292" s="4">
        <v>10</v>
      </c>
      <c r="G292" s="4">
        <v>0.60165023392333383</v>
      </c>
      <c r="H292" s="4">
        <v>309</v>
      </c>
      <c r="I292" s="4" t="str">
        <f t="shared" si="17"/>
        <v>Control</v>
      </c>
      <c r="W292" s="122"/>
      <c r="X292" s="123"/>
      <c r="Y292" s="123"/>
      <c r="Z292" s="123"/>
      <c r="AA292" s="124"/>
      <c r="AB292" s="124"/>
      <c r="AC292" s="125"/>
      <c r="AD292" s="125"/>
      <c r="AE292" s="125"/>
      <c r="AF292" s="125"/>
      <c r="AG292" s="125"/>
    </row>
    <row r="293" spans="1:33" x14ac:dyDescent="0.2">
      <c r="A293" s="16">
        <v>4763</v>
      </c>
      <c r="B293" s="17">
        <f>VLOOKUP(A293,'[1]Nebris 11.27'!E:I,5,FALSE)</f>
        <v>662</v>
      </c>
      <c r="C293" s="4">
        <f>VLOOKUP(A293,'[1]Nebris 11.28.23'!$E:$I,5,FALSE)</f>
        <v>656</v>
      </c>
      <c r="D293" s="18">
        <f t="shared" si="16"/>
        <v>659</v>
      </c>
      <c r="E293" s="4">
        <v>2</v>
      </c>
      <c r="F293" s="4">
        <v>10</v>
      </c>
      <c r="G293" s="4">
        <v>0.60910860779009668</v>
      </c>
      <c r="H293" s="4">
        <v>310</v>
      </c>
      <c r="I293" s="4" t="str">
        <f t="shared" si="17"/>
        <v>10% MDGS Variable</v>
      </c>
      <c r="W293" s="122"/>
      <c r="X293" s="123"/>
      <c r="Y293" s="123"/>
      <c r="Z293" s="123"/>
      <c r="AA293" s="124"/>
      <c r="AB293" s="124"/>
      <c r="AC293" s="125"/>
      <c r="AD293" s="125"/>
      <c r="AE293" s="125"/>
      <c r="AF293" s="125"/>
      <c r="AG293" s="125"/>
    </row>
    <row r="294" spans="1:33" x14ac:dyDescent="0.2">
      <c r="A294" s="16">
        <v>4771</v>
      </c>
      <c r="B294" s="17">
        <f>VLOOKUP(A294,'[1]Nebris 11.27'!E:I,5,FALSE)</f>
        <v>656</v>
      </c>
      <c r="C294" s="4">
        <f>VLOOKUP(A294,'[1]Nebris 11.28.23'!$E:$I,5,FALSE)</f>
        <v>666</v>
      </c>
      <c r="D294" s="18">
        <f t="shared" si="16"/>
        <v>661</v>
      </c>
      <c r="E294" s="4">
        <v>2</v>
      </c>
      <c r="F294" s="4">
        <v>10</v>
      </c>
      <c r="G294" s="4">
        <v>0.69045742259181841</v>
      </c>
      <c r="H294" s="4">
        <v>311</v>
      </c>
      <c r="I294" s="4" t="str">
        <f t="shared" si="17"/>
        <v xml:space="preserve">10% MDGS Constant </v>
      </c>
      <c r="W294" s="122"/>
      <c r="X294" s="123"/>
      <c r="Y294" s="123"/>
      <c r="Z294" s="123"/>
      <c r="AA294" s="124"/>
      <c r="AB294" s="124"/>
      <c r="AC294" s="125"/>
      <c r="AD294" s="125"/>
      <c r="AE294" s="125"/>
      <c r="AF294" s="125"/>
      <c r="AG294" s="125"/>
    </row>
    <row r="295" spans="1:33" x14ac:dyDescent="0.2">
      <c r="A295" s="16">
        <v>4662</v>
      </c>
      <c r="B295" s="17">
        <f>VLOOKUP(A295,'[1]Nebris 11.27'!E:I,5,FALSE)</f>
        <v>660</v>
      </c>
      <c r="C295" s="4">
        <f>VLOOKUP(A295,'[1]Nebris 11.28.23'!$E:$I,5,FALSE)</f>
        <v>650</v>
      </c>
      <c r="D295" s="18">
        <f t="shared" si="16"/>
        <v>655</v>
      </c>
      <c r="E295" s="4">
        <v>2</v>
      </c>
      <c r="F295" s="4">
        <v>10</v>
      </c>
      <c r="G295" s="4">
        <v>0.7038063373216511</v>
      </c>
      <c r="H295" s="4">
        <v>312</v>
      </c>
      <c r="I295" s="4" t="str">
        <f t="shared" si="17"/>
        <v xml:space="preserve">25% MDGS Constant </v>
      </c>
      <c r="W295" s="122"/>
      <c r="X295" s="123"/>
      <c r="Y295" s="123"/>
      <c r="Z295" s="123"/>
      <c r="AA295" s="124"/>
      <c r="AB295" s="124"/>
      <c r="AC295" s="125"/>
      <c r="AD295" s="125"/>
      <c r="AE295" s="125"/>
      <c r="AF295" s="125"/>
      <c r="AG295" s="125"/>
    </row>
    <row r="296" spans="1:33" x14ac:dyDescent="0.2">
      <c r="A296" s="16">
        <v>4493</v>
      </c>
      <c r="B296" s="17">
        <f>VLOOKUP(A296,'[1]Nebris 11.27'!E:I,5,FALSE)</f>
        <v>662</v>
      </c>
      <c r="C296" s="4">
        <f>VLOOKUP(A296,'[1]Nebris 11.28.23'!$E:$I,5,FALSE)</f>
        <v>660</v>
      </c>
      <c r="D296" s="18">
        <f t="shared" si="16"/>
        <v>661</v>
      </c>
      <c r="E296" s="4">
        <v>2</v>
      </c>
      <c r="F296" s="4">
        <v>10</v>
      </c>
      <c r="G296" s="4">
        <v>0.71275773399079856</v>
      </c>
      <c r="H296" s="4">
        <v>313</v>
      </c>
      <c r="I296" s="4" t="str">
        <f t="shared" si="17"/>
        <v>25% MDGS Variable</v>
      </c>
      <c r="W296" s="122"/>
      <c r="X296" s="123"/>
      <c r="Y296" s="123"/>
      <c r="Z296" s="123"/>
      <c r="AA296" s="124"/>
      <c r="AB296" s="124"/>
      <c r="AC296" s="125"/>
      <c r="AD296" s="125"/>
      <c r="AE296" s="125"/>
      <c r="AF296" s="125"/>
      <c r="AG296" s="125"/>
    </row>
    <row r="297" spans="1:33" x14ac:dyDescent="0.2">
      <c r="A297" s="16">
        <v>4564</v>
      </c>
      <c r="B297" s="17">
        <f>VLOOKUP(A297,'[1]Nebris 11.27'!E:I,5,FALSE)</f>
        <v>662</v>
      </c>
      <c r="C297" s="4">
        <f>VLOOKUP(A297,'[1]Nebris 11.28.23'!$E:$I,5,FALSE)</f>
        <v>664</v>
      </c>
      <c r="D297" s="18">
        <f t="shared" si="16"/>
        <v>663</v>
      </c>
      <c r="E297" s="4">
        <v>2</v>
      </c>
      <c r="F297" s="4">
        <v>10</v>
      </c>
      <c r="G297" s="4">
        <v>0.73978663624062968</v>
      </c>
      <c r="H297" s="4">
        <v>314</v>
      </c>
      <c r="I297" s="4" t="str">
        <f t="shared" si="17"/>
        <v>25% MDGS Variable</v>
      </c>
      <c r="W297" s="122"/>
      <c r="X297" s="123"/>
      <c r="Y297" s="123"/>
      <c r="Z297" s="123"/>
      <c r="AA297" s="124"/>
      <c r="AB297" s="124"/>
      <c r="AC297" s="125"/>
      <c r="AD297" s="125"/>
      <c r="AE297" s="125"/>
      <c r="AF297" s="125"/>
      <c r="AG297" s="125"/>
    </row>
    <row r="298" spans="1:33" x14ac:dyDescent="0.2">
      <c r="A298" s="16">
        <v>4352</v>
      </c>
      <c r="B298" s="17">
        <f>VLOOKUP(A298,'[1]Nebris 11.27'!E:I,5,FALSE)</f>
        <v>664</v>
      </c>
      <c r="C298" s="4">
        <f>VLOOKUP(A298,'[1]Nebris 11.28.23'!$E:$I,5,FALSE)</f>
        <v>646</v>
      </c>
      <c r="D298" s="18">
        <f t="shared" si="16"/>
        <v>655</v>
      </c>
      <c r="E298" s="4">
        <v>2</v>
      </c>
      <c r="F298" s="4">
        <v>10</v>
      </c>
      <c r="G298" s="4">
        <v>0.85235431990355126</v>
      </c>
      <c r="H298" s="4">
        <v>315</v>
      </c>
      <c r="I298" s="4" t="str">
        <f t="shared" si="17"/>
        <v xml:space="preserve">25% MDGS Constant </v>
      </c>
      <c r="W298" s="122"/>
      <c r="X298" s="123"/>
      <c r="Y298" s="123"/>
      <c r="Z298" s="123"/>
      <c r="AA298" s="124"/>
      <c r="AB298" s="124"/>
      <c r="AC298" s="125"/>
      <c r="AD298" s="125"/>
      <c r="AE298" s="125"/>
      <c r="AF298" s="125"/>
      <c r="AG298" s="125"/>
    </row>
    <row r="299" spans="1:33" x14ac:dyDescent="0.2">
      <c r="A299" s="16">
        <v>4426</v>
      </c>
      <c r="B299" s="17">
        <f>VLOOKUP(A299,'[1]Nebris 11.27'!E:I,5,FALSE)</f>
        <v>662</v>
      </c>
      <c r="C299" s="4">
        <f>VLOOKUP(A299,'[1]Nebris 11.28.23'!$E:$I,5,FALSE)</f>
        <v>658</v>
      </c>
      <c r="D299" s="18">
        <f t="shared" si="16"/>
        <v>660</v>
      </c>
      <c r="E299" s="4">
        <v>2</v>
      </c>
      <c r="F299" s="4">
        <v>10</v>
      </c>
      <c r="G299" s="4">
        <v>0.88728189328675289</v>
      </c>
      <c r="H299" s="4">
        <v>316</v>
      </c>
      <c r="I299" s="4" t="str">
        <f t="shared" si="17"/>
        <v xml:space="preserve">10% MDGS Constant </v>
      </c>
      <c r="W299" s="122"/>
      <c r="X299" s="123"/>
      <c r="Y299" s="123"/>
      <c r="Z299" s="123"/>
      <c r="AA299" s="124"/>
      <c r="AB299" s="124"/>
      <c r="AC299" s="125"/>
      <c r="AD299" s="125"/>
      <c r="AE299" s="125"/>
      <c r="AF299" s="125"/>
      <c r="AG299" s="125"/>
    </row>
    <row r="300" spans="1:33" x14ac:dyDescent="0.2">
      <c r="A300" s="16">
        <v>4624</v>
      </c>
      <c r="B300" s="17">
        <f>VLOOKUP(A300,'[1]Nebris 11.27'!E:I,5,FALSE)</f>
        <v>658</v>
      </c>
      <c r="C300" s="4">
        <f>VLOOKUP(A300,'[1]Nebris 11.28.23'!$E:$I,5,FALSE)</f>
        <v>674</v>
      </c>
      <c r="D300" s="18">
        <f t="shared" si="16"/>
        <v>666</v>
      </c>
      <c r="E300" s="4">
        <v>2</v>
      </c>
      <c r="F300" s="4">
        <v>10</v>
      </c>
      <c r="G300" s="4">
        <v>0.92115183889855301</v>
      </c>
      <c r="H300" s="4">
        <v>317</v>
      </c>
      <c r="I300" s="4" t="str">
        <f t="shared" si="17"/>
        <v>Control</v>
      </c>
      <c r="W300" s="122"/>
      <c r="X300" s="123"/>
      <c r="Y300" s="123"/>
      <c r="Z300" s="123"/>
      <c r="AA300" s="124"/>
      <c r="AB300" s="124"/>
      <c r="AC300" s="125"/>
      <c r="AD300" s="125"/>
      <c r="AE300" s="125"/>
      <c r="AF300" s="125"/>
      <c r="AG300" s="125"/>
    </row>
    <row r="301" spans="1:33" x14ac:dyDescent="0.2">
      <c r="A301" s="16">
        <v>4340</v>
      </c>
      <c r="B301" s="17">
        <f>VLOOKUP(A301,'[1]Nebris 11.27'!E:I,5,FALSE)</f>
        <v>660</v>
      </c>
      <c r="C301" s="4">
        <f>VLOOKUP(A301,'[1]Nebris 11.28.23'!$E:$I,5,FALSE)</f>
        <v>670</v>
      </c>
      <c r="D301" s="18">
        <f t="shared" si="16"/>
        <v>665</v>
      </c>
      <c r="E301" s="4">
        <v>2</v>
      </c>
      <c r="F301" s="4">
        <v>10</v>
      </c>
      <c r="G301" s="4">
        <v>0.9923413107390533</v>
      </c>
      <c r="H301" s="4">
        <v>318</v>
      </c>
      <c r="I301" s="4" t="str">
        <f t="shared" si="17"/>
        <v>10% MDGS Variable</v>
      </c>
      <c r="W301" s="122"/>
      <c r="X301" s="123"/>
      <c r="Y301" s="123"/>
      <c r="Z301" s="123"/>
      <c r="AA301" s="124"/>
      <c r="AB301" s="124"/>
      <c r="AC301" s="125"/>
      <c r="AD301" s="125"/>
      <c r="AE301" s="125"/>
      <c r="AF301" s="125"/>
      <c r="AG301" s="125"/>
    </row>
    <row r="302" spans="1:33" x14ac:dyDescent="0.2">
      <c r="A302" s="16">
        <v>4382</v>
      </c>
      <c r="B302" s="17">
        <f>VLOOKUP(A302,'[1]Nebris 11.27'!E:I,5,FALSE)</f>
        <v>666</v>
      </c>
      <c r="C302" s="4">
        <f>VLOOKUP(A302,'[1]Nebris 11.28.23'!$E:$I,5,FALSE)</f>
        <v>658</v>
      </c>
      <c r="D302" s="18">
        <f t="shared" si="16"/>
        <v>662</v>
      </c>
      <c r="E302" s="4">
        <v>3</v>
      </c>
      <c r="F302" s="4">
        <v>1</v>
      </c>
      <c r="G302" s="4">
        <v>4.9840874335399854E-2</v>
      </c>
      <c r="H302" s="4">
        <v>405</v>
      </c>
      <c r="I302" s="4" t="str">
        <f t="shared" si="17"/>
        <v>10% MDGS Variable</v>
      </c>
      <c r="W302" s="122"/>
      <c r="X302" s="123"/>
      <c r="Y302" s="123"/>
      <c r="Z302" s="123"/>
      <c r="AA302" s="124"/>
      <c r="AB302" s="124"/>
      <c r="AC302" s="125"/>
      <c r="AD302" s="125"/>
      <c r="AE302" s="125"/>
      <c r="AF302" s="125"/>
      <c r="AG302" s="125"/>
    </row>
    <row r="303" spans="1:33" x14ac:dyDescent="0.2">
      <c r="A303" s="16">
        <v>4381</v>
      </c>
      <c r="B303" s="17">
        <f>VLOOKUP(A303,'[1]Nebris 11.27'!E:I,5,FALSE)</f>
        <v>666</v>
      </c>
      <c r="C303" s="4">
        <f>VLOOKUP(A303,'[1]Nebris 11.28.23'!$E:$I,5,FALSE)</f>
        <v>678</v>
      </c>
      <c r="D303" s="18">
        <f t="shared" si="16"/>
        <v>672</v>
      </c>
      <c r="E303" s="4">
        <v>3</v>
      </c>
      <c r="F303" s="4">
        <v>1</v>
      </c>
      <c r="G303" s="4">
        <v>8.4070182515382896E-2</v>
      </c>
      <c r="H303" s="4">
        <v>406</v>
      </c>
      <c r="I303" s="4" t="str">
        <f t="shared" si="17"/>
        <v xml:space="preserve">10% MDGS Constant </v>
      </c>
      <c r="W303" s="122"/>
      <c r="X303" s="123"/>
      <c r="Y303" s="123"/>
      <c r="Z303" s="123"/>
      <c r="AA303" s="124"/>
      <c r="AB303" s="124"/>
      <c r="AC303" s="125"/>
      <c r="AD303" s="125"/>
      <c r="AE303" s="125"/>
      <c r="AF303" s="125"/>
      <c r="AG303" s="125"/>
    </row>
    <row r="304" spans="1:33" x14ac:dyDescent="0.2">
      <c r="A304" s="16">
        <v>4489</v>
      </c>
      <c r="B304" s="17">
        <f>VLOOKUP(A304,'[1]Nebris 11.27'!E:I,5,FALSE)</f>
        <v>668</v>
      </c>
      <c r="C304" s="4">
        <f>VLOOKUP(A304,'[1]Nebris 11.28.23'!$E:$I,5,FALSE)</f>
        <v>660</v>
      </c>
      <c r="D304" s="18">
        <f t="shared" si="16"/>
        <v>664</v>
      </c>
      <c r="E304" s="4">
        <v>3</v>
      </c>
      <c r="F304" s="4">
        <v>1</v>
      </c>
      <c r="G304" s="4">
        <v>0.29800920261008434</v>
      </c>
      <c r="H304" s="4">
        <v>407</v>
      </c>
      <c r="I304" s="4" t="str">
        <f t="shared" si="17"/>
        <v>25% MDGS Variable</v>
      </c>
      <c r="W304" s="122"/>
      <c r="X304" s="123"/>
      <c r="Y304" s="123"/>
      <c r="Z304" s="123"/>
      <c r="AA304" s="124"/>
      <c r="AB304" s="124"/>
      <c r="AC304" s="125"/>
      <c r="AD304" s="125"/>
      <c r="AE304" s="125"/>
      <c r="AF304" s="125"/>
      <c r="AG304" s="125"/>
    </row>
    <row r="305" spans="1:33" x14ac:dyDescent="0.2">
      <c r="A305" s="16">
        <v>4507</v>
      </c>
      <c r="B305" s="17">
        <f>VLOOKUP(A305,'[1]Nebris 11.27'!E:I,5,FALSE)</f>
        <v>666</v>
      </c>
      <c r="C305" s="4">
        <f>VLOOKUP(A305,'[1]Nebris 11.28.23'!$E:$I,5,FALSE)</f>
        <v>662</v>
      </c>
      <c r="D305" s="18">
        <f t="shared" si="16"/>
        <v>664</v>
      </c>
      <c r="E305" s="4">
        <v>3</v>
      </c>
      <c r="F305" s="4">
        <v>1</v>
      </c>
      <c r="G305" s="4">
        <v>0.37539029469680707</v>
      </c>
      <c r="H305" s="4">
        <v>408</v>
      </c>
      <c r="I305" s="4" t="str">
        <f t="shared" si="17"/>
        <v>Control</v>
      </c>
      <c r="W305" s="122"/>
      <c r="X305" s="123"/>
      <c r="Y305" s="123"/>
      <c r="Z305" s="123"/>
      <c r="AA305" s="124"/>
      <c r="AB305" s="124"/>
      <c r="AC305" s="125"/>
      <c r="AD305" s="125"/>
      <c r="AE305" s="125"/>
      <c r="AF305" s="125"/>
      <c r="AG305" s="125"/>
    </row>
    <row r="306" spans="1:33" x14ac:dyDescent="0.2">
      <c r="A306" s="16">
        <v>4751</v>
      </c>
      <c r="B306" s="17">
        <f>VLOOKUP(A306,'[1]Nebris 11.27'!E:I,5,FALSE)</f>
        <v>664</v>
      </c>
      <c r="C306" s="4">
        <f>VLOOKUP(A306,'[1]Nebris 11.28.23'!$E:$I,5,FALSE)</f>
        <v>644</v>
      </c>
      <c r="D306" s="18">
        <f t="shared" si="16"/>
        <v>654</v>
      </c>
      <c r="E306" s="4">
        <v>3</v>
      </c>
      <c r="F306" s="4">
        <v>1</v>
      </c>
      <c r="G306" s="4">
        <v>0.44192274357136296</v>
      </c>
      <c r="H306" s="4">
        <v>409</v>
      </c>
      <c r="I306" s="4" t="str">
        <f t="shared" si="17"/>
        <v xml:space="preserve">25% MDGS Constant </v>
      </c>
      <c r="W306" s="122"/>
      <c r="X306" s="123"/>
      <c r="Y306" s="123"/>
      <c r="Z306" s="123"/>
      <c r="AA306" s="124"/>
      <c r="AB306" s="124"/>
      <c r="AC306" s="125"/>
      <c r="AD306" s="125"/>
      <c r="AE306" s="125"/>
      <c r="AF306" s="125"/>
      <c r="AG306" s="125"/>
    </row>
    <row r="307" spans="1:33" x14ac:dyDescent="0.2">
      <c r="A307" s="16">
        <v>4570</v>
      </c>
      <c r="B307" s="17">
        <f>VLOOKUP(A307,'[1]Nebris 11.27'!E:I,5,FALSE)</f>
        <v>666</v>
      </c>
      <c r="C307" s="4">
        <f>VLOOKUP(A307,'[1]Nebris 11.28.23'!$E:$I,5,FALSE)</f>
        <v>686</v>
      </c>
      <c r="D307" s="18">
        <f t="shared" si="16"/>
        <v>676</v>
      </c>
      <c r="E307" s="4">
        <v>3</v>
      </c>
      <c r="F307" s="4">
        <v>1</v>
      </c>
      <c r="G307" s="4">
        <v>0.50087936529855448</v>
      </c>
      <c r="H307" s="4">
        <v>410</v>
      </c>
      <c r="I307" s="4" t="str">
        <f t="shared" si="17"/>
        <v>25% MDGS Variable</v>
      </c>
      <c r="W307" s="122"/>
      <c r="X307" s="123"/>
      <c r="Y307" s="123"/>
      <c r="Z307" s="123"/>
      <c r="AA307" s="124"/>
      <c r="AB307" s="124"/>
      <c r="AC307" s="125"/>
      <c r="AD307" s="125"/>
      <c r="AE307" s="125"/>
      <c r="AF307" s="125"/>
      <c r="AG307" s="125"/>
    </row>
    <row r="308" spans="1:33" x14ac:dyDescent="0.2">
      <c r="A308" s="16">
        <v>4402</v>
      </c>
      <c r="B308" s="17">
        <f>VLOOKUP(A308,'[1]Nebris 11.27'!E:I,5,FALSE)</f>
        <v>668</v>
      </c>
      <c r="C308" s="4">
        <f>VLOOKUP(A308,'[1]Nebris 11.28.23'!$E:$I,5,FALSE)</f>
        <v>684</v>
      </c>
      <c r="D308" s="18">
        <f t="shared" si="16"/>
        <v>676</v>
      </c>
      <c r="E308" s="4">
        <v>3</v>
      </c>
      <c r="F308" s="4">
        <v>1</v>
      </c>
      <c r="G308" s="4">
        <v>0.5653015122853341</v>
      </c>
      <c r="H308" s="4">
        <v>411</v>
      </c>
      <c r="I308" s="4" t="str">
        <f t="shared" si="17"/>
        <v xml:space="preserve">10% MDGS Constant </v>
      </c>
      <c r="W308" s="122"/>
      <c r="X308" s="123"/>
      <c r="Y308" s="123"/>
      <c r="Z308" s="123"/>
      <c r="AA308" s="124"/>
      <c r="AB308" s="124"/>
      <c r="AC308" s="125"/>
      <c r="AD308" s="125"/>
      <c r="AE308" s="125"/>
      <c r="AF308" s="125"/>
      <c r="AG308" s="125"/>
    </row>
    <row r="309" spans="1:33" x14ac:dyDescent="0.2">
      <c r="A309" s="16">
        <v>4326</v>
      </c>
      <c r="B309" s="17">
        <f>VLOOKUP(A309,'[1]Nebris 11.27'!E:I,5,FALSE)</f>
        <v>666</v>
      </c>
      <c r="C309" s="4">
        <f>VLOOKUP(A309,'[1]Nebris 11.28.23'!$E:$I,5,FALSE)</f>
        <v>670</v>
      </c>
      <c r="D309" s="18">
        <f t="shared" si="16"/>
        <v>668</v>
      </c>
      <c r="E309" s="4">
        <v>3</v>
      </c>
      <c r="F309" s="4">
        <v>1</v>
      </c>
      <c r="G309" s="4">
        <v>0.76893084122481581</v>
      </c>
      <c r="H309" s="4">
        <v>412</v>
      </c>
      <c r="I309" s="4" t="str">
        <f t="shared" si="17"/>
        <v>Control</v>
      </c>
      <c r="W309" s="122"/>
      <c r="X309" s="123"/>
      <c r="Y309" s="123"/>
      <c r="Z309" s="123"/>
      <c r="AA309" s="124"/>
      <c r="AB309" s="124"/>
      <c r="AC309" s="125"/>
      <c r="AD309" s="125"/>
      <c r="AE309" s="125"/>
      <c r="AF309" s="125"/>
      <c r="AG309" s="125"/>
    </row>
    <row r="310" spans="1:33" x14ac:dyDescent="0.2">
      <c r="A310" s="16">
        <v>4462</v>
      </c>
      <c r="B310" s="17">
        <f>VLOOKUP(A310,'[1]Nebris 11.27'!E:I,5,FALSE)</f>
        <v>666</v>
      </c>
      <c r="C310" s="4">
        <f>VLOOKUP(A310,'[1]Nebris 11.28.23'!$E:$I,5,FALSE)</f>
        <v>674</v>
      </c>
      <c r="D310" s="18">
        <f t="shared" si="16"/>
        <v>670</v>
      </c>
      <c r="E310" s="4">
        <v>3</v>
      </c>
      <c r="F310" s="4">
        <v>1</v>
      </c>
      <c r="G310" s="4">
        <v>0.78409850727949471</v>
      </c>
      <c r="H310" s="4">
        <v>413</v>
      </c>
      <c r="I310" s="4" t="str">
        <f t="shared" si="17"/>
        <v xml:space="preserve">25% MDGS Constant </v>
      </c>
      <c r="W310" s="122"/>
      <c r="X310" s="123"/>
      <c r="Y310" s="123"/>
      <c r="Z310" s="123"/>
      <c r="AA310" s="124"/>
      <c r="AB310" s="124"/>
      <c r="AC310" s="125"/>
      <c r="AD310" s="125"/>
      <c r="AE310" s="125"/>
      <c r="AF310" s="125"/>
      <c r="AG310" s="125"/>
    </row>
    <row r="311" spans="1:33" x14ac:dyDescent="0.2">
      <c r="A311" s="16">
        <v>4458</v>
      </c>
      <c r="B311" s="17">
        <f>VLOOKUP(A311,'[1]Nebris 11.27'!E:I,5,FALSE)</f>
        <v>666</v>
      </c>
      <c r="C311" s="4">
        <f>VLOOKUP(A311,'[1]Nebris 11.28.23'!$E:$I,5,FALSE)</f>
        <v>662</v>
      </c>
      <c r="D311" s="18">
        <f t="shared" si="16"/>
        <v>664</v>
      </c>
      <c r="E311" s="4">
        <v>3</v>
      </c>
      <c r="F311" s="4">
        <v>1</v>
      </c>
      <c r="G311" s="4">
        <v>0.84606333334319073</v>
      </c>
      <c r="H311" s="4">
        <v>414</v>
      </c>
      <c r="I311" s="4" t="str">
        <f t="shared" si="17"/>
        <v>10% MDGS Variable</v>
      </c>
      <c r="W311" s="122"/>
      <c r="X311" s="123"/>
      <c r="Y311" s="123"/>
      <c r="Z311" s="123"/>
      <c r="AA311" s="124"/>
      <c r="AB311" s="124"/>
      <c r="AC311" s="125"/>
      <c r="AD311" s="125"/>
      <c r="AE311" s="125"/>
      <c r="AF311" s="125"/>
      <c r="AG311" s="125"/>
    </row>
    <row r="312" spans="1:33" x14ac:dyDescent="0.2">
      <c r="A312" s="16">
        <v>4520</v>
      </c>
      <c r="B312" s="17">
        <f>VLOOKUP(A312,'[1]Nebris 11.27'!E:I,5,FALSE)</f>
        <v>672</v>
      </c>
      <c r="C312" s="4">
        <f>VLOOKUP(A312,'[1]Nebris 11.28.23'!$E:$I,5,FALSE)</f>
        <v>682</v>
      </c>
      <c r="D312" s="18">
        <f t="shared" si="16"/>
        <v>677</v>
      </c>
      <c r="E312" s="4">
        <v>3</v>
      </c>
      <c r="F312" s="4">
        <v>2</v>
      </c>
      <c r="G312" s="4">
        <v>6.0951094670921968E-2</v>
      </c>
      <c r="H312" s="4">
        <v>405</v>
      </c>
      <c r="I312" s="4" t="str">
        <f t="shared" si="17"/>
        <v>10% MDGS Variable</v>
      </c>
      <c r="W312" s="122"/>
      <c r="X312" s="123"/>
      <c r="Y312" s="123"/>
      <c r="Z312" s="123"/>
      <c r="AA312" s="124"/>
      <c r="AB312" s="124"/>
      <c r="AC312" s="125"/>
      <c r="AD312" s="125"/>
      <c r="AE312" s="125"/>
      <c r="AF312" s="125"/>
      <c r="AG312" s="125"/>
    </row>
    <row r="313" spans="1:33" x14ac:dyDescent="0.2">
      <c r="A313" s="16">
        <v>4601</v>
      </c>
      <c r="B313" s="17">
        <f>VLOOKUP(A313,'[1]Nebris 11.27'!E:I,5,FALSE)</f>
        <v>668</v>
      </c>
      <c r="C313" s="4">
        <f>VLOOKUP(A313,'[1]Nebris 11.28.23'!$E:$I,5,FALSE)</f>
        <v>682</v>
      </c>
      <c r="D313" s="18">
        <f t="shared" si="16"/>
        <v>675</v>
      </c>
      <c r="E313" s="4">
        <v>3</v>
      </c>
      <c r="F313" s="4">
        <v>2</v>
      </c>
      <c r="G313" s="4">
        <v>0.17706136919412674</v>
      </c>
      <c r="H313" s="4">
        <v>406</v>
      </c>
      <c r="I313" s="4" t="str">
        <f t="shared" si="17"/>
        <v xml:space="preserve">10% MDGS Constant </v>
      </c>
      <c r="W313" s="122"/>
      <c r="X313" s="123"/>
      <c r="Y313" s="123"/>
      <c r="Z313" s="123"/>
      <c r="AA313" s="124"/>
      <c r="AB313" s="124"/>
      <c r="AC313" s="125"/>
      <c r="AD313" s="125"/>
      <c r="AE313" s="125"/>
      <c r="AF313" s="125"/>
      <c r="AG313" s="125"/>
    </row>
    <row r="314" spans="1:33" x14ac:dyDescent="0.2">
      <c r="A314" s="16">
        <v>4515</v>
      </c>
      <c r="B314" s="17">
        <f>VLOOKUP(A314,'[1]Nebris 11.27'!E:I,5,FALSE)</f>
        <v>674</v>
      </c>
      <c r="C314" s="4">
        <f>VLOOKUP(A314,'[1]Nebris 11.28.23'!$E:$I,5,FALSE)</f>
        <v>664</v>
      </c>
      <c r="D314" s="18">
        <f t="shared" si="16"/>
        <v>669</v>
      </c>
      <c r="E314" s="4">
        <v>3</v>
      </c>
      <c r="F314" s="4">
        <v>2</v>
      </c>
      <c r="G314" s="4">
        <v>0.23396072203579243</v>
      </c>
      <c r="H314" s="4">
        <v>407</v>
      </c>
      <c r="I314" s="4" t="str">
        <f t="shared" si="17"/>
        <v>25% MDGS Variable</v>
      </c>
      <c r="W314" s="122"/>
      <c r="X314" s="123"/>
      <c r="Y314" s="123"/>
      <c r="Z314" s="123"/>
      <c r="AA314" s="124"/>
      <c r="AB314" s="124"/>
      <c r="AC314" s="125"/>
      <c r="AD314" s="125"/>
      <c r="AE314" s="125"/>
      <c r="AF314" s="125"/>
      <c r="AG314" s="125"/>
    </row>
    <row r="315" spans="1:33" x14ac:dyDescent="0.2">
      <c r="A315" s="16">
        <v>4461</v>
      </c>
      <c r="B315" s="17">
        <f>VLOOKUP(A315,'[1]Nebris 11.27'!E:I,5,FALSE)</f>
        <v>670</v>
      </c>
      <c r="C315" s="4">
        <f>VLOOKUP(A315,'[1]Nebris 11.28.23'!$E:$I,5,FALSE)</f>
        <v>680</v>
      </c>
      <c r="D315" s="18">
        <f t="shared" si="16"/>
        <v>675</v>
      </c>
      <c r="E315" s="4">
        <v>3</v>
      </c>
      <c r="F315" s="4">
        <v>2</v>
      </c>
      <c r="G315" s="4">
        <v>0.2455400706200086</v>
      </c>
      <c r="H315" s="4">
        <v>408</v>
      </c>
      <c r="I315" s="4" t="str">
        <f t="shared" si="17"/>
        <v>Control</v>
      </c>
      <c r="W315" s="122"/>
      <c r="X315" s="123"/>
      <c r="Y315" s="123"/>
      <c r="Z315" s="123"/>
      <c r="AA315" s="124"/>
      <c r="AB315" s="124"/>
      <c r="AC315" s="125"/>
      <c r="AD315" s="125"/>
      <c r="AE315" s="125"/>
      <c r="AF315" s="125"/>
      <c r="AG315" s="125"/>
    </row>
    <row r="316" spans="1:33" x14ac:dyDescent="0.2">
      <c r="A316" s="16">
        <v>4584</v>
      </c>
      <c r="B316" s="17">
        <f>VLOOKUP(A316,'[1]Nebris 11.27'!E:I,5,FALSE)</f>
        <v>668</v>
      </c>
      <c r="C316" s="4">
        <f>VLOOKUP(A316,'[1]Nebris 11.28.23'!$E:$I,5,FALSE)</f>
        <v>652</v>
      </c>
      <c r="D316" s="18">
        <f t="shared" si="16"/>
        <v>660</v>
      </c>
      <c r="E316" s="4">
        <v>3</v>
      </c>
      <c r="F316" s="4">
        <v>2</v>
      </c>
      <c r="G316" s="4">
        <v>0.28496471638050114</v>
      </c>
      <c r="H316" s="4">
        <v>409</v>
      </c>
      <c r="I316" s="4" t="str">
        <f t="shared" si="17"/>
        <v xml:space="preserve">25% MDGS Constant </v>
      </c>
      <c r="W316" s="122"/>
      <c r="X316" s="123"/>
      <c r="Y316" s="123"/>
      <c r="Z316" s="123"/>
      <c r="AA316" s="124"/>
      <c r="AB316" s="124"/>
      <c r="AC316" s="125"/>
      <c r="AD316" s="125"/>
      <c r="AE316" s="125"/>
      <c r="AF316" s="125"/>
      <c r="AG316" s="125"/>
    </row>
    <row r="317" spans="1:33" x14ac:dyDescent="0.2">
      <c r="A317" s="16">
        <v>4373</v>
      </c>
      <c r="B317" s="17">
        <f>VLOOKUP(A317,'[1]Nebris 11.27'!E:I,5,FALSE)</f>
        <v>670</v>
      </c>
      <c r="C317" s="4">
        <f>VLOOKUP(A317,'[1]Nebris 11.28.23'!$E:$I,5,FALSE)</f>
        <v>680</v>
      </c>
      <c r="D317" s="18">
        <f t="shared" si="16"/>
        <v>675</v>
      </c>
      <c r="E317" s="4">
        <v>3</v>
      </c>
      <c r="F317" s="4">
        <v>2</v>
      </c>
      <c r="G317" s="4">
        <v>0.41366172714829907</v>
      </c>
      <c r="H317" s="4">
        <v>410</v>
      </c>
      <c r="I317" s="4" t="str">
        <f t="shared" si="17"/>
        <v>25% MDGS Variable</v>
      </c>
      <c r="W317" s="122"/>
      <c r="X317" s="123"/>
      <c r="Y317" s="123"/>
      <c r="Z317" s="123"/>
      <c r="AA317" s="124"/>
      <c r="AB317" s="124"/>
      <c r="AC317" s="125"/>
      <c r="AD317" s="125"/>
      <c r="AE317" s="125"/>
      <c r="AF317" s="125"/>
      <c r="AG317" s="125"/>
    </row>
    <row r="318" spans="1:33" x14ac:dyDescent="0.2">
      <c r="A318" s="16">
        <v>4514</v>
      </c>
      <c r="B318" s="17">
        <f>VLOOKUP(A318,'[1]Nebris 11.27'!E:I,5,FALSE)</f>
        <v>670</v>
      </c>
      <c r="C318" s="4">
        <f>VLOOKUP(A318,'[1]Nebris 11.28.23'!$E:$I,5,FALSE)</f>
        <v>668</v>
      </c>
      <c r="D318" s="18">
        <f t="shared" si="16"/>
        <v>669</v>
      </c>
      <c r="E318" s="4">
        <v>3</v>
      </c>
      <c r="F318" s="4">
        <v>2</v>
      </c>
      <c r="G318" s="4">
        <v>0.43798575815350549</v>
      </c>
      <c r="H318" s="4">
        <v>411</v>
      </c>
      <c r="I318" s="4" t="str">
        <f t="shared" si="17"/>
        <v xml:space="preserve">10% MDGS Constant </v>
      </c>
      <c r="W318" s="122"/>
      <c r="X318" s="123"/>
      <c r="Y318" s="123"/>
      <c r="Z318" s="123"/>
      <c r="AA318" s="124"/>
      <c r="AB318" s="124"/>
      <c r="AC318" s="125"/>
      <c r="AD318" s="125"/>
      <c r="AE318" s="125"/>
      <c r="AF318" s="125"/>
      <c r="AG318" s="125"/>
    </row>
    <row r="319" spans="1:33" x14ac:dyDescent="0.2">
      <c r="A319" s="16">
        <v>4398</v>
      </c>
      <c r="B319" s="17">
        <f>VLOOKUP(A319,'[1]Nebris 11.27'!E:I,5,FALSE)</f>
        <v>670</v>
      </c>
      <c r="C319" s="4">
        <f>VLOOKUP(A319,'[1]Nebris 11.28.23'!$E:$I,5,FALSE)</f>
        <v>658</v>
      </c>
      <c r="D319" s="18">
        <f t="shared" si="16"/>
        <v>664</v>
      </c>
      <c r="E319" s="4">
        <v>3</v>
      </c>
      <c r="F319" s="4">
        <v>2</v>
      </c>
      <c r="G319" s="4">
        <v>0.49781968219316741</v>
      </c>
      <c r="H319" s="4">
        <v>412</v>
      </c>
      <c r="I319" s="4" t="str">
        <f t="shared" si="17"/>
        <v>Control</v>
      </c>
      <c r="W319" s="122"/>
      <c r="X319" s="123"/>
      <c r="Y319" s="123"/>
      <c r="Z319" s="123"/>
      <c r="AA319" s="124"/>
      <c r="AB319" s="124"/>
      <c r="AC319" s="125"/>
      <c r="AD319" s="125"/>
      <c r="AE319" s="125"/>
      <c r="AF319" s="125"/>
      <c r="AG319" s="125"/>
    </row>
    <row r="320" spans="1:33" x14ac:dyDescent="0.2">
      <c r="A320" s="16">
        <v>4568</v>
      </c>
      <c r="B320" s="17">
        <f>VLOOKUP(A320,'[1]Nebris 11.27'!E:I,5,FALSE)</f>
        <v>670</v>
      </c>
      <c r="C320" s="4">
        <f>VLOOKUP(A320,'[1]Nebris 11.28.23'!$E:$I,5,FALSE)</f>
        <v>686</v>
      </c>
      <c r="D320" s="18">
        <f t="shared" si="16"/>
        <v>678</v>
      </c>
      <c r="E320" s="4">
        <v>3</v>
      </c>
      <c r="F320" s="4">
        <v>2</v>
      </c>
      <c r="G320" s="4">
        <v>0.61174315994503337</v>
      </c>
      <c r="H320" s="4">
        <v>413</v>
      </c>
      <c r="I320" s="4" t="str">
        <f t="shared" si="17"/>
        <v xml:space="preserve">25% MDGS Constant </v>
      </c>
      <c r="W320" s="122"/>
      <c r="X320" s="123"/>
      <c r="Y320" s="123"/>
      <c r="Z320" s="123"/>
      <c r="AA320" s="124"/>
      <c r="AB320" s="124"/>
      <c r="AC320" s="125"/>
      <c r="AD320" s="125"/>
      <c r="AE320" s="125"/>
      <c r="AF320" s="125"/>
      <c r="AG320" s="125"/>
    </row>
    <row r="321" spans="1:33" x14ac:dyDescent="0.2">
      <c r="A321" s="16">
        <v>4731</v>
      </c>
      <c r="B321" s="17">
        <f>VLOOKUP(A321,'[1]Nebris 11.27'!E:I,5,FALSE)</f>
        <v>668</v>
      </c>
      <c r="C321" s="4">
        <f>VLOOKUP(A321,'[1]Nebris 11.28.23'!$E:$I,5,FALSE)</f>
        <v>670</v>
      </c>
      <c r="D321" s="18">
        <f t="shared" si="16"/>
        <v>669</v>
      </c>
      <c r="E321" s="4">
        <v>3</v>
      </c>
      <c r="F321" s="4">
        <v>2</v>
      </c>
      <c r="G321" s="4">
        <v>0.86946287991255289</v>
      </c>
      <c r="H321" s="4">
        <v>414</v>
      </c>
      <c r="I321" s="4" t="str">
        <f t="shared" si="17"/>
        <v>10% MDGS Variable</v>
      </c>
      <c r="W321" s="122"/>
      <c r="X321" s="123"/>
      <c r="Y321" s="123"/>
      <c r="Z321" s="123"/>
      <c r="AA321" s="124"/>
      <c r="AB321" s="124"/>
      <c r="AC321" s="125"/>
      <c r="AD321" s="125"/>
      <c r="AE321" s="125"/>
      <c r="AF321" s="125"/>
      <c r="AG321" s="125"/>
    </row>
    <row r="322" spans="1:33" x14ac:dyDescent="0.2">
      <c r="A322" s="16">
        <v>4401</v>
      </c>
      <c r="B322" s="17">
        <f>VLOOKUP(A322,'[1]Nebris 11.27'!E:I,5,FALSE)</f>
        <v>676</v>
      </c>
      <c r="C322" s="4">
        <f>VLOOKUP(A322,'[1]Nebris 11.28.23'!$E:$I,5,FALSE)</f>
        <v>676</v>
      </c>
      <c r="D322" s="18">
        <f t="shared" si="16"/>
        <v>676</v>
      </c>
      <c r="E322" s="4">
        <v>3</v>
      </c>
      <c r="F322" s="4">
        <v>3</v>
      </c>
      <c r="G322" s="4">
        <v>9.7513781595063742E-2</v>
      </c>
      <c r="H322" s="4">
        <v>405</v>
      </c>
      <c r="I322" s="4" t="str">
        <f t="shared" si="17"/>
        <v>10% MDGS Variable</v>
      </c>
      <c r="W322" s="122"/>
      <c r="X322" s="123"/>
      <c r="Y322" s="123"/>
      <c r="Z322" s="123"/>
      <c r="AA322" s="124"/>
      <c r="AB322" s="124"/>
      <c r="AC322" s="125"/>
      <c r="AD322" s="125"/>
      <c r="AE322" s="125"/>
      <c r="AF322" s="125"/>
      <c r="AG322" s="125"/>
    </row>
    <row r="323" spans="1:33" x14ac:dyDescent="0.2">
      <c r="A323" s="16">
        <v>4534</v>
      </c>
      <c r="B323" s="17">
        <f>VLOOKUP(A323,'[1]Nebris 11.27'!E:I,5,FALSE)</f>
        <v>678</v>
      </c>
      <c r="C323" s="4">
        <f>VLOOKUP(A323,'[1]Nebris 11.28.23'!$E:$I,5,FALSE)</f>
        <v>692</v>
      </c>
      <c r="D323" s="18">
        <f t="shared" ref="D323:D386" si="18">AVERAGE(B323:C323)</f>
        <v>685</v>
      </c>
      <c r="E323" s="4">
        <v>3</v>
      </c>
      <c r="F323" s="4">
        <v>3</v>
      </c>
      <c r="G323" s="4">
        <v>0.19728055291129509</v>
      </c>
      <c r="H323" s="4">
        <v>406</v>
      </c>
      <c r="I323" s="4" t="str">
        <f t="shared" ref="I323:I386" si="19">VLOOKUP(H323,$Q$2:$U$57,5,FALSE)</f>
        <v xml:space="preserve">10% MDGS Constant </v>
      </c>
      <c r="W323" s="122"/>
      <c r="X323" s="123"/>
      <c r="Y323" s="123"/>
      <c r="Z323" s="123"/>
      <c r="AA323" s="124"/>
      <c r="AB323" s="124"/>
      <c r="AC323" s="125"/>
      <c r="AD323" s="125"/>
      <c r="AE323" s="125"/>
      <c r="AF323" s="125"/>
      <c r="AG323" s="125"/>
    </row>
    <row r="324" spans="1:33" x14ac:dyDescent="0.2">
      <c r="A324" s="16">
        <v>4375</v>
      </c>
      <c r="B324" s="17">
        <f>VLOOKUP(A324,'[1]Nebris 11.27'!E:I,5,FALSE)</f>
        <v>676</v>
      </c>
      <c r="C324" s="4">
        <f>VLOOKUP(A324,'[1]Nebris 11.28.23'!$E:$I,5,FALSE)</f>
        <v>680</v>
      </c>
      <c r="D324" s="18">
        <f t="shared" si="18"/>
        <v>678</v>
      </c>
      <c r="E324" s="4">
        <v>3</v>
      </c>
      <c r="F324" s="4">
        <v>3</v>
      </c>
      <c r="G324" s="4">
        <v>0.23347429064528824</v>
      </c>
      <c r="H324" s="4">
        <v>407</v>
      </c>
      <c r="I324" s="4" t="str">
        <f t="shared" si="19"/>
        <v>25% MDGS Variable</v>
      </c>
      <c r="W324" s="122"/>
      <c r="X324" s="123"/>
      <c r="Y324" s="123"/>
      <c r="Z324" s="123"/>
      <c r="AA324" s="124"/>
      <c r="AB324" s="124"/>
      <c r="AC324" s="125"/>
      <c r="AD324" s="125"/>
      <c r="AE324" s="125"/>
      <c r="AF324" s="125"/>
      <c r="AG324" s="125"/>
    </row>
    <row r="325" spans="1:33" x14ac:dyDescent="0.2">
      <c r="A325" s="16">
        <v>4655</v>
      </c>
      <c r="B325" s="17">
        <f>VLOOKUP(A325,'[1]Nebris 11.27'!E:I,5,FALSE)</f>
        <v>674</v>
      </c>
      <c r="C325" s="4">
        <f>VLOOKUP(A325,'[1]Nebris 11.28.23'!$E:$I,5,FALSE)</f>
        <v>696</v>
      </c>
      <c r="D325" s="18">
        <f t="shared" si="18"/>
        <v>685</v>
      </c>
      <c r="E325" s="4">
        <v>3</v>
      </c>
      <c r="F325" s="4">
        <v>3</v>
      </c>
      <c r="G325" s="4">
        <v>0.39906912257186766</v>
      </c>
      <c r="H325" s="4">
        <v>408</v>
      </c>
      <c r="I325" s="4" t="str">
        <f t="shared" si="19"/>
        <v>Control</v>
      </c>
      <c r="W325" s="122"/>
      <c r="X325" s="123"/>
      <c r="Y325" s="123"/>
      <c r="Z325" s="123"/>
      <c r="AA325" s="124"/>
      <c r="AB325" s="124"/>
      <c r="AC325" s="125"/>
      <c r="AD325" s="125"/>
      <c r="AE325" s="125"/>
      <c r="AF325" s="125"/>
      <c r="AG325" s="125"/>
    </row>
    <row r="326" spans="1:33" x14ac:dyDescent="0.2">
      <c r="A326" s="16">
        <v>4759</v>
      </c>
      <c r="B326" s="17">
        <f>VLOOKUP(A326,'[1]Nebris 11.27'!E:I,5,FALSE)</f>
        <v>674</v>
      </c>
      <c r="C326" s="4">
        <f>VLOOKUP(A326,'[1]Nebris 11.28.23'!$E:$I,5,FALSE)</f>
        <v>676</v>
      </c>
      <c r="D326" s="18">
        <f t="shared" si="18"/>
        <v>675</v>
      </c>
      <c r="E326" s="4">
        <v>3</v>
      </c>
      <c r="F326" s="4">
        <v>3</v>
      </c>
      <c r="G326" s="4">
        <v>0.49484780635817927</v>
      </c>
      <c r="H326" s="4">
        <v>409</v>
      </c>
      <c r="I326" s="4" t="str">
        <f t="shared" si="19"/>
        <v xml:space="preserve">25% MDGS Constant </v>
      </c>
      <c r="W326" s="122"/>
      <c r="X326" s="123"/>
      <c r="Y326" s="123"/>
      <c r="Z326" s="123"/>
      <c r="AA326" s="124"/>
      <c r="AB326" s="124"/>
      <c r="AC326" s="125"/>
      <c r="AD326" s="125"/>
      <c r="AE326" s="125"/>
      <c r="AF326" s="125"/>
      <c r="AG326" s="125"/>
    </row>
    <row r="327" spans="1:33" x14ac:dyDescent="0.2">
      <c r="A327" s="16">
        <v>4626</v>
      </c>
      <c r="B327" s="17">
        <f>VLOOKUP(A327,'[1]Nebris 11.27'!E:I,5,FALSE)</f>
        <v>676</v>
      </c>
      <c r="C327" s="4">
        <f>VLOOKUP(A327,'[1]Nebris 11.28.23'!$E:$I,5,FALSE)</f>
        <v>688</v>
      </c>
      <c r="D327" s="18">
        <f t="shared" si="18"/>
        <v>682</v>
      </c>
      <c r="E327" s="4">
        <v>3</v>
      </c>
      <c r="F327" s="4">
        <v>3</v>
      </c>
      <c r="G327" s="4">
        <v>0.50597112363889285</v>
      </c>
      <c r="H327" s="4">
        <v>410</v>
      </c>
      <c r="I327" s="4" t="str">
        <f t="shared" si="19"/>
        <v>25% MDGS Variable</v>
      </c>
      <c r="W327" s="122"/>
      <c r="X327" s="123"/>
      <c r="Y327" s="123"/>
      <c r="Z327" s="123"/>
      <c r="AA327" s="124"/>
      <c r="AB327" s="124"/>
      <c r="AC327" s="125"/>
      <c r="AD327" s="125"/>
      <c r="AE327" s="125"/>
      <c r="AF327" s="125"/>
      <c r="AG327" s="125"/>
    </row>
    <row r="328" spans="1:33" x14ac:dyDescent="0.2">
      <c r="A328" s="16">
        <v>4671</v>
      </c>
      <c r="B328" s="17">
        <f>VLOOKUP(A328,'[1]Nebris 11.27'!E:I,5,FALSE)</f>
        <v>674</v>
      </c>
      <c r="C328" s="4">
        <f>VLOOKUP(A328,'[1]Nebris 11.28.23'!$E:$I,5,FALSE)</f>
        <v>676</v>
      </c>
      <c r="D328" s="18">
        <f t="shared" si="18"/>
        <v>675</v>
      </c>
      <c r="E328" s="4">
        <v>3</v>
      </c>
      <c r="F328" s="4">
        <v>3</v>
      </c>
      <c r="G328" s="4">
        <v>0.64790053062280639</v>
      </c>
      <c r="H328" s="4">
        <v>411</v>
      </c>
      <c r="I328" s="4" t="str">
        <f t="shared" si="19"/>
        <v xml:space="preserve">10% MDGS Constant </v>
      </c>
      <c r="W328" s="122"/>
      <c r="X328" s="123"/>
      <c r="Y328" s="123"/>
      <c r="Z328" s="123"/>
      <c r="AA328" s="124"/>
      <c r="AB328" s="124"/>
      <c r="AC328" s="125"/>
      <c r="AD328" s="125"/>
      <c r="AE328" s="125"/>
      <c r="AF328" s="125"/>
      <c r="AG328" s="125"/>
    </row>
    <row r="329" spans="1:33" x14ac:dyDescent="0.2">
      <c r="A329" s="16">
        <v>4555</v>
      </c>
      <c r="B329" s="17">
        <f>VLOOKUP(A329,'[1]Nebris 11.27'!E:I,5,FALSE)</f>
        <v>676</v>
      </c>
      <c r="C329" s="4">
        <f>VLOOKUP(A329,'[1]Nebris 11.28.23'!$E:$I,5,FALSE)</f>
        <v>690</v>
      </c>
      <c r="D329" s="18">
        <f t="shared" si="18"/>
        <v>683</v>
      </c>
      <c r="E329" s="4">
        <v>3</v>
      </c>
      <c r="F329" s="4">
        <v>3</v>
      </c>
      <c r="G329" s="4">
        <v>0.76393242941207373</v>
      </c>
      <c r="H329" s="4">
        <v>412</v>
      </c>
      <c r="I329" s="4" t="str">
        <f t="shared" si="19"/>
        <v>Control</v>
      </c>
      <c r="W329" s="122"/>
      <c r="X329" s="123"/>
      <c r="Y329" s="123"/>
      <c r="Z329" s="123"/>
      <c r="AA329" s="124"/>
      <c r="AB329" s="124"/>
      <c r="AC329" s="125"/>
      <c r="AD329" s="125"/>
      <c r="AE329" s="125"/>
      <c r="AF329" s="125"/>
      <c r="AG329" s="125"/>
    </row>
    <row r="330" spans="1:33" x14ac:dyDescent="0.2">
      <c r="A330" s="16">
        <v>4620</v>
      </c>
      <c r="B330" s="17">
        <f>VLOOKUP(A330,'[1]Nebris 11.27'!E:I,5,FALSE)</f>
        <v>674</v>
      </c>
      <c r="C330" s="4">
        <f>VLOOKUP(A330,'[1]Nebris 11.28.23'!$E:$I,5,FALSE)</f>
        <v>674</v>
      </c>
      <c r="D330" s="18">
        <f t="shared" si="18"/>
        <v>674</v>
      </c>
      <c r="E330" s="4">
        <v>3</v>
      </c>
      <c r="F330" s="4">
        <v>3</v>
      </c>
      <c r="G330" s="4">
        <v>0.93474234145219282</v>
      </c>
      <c r="H330" s="4">
        <v>413</v>
      </c>
      <c r="I330" s="4" t="str">
        <f t="shared" si="19"/>
        <v xml:space="preserve">25% MDGS Constant </v>
      </c>
      <c r="W330" s="122"/>
      <c r="X330" s="123"/>
      <c r="Y330" s="123"/>
      <c r="Z330" s="123"/>
      <c r="AA330" s="124"/>
      <c r="AB330" s="124"/>
      <c r="AC330" s="125"/>
      <c r="AD330" s="125"/>
      <c r="AE330" s="125"/>
      <c r="AF330" s="125"/>
      <c r="AG330" s="125"/>
    </row>
    <row r="331" spans="1:33" x14ac:dyDescent="0.2">
      <c r="A331" s="16">
        <v>4536</v>
      </c>
      <c r="B331" s="17">
        <f>VLOOKUP(A331,'[1]Nebris 11.27'!E:I,5,FALSE)</f>
        <v>674</v>
      </c>
      <c r="C331" s="4">
        <f>VLOOKUP(A331,'[1]Nebris 11.28.23'!$E:$I,5,FALSE)</f>
        <v>670</v>
      </c>
      <c r="D331" s="18">
        <f t="shared" si="18"/>
        <v>672</v>
      </c>
      <c r="E331" s="4">
        <v>3</v>
      </c>
      <c r="F331" s="4">
        <v>3</v>
      </c>
      <c r="G331" s="4">
        <v>0.94793206993228163</v>
      </c>
      <c r="H331" s="4">
        <v>414</v>
      </c>
      <c r="I331" s="4" t="str">
        <f t="shared" si="19"/>
        <v>10% MDGS Variable</v>
      </c>
      <c r="W331" s="122"/>
      <c r="X331" s="123"/>
      <c r="Y331" s="123"/>
      <c r="Z331" s="123"/>
      <c r="AA331" s="124"/>
      <c r="AB331" s="124"/>
      <c r="AC331" s="125"/>
      <c r="AD331" s="125"/>
      <c r="AE331" s="125"/>
      <c r="AF331" s="125"/>
      <c r="AG331" s="125"/>
    </row>
    <row r="332" spans="1:33" x14ac:dyDescent="0.2">
      <c r="A332" s="16">
        <v>4686</v>
      </c>
      <c r="B332" s="17">
        <f>VLOOKUP(A332,'[1]Nebris 11.27'!E:I,5,FALSE)</f>
        <v>680</v>
      </c>
      <c r="C332" s="4">
        <f>VLOOKUP(A332,'[1]Nebris 11.28.23'!$E:$I,5,FALSE)</f>
        <v>684</v>
      </c>
      <c r="D332" s="18">
        <f t="shared" si="18"/>
        <v>682</v>
      </c>
      <c r="E332" s="4">
        <v>3</v>
      </c>
      <c r="F332" s="4">
        <v>4</v>
      </c>
      <c r="G332" s="4">
        <v>4.5897721477400566E-2</v>
      </c>
      <c r="H332" s="4">
        <v>405</v>
      </c>
      <c r="I332" s="4" t="str">
        <f t="shared" si="19"/>
        <v>10% MDGS Variable</v>
      </c>
      <c r="W332" s="122"/>
      <c r="X332" s="123"/>
      <c r="Y332" s="123"/>
      <c r="Z332" s="123"/>
      <c r="AA332" s="124"/>
      <c r="AB332" s="124"/>
      <c r="AC332" s="125"/>
      <c r="AD332" s="125"/>
      <c r="AE332" s="125"/>
      <c r="AF332" s="125"/>
      <c r="AG332" s="125"/>
    </row>
    <row r="333" spans="1:33" x14ac:dyDescent="0.2">
      <c r="A333" s="16">
        <v>4729</v>
      </c>
      <c r="B333" s="17">
        <f>VLOOKUP(A333,'[1]Nebris 11.27'!E:I,5,FALSE)</f>
        <v>680</v>
      </c>
      <c r="C333" s="4">
        <f>VLOOKUP(A333,'[1]Nebris 11.28.23'!$E:$I,5,FALSE)</f>
        <v>668</v>
      </c>
      <c r="D333" s="18">
        <f t="shared" si="18"/>
        <v>674</v>
      </c>
      <c r="E333" s="4">
        <v>3</v>
      </c>
      <c r="F333" s="4">
        <v>4</v>
      </c>
      <c r="G333" s="4">
        <v>0.18515976166759684</v>
      </c>
      <c r="H333" s="4">
        <v>406</v>
      </c>
      <c r="I333" s="4" t="str">
        <f t="shared" si="19"/>
        <v xml:space="preserve">10% MDGS Constant </v>
      </c>
      <c r="W333" s="122"/>
      <c r="X333" s="123"/>
      <c r="Y333" s="123"/>
      <c r="Z333" s="123"/>
      <c r="AA333" s="124"/>
      <c r="AB333" s="124"/>
      <c r="AC333" s="125"/>
      <c r="AD333" s="125"/>
      <c r="AE333" s="125"/>
      <c r="AF333" s="125"/>
      <c r="AG333" s="125"/>
    </row>
    <row r="334" spans="1:33" x14ac:dyDescent="0.2">
      <c r="A334" s="16">
        <v>4324</v>
      </c>
      <c r="B334" s="17">
        <f>VLOOKUP(A334,'[1]Nebris 11.27'!E:I,5,FALSE)</f>
        <v>682</v>
      </c>
      <c r="C334" s="4">
        <f>VLOOKUP(A334,'[1]Nebris 11.28.23'!$E:$I,5,FALSE)</f>
        <v>688</v>
      </c>
      <c r="D334" s="18">
        <f t="shared" si="18"/>
        <v>685</v>
      </c>
      <c r="E334" s="4">
        <v>3</v>
      </c>
      <c r="F334" s="4">
        <v>4</v>
      </c>
      <c r="G334" s="4">
        <v>0.23453333722826086</v>
      </c>
      <c r="H334" s="4">
        <v>407</v>
      </c>
      <c r="I334" s="4" t="str">
        <f t="shared" si="19"/>
        <v>25% MDGS Variable</v>
      </c>
      <c r="W334" s="122"/>
      <c r="X334" s="123"/>
      <c r="Y334" s="123"/>
      <c r="Z334" s="123"/>
      <c r="AA334" s="124"/>
      <c r="AB334" s="124"/>
      <c r="AC334" s="125"/>
      <c r="AD334" s="125"/>
      <c r="AE334" s="125"/>
      <c r="AF334" s="125"/>
      <c r="AG334" s="125"/>
    </row>
    <row r="335" spans="1:33" x14ac:dyDescent="0.2">
      <c r="A335" s="16">
        <v>4746</v>
      </c>
      <c r="B335" s="17">
        <f>VLOOKUP(A335,'[1]Nebris 11.27'!E:I,5,FALSE)</f>
        <v>680</v>
      </c>
      <c r="C335" s="4">
        <f>VLOOKUP(A335,'[1]Nebris 11.28.23'!$E:$I,5,FALSE)</f>
        <v>686</v>
      </c>
      <c r="D335" s="18">
        <f t="shared" si="18"/>
        <v>683</v>
      </c>
      <c r="E335" s="4">
        <v>3</v>
      </c>
      <c r="F335" s="4">
        <v>4</v>
      </c>
      <c r="G335" s="4">
        <v>0.24084767193998613</v>
      </c>
      <c r="H335" s="4">
        <v>408</v>
      </c>
      <c r="I335" s="4" t="str">
        <f t="shared" si="19"/>
        <v>Control</v>
      </c>
      <c r="W335" s="122"/>
      <c r="X335" s="123"/>
      <c r="Y335" s="123"/>
      <c r="Z335" s="123"/>
      <c r="AA335" s="124"/>
      <c r="AB335" s="124"/>
      <c r="AC335" s="125"/>
      <c r="AD335" s="125"/>
      <c r="AE335" s="125"/>
      <c r="AF335" s="125"/>
      <c r="AG335" s="125"/>
    </row>
    <row r="336" spans="1:33" x14ac:dyDescent="0.2">
      <c r="A336" s="16">
        <v>4588</v>
      </c>
      <c r="B336" s="17">
        <f>VLOOKUP(A336,'[1]Nebris 11.27'!E:I,5,FALSE)</f>
        <v>682</v>
      </c>
      <c r="C336" s="4">
        <f>VLOOKUP(A336,'[1]Nebris 11.28.23'!$E:$I,5,FALSE)</f>
        <v>688</v>
      </c>
      <c r="D336" s="18">
        <f t="shared" si="18"/>
        <v>685</v>
      </c>
      <c r="E336" s="4">
        <v>3</v>
      </c>
      <c r="F336" s="4">
        <v>4</v>
      </c>
      <c r="G336" s="4">
        <v>0.2429753586712321</v>
      </c>
      <c r="H336" s="4">
        <v>409</v>
      </c>
      <c r="I336" s="4" t="str">
        <f t="shared" si="19"/>
        <v xml:space="preserve">25% MDGS Constant </v>
      </c>
      <c r="W336" s="122"/>
      <c r="X336" s="123"/>
      <c r="Y336" s="123"/>
      <c r="Z336" s="123"/>
      <c r="AA336" s="124"/>
      <c r="AB336" s="124"/>
      <c r="AC336" s="125"/>
      <c r="AD336" s="125"/>
      <c r="AE336" s="125"/>
      <c r="AF336" s="125"/>
      <c r="AG336" s="125"/>
    </row>
    <row r="337" spans="1:33" x14ac:dyDescent="0.2">
      <c r="A337" s="16">
        <v>4728</v>
      </c>
      <c r="B337" s="17">
        <f>VLOOKUP(A337,'[1]Nebris 11.27'!E:I,5,FALSE)</f>
        <v>680</v>
      </c>
      <c r="C337" s="4">
        <f>VLOOKUP(A337,'[1]Nebris 11.28.23'!$E:$I,5,FALSE)</f>
        <v>686</v>
      </c>
      <c r="D337" s="18">
        <f t="shared" si="18"/>
        <v>683</v>
      </c>
      <c r="E337" s="4">
        <v>3</v>
      </c>
      <c r="F337" s="4">
        <v>4</v>
      </c>
      <c r="G337" s="4">
        <v>0.3954406161934354</v>
      </c>
      <c r="H337" s="4">
        <v>410</v>
      </c>
      <c r="I337" s="4" t="str">
        <f t="shared" si="19"/>
        <v>25% MDGS Variable</v>
      </c>
      <c r="W337" s="122"/>
      <c r="X337" s="123"/>
      <c r="Y337" s="123"/>
      <c r="Z337" s="123"/>
      <c r="AA337" s="124"/>
      <c r="AB337" s="124"/>
      <c r="AC337" s="125"/>
      <c r="AD337" s="125"/>
      <c r="AE337" s="125"/>
      <c r="AF337" s="125"/>
      <c r="AG337" s="125"/>
    </row>
    <row r="338" spans="1:33" x14ac:dyDescent="0.2">
      <c r="A338" s="16">
        <v>4495</v>
      </c>
      <c r="B338" s="17">
        <f>VLOOKUP(A338,'[1]Nebris 11.27'!E:I,5,FALSE)</f>
        <v>682</v>
      </c>
      <c r="C338" s="4">
        <f>VLOOKUP(A338,'[1]Nebris 11.28.23'!$E:$I,5,FALSE)</f>
        <v>678</v>
      </c>
      <c r="D338" s="18">
        <f t="shared" si="18"/>
        <v>680</v>
      </c>
      <c r="E338" s="4">
        <v>3</v>
      </c>
      <c r="F338" s="4">
        <v>4</v>
      </c>
      <c r="G338" s="4">
        <v>0.4103382568455638</v>
      </c>
      <c r="H338" s="4">
        <v>411</v>
      </c>
      <c r="I338" s="4" t="str">
        <f t="shared" si="19"/>
        <v xml:space="preserve">10% MDGS Constant </v>
      </c>
      <c r="W338" s="122"/>
      <c r="X338" s="123"/>
      <c r="Y338" s="123"/>
      <c r="Z338" s="123"/>
      <c r="AA338" s="124"/>
      <c r="AB338" s="124"/>
      <c r="AC338" s="125"/>
      <c r="AD338" s="125"/>
      <c r="AE338" s="125"/>
      <c r="AF338" s="125"/>
      <c r="AG338" s="125"/>
    </row>
    <row r="339" spans="1:33" x14ac:dyDescent="0.2">
      <c r="A339" s="16">
        <v>4725</v>
      </c>
      <c r="B339" s="17">
        <f>VLOOKUP(A339,'[1]Nebris 11.27'!E:I,5,FALSE)</f>
        <v>680</v>
      </c>
      <c r="C339" s="4">
        <f>VLOOKUP(A339,'[1]Nebris 11.28.23'!$E:$I,5,FALSE)</f>
        <v>676</v>
      </c>
      <c r="D339" s="18">
        <f t="shared" si="18"/>
        <v>678</v>
      </c>
      <c r="E339" s="4">
        <v>3</v>
      </c>
      <c r="F339" s="4">
        <v>4</v>
      </c>
      <c r="G339" s="4">
        <v>0.45929057304132159</v>
      </c>
      <c r="H339" s="4">
        <v>412</v>
      </c>
      <c r="I339" s="4" t="str">
        <f t="shared" si="19"/>
        <v>Control</v>
      </c>
      <c r="W339" s="122"/>
      <c r="X339" s="123"/>
      <c r="Y339" s="123"/>
      <c r="Z339" s="123"/>
      <c r="AA339" s="124"/>
      <c r="AB339" s="124"/>
      <c r="AC339" s="125"/>
      <c r="AD339" s="125"/>
      <c r="AE339" s="125"/>
      <c r="AF339" s="125"/>
      <c r="AG339" s="125"/>
    </row>
    <row r="340" spans="1:33" x14ac:dyDescent="0.2">
      <c r="A340" s="16">
        <v>4529</v>
      </c>
      <c r="B340" s="17">
        <f>VLOOKUP(A340,'[1]Nebris 11.27'!E:I,5,FALSE)</f>
        <v>682</v>
      </c>
      <c r="C340" s="4">
        <f>VLOOKUP(A340,'[1]Nebris 11.28.23'!$E:$I,5,FALSE)</f>
        <v>702</v>
      </c>
      <c r="D340" s="18">
        <f t="shared" si="18"/>
        <v>692</v>
      </c>
      <c r="E340" s="4">
        <v>3</v>
      </c>
      <c r="F340" s="4">
        <v>4</v>
      </c>
      <c r="G340" s="4">
        <v>0.64074254383937435</v>
      </c>
      <c r="H340" s="4">
        <v>413</v>
      </c>
      <c r="I340" s="4" t="str">
        <f t="shared" si="19"/>
        <v xml:space="preserve">25% MDGS Constant </v>
      </c>
      <c r="W340" s="122"/>
      <c r="X340" s="123"/>
      <c r="Y340" s="123"/>
      <c r="Z340" s="123"/>
      <c r="AA340" s="124"/>
      <c r="AB340" s="124"/>
      <c r="AC340" s="125"/>
      <c r="AD340" s="125"/>
      <c r="AE340" s="125"/>
      <c r="AF340" s="125"/>
      <c r="AG340" s="125"/>
    </row>
    <row r="341" spans="1:33" x14ac:dyDescent="0.2">
      <c r="A341" s="16">
        <v>4582</v>
      </c>
      <c r="B341" s="17">
        <f>VLOOKUP(A341,'[1]Nebris 11.27'!E:I,5,FALSE)</f>
        <v>680</v>
      </c>
      <c r="C341" s="4">
        <f>VLOOKUP(A341,'[1]Nebris 11.28.23'!$E:$I,5,FALSE)</f>
        <v>670</v>
      </c>
      <c r="D341" s="18">
        <f t="shared" si="18"/>
        <v>675</v>
      </c>
      <c r="E341" s="4">
        <v>3</v>
      </c>
      <c r="F341" s="4">
        <v>4</v>
      </c>
      <c r="G341" s="4">
        <v>0.68624058565467405</v>
      </c>
      <c r="H341" s="4">
        <v>414</v>
      </c>
      <c r="I341" s="4" t="str">
        <f t="shared" si="19"/>
        <v>10% MDGS Variable</v>
      </c>
      <c r="W341" s="122"/>
      <c r="X341" s="123"/>
      <c r="Y341" s="123"/>
      <c r="Z341" s="123"/>
      <c r="AA341" s="124"/>
      <c r="AB341" s="124"/>
      <c r="AC341" s="125"/>
      <c r="AD341" s="125"/>
      <c r="AE341" s="125"/>
      <c r="AF341" s="125"/>
      <c r="AG341" s="125"/>
    </row>
    <row r="342" spans="1:33" x14ac:dyDescent="0.2">
      <c r="A342" s="16">
        <v>4720</v>
      </c>
      <c r="B342" s="17">
        <f>VLOOKUP(A342,'[1]Nebris 11.27'!E:I,5,FALSE)</f>
        <v>686</v>
      </c>
      <c r="C342" s="4">
        <f>VLOOKUP(A342,'[1]Nebris 11.28.23'!$E:$I,5,FALSE)</f>
        <v>674</v>
      </c>
      <c r="D342" s="18">
        <f t="shared" si="18"/>
        <v>680</v>
      </c>
      <c r="E342" s="4">
        <v>3</v>
      </c>
      <c r="F342" s="4">
        <v>5</v>
      </c>
      <c r="G342" s="4">
        <v>0.15433053443437594</v>
      </c>
      <c r="H342" s="4">
        <v>405</v>
      </c>
      <c r="I342" s="4" t="str">
        <f t="shared" si="19"/>
        <v>10% MDGS Variable</v>
      </c>
      <c r="W342" s="122"/>
      <c r="X342" s="123"/>
      <c r="Y342" s="123"/>
      <c r="Z342" s="123"/>
      <c r="AA342" s="124"/>
      <c r="AB342" s="124"/>
      <c r="AC342" s="125"/>
      <c r="AD342" s="125"/>
      <c r="AE342" s="125"/>
      <c r="AF342" s="125"/>
      <c r="AG342" s="125"/>
    </row>
    <row r="343" spans="1:33" x14ac:dyDescent="0.2">
      <c r="A343" s="16">
        <v>4629</v>
      </c>
      <c r="B343" s="17">
        <f>VLOOKUP(A343,'[1]Nebris 11.27'!E:I,5,FALSE)</f>
        <v>684</v>
      </c>
      <c r="C343" s="4">
        <f>VLOOKUP(A343,'[1]Nebris 11.28.23'!$E:$I,5,FALSE)</f>
        <v>682</v>
      </c>
      <c r="D343" s="18">
        <f t="shared" si="18"/>
        <v>683</v>
      </c>
      <c r="E343" s="4">
        <v>3</v>
      </c>
      <c r="F343" s="4">
        <v>5</v>
      </c>
      <c r="G343" s="4">
        <v>0.19054567055036353</v>
      </c>
      <c r="H343" s="4">
        <v>406</v>
      </c>
      <c r="I343" s="4" t="str">
        <f t="shared" si="19"/>
        <v xml:space="preserve">10% MDGS Constant </v>
      </c>
      <c r="W343" s="122"/>
      <c r="X343" s="123"/>
      <c r="Y343" s="123"/>
      <c r="Z343" s="123"/>
      <c r="AA343" s="124"/>
      <c r="AB343" s="124"/>
      <c r="AC343" s="125"/>
      <c r="AD343" s="125"/>
      <c r="AE343" s="125"/>
      <c r="AF343" s="125"/>
      <c r="AG343" s="125"/>
    </row>
    <row r="344" spans="1:33" x14ac:dyDescent="0.2">
      <c r="A344" s="16">
        <v>4609</v>
      </c>
      <c r="B344" s="17">
        <f>VLOOKUP(A344,'[1]Nebris 11.27'!E:I,5,FALSE)</f>
        <v>684</v>
      </c>
      <c r="C344" s="4">
        <f>VLOOKUP(A344,'[1]Nebris 11.28.23'!$E:$I,5,FALSE)</f>
        <v>680</v>
      </c>
      <c r="D344" s="18">
        <f t="shared" si="18"/>
        <v>682</v>
      </c>
      <c r="E344" s="4">
        <v>3</v>
      </c>
      <c r="F344" s="4">
        <v>5</v>
      </c>
      <c r="G344" s="4">
        <v>0.19758635792931711</v>
      </c>
      <c r="H344" s="4">
        <v>407</v>
      </c>
      <c r="I344" s="4" t="str">
        <f t="shared" si="19"/>
        <v>25% MDGS Variable</v>
      </c>
      <c r="W344" s="122"/>
      <c r="X344" s="123"/>
      <c r="Y344" s="123"/>
      <c r="Z344" s="123"/>
      <c r="AA344" s="124"/>
      <c r="AB344" s="124"/>
      <c r="AC344" s="125"/>
      <c r="AD344" s="125"/>
      <c r="AE344" s="125"/>
      <c r="AF344" s="125"/>
      <c r="AG344" s="125"/>
    </row>
    <row r="345" spans="1:33" x14ac:dyDescent="0.2">
      <c r="A345" s="16">
        <v>4699</v>
      </c>
      <c r="B345" s="17">
        <f>VLOOKUP(A345,'[1]Nebris 11.27'!E:I,5,FALSE)</f>
        <v>684</v>
      </c>
      <c r="C345" s="4">
        <f>VLOOKUP(A345,'[1]Nebris 11.28.23'!$E:$I,5,FALSE)</f>
        <v>664</v>
      </c>
      <c r="D345" s="18">
        <f t="shared" si="18"/>
        <v>674</v>
      </c>
      <c r="E345" s="4">
        <v>3</v>
      </c>
      <c r="F345" s="4">
        <v>5</v>
      </c>
      <c r="G345" s="4">
        <v>0.58865687771432673</v>
      </c>
      <c r="H345" s="4">
        <v>408</v>
      </c>
      <c r="I345" s="4" t="str">
        <f t="shared" si="19"/>
        <v>Control</v>
      </c>
      <c r="W345" s="122"/>
      <c r="X345" s="123"/>
      <c r="Y345" s="123"/>
      <c r="Z345" s="123"/>
      <c r="AA345" s="124"/>
      <c r="AB345" s="124"/>
      <c r="AC345" s="125"/>
      <c r="AD345" s="125"/>
      <c r="AE345" s="125"/>
      <c r="AF345" s="125"/>
      <c r="AG345" s="125"/>
    </row>
    <row r="346" spans="1:33" x14ac:dyDescent="0.2">
      <c r="A346" s="16">
        <v>4566</v>
      </c>
      <c r="B346" s="17">
        <f>VLOOKUP(A346,'[1]Nebris 11.27'!E:I,5,FALSE)</f>
        <v>688</v>
      </c>
      <c r="C346" s="4">
        <f>VLOOKUP(A346,'[1]Nebris 11.28.23'!$E:$I,5,FALSE)</f>
        <v>678</v>
      </c>
      <c r="D346" s="18">
        <f t="shared" si="18"/>
        <v>683</v>
      </c>
      <c r="E346" s="4">
        <v>3</v>
      </c>
      <c r="F346" s="4">
        <v>5</v>
      </c>
      <c r="G346" s="4">
        <v>0.59280800432905667</v>
      </c>
      <c r="H346" s="4">
        <v>409</v>
      </c>
      <c r="I346" s="4" t="str">
        <f t="shared" si="19"/>
        <v xml:space="preserve">25% MDGS Constant </v>
      </c>
      <c r="W346" s="122"/>
      <c r="X346" s="123"/>
      <c r="Y346" s="123"/>
      <c r="Z346" s="123"/>
      <c r="AA346" s="124"/>
      <c r="AB346" s="124"/>
      <c r="AC346" s="125"/>
      <c r="AD346" s="125"/>
      <c r="AE346" s="125"/>
      <c r="AF346" s="125"/>
      <c r="AG346" s="125"/>
    </row>
    <row r="347" spans="1:33" x14ac:dyDescent="0.2">
      <c r="A347" s="16">
        <v>4542</v>
      </c>
      <c r="B347" s="17">
        <f>VLOOKUP(A347,'[1]Nebris 11.27'!E:I,5,FALSE)</f>
        <v>690</v>
      </c>
      <c r="C347" s="4">
        <f>VLOOKUP(A347,'[1]Nebris 11.28.23'!$E:$I,5,FALSE)</f>
        <v>690</v>
      </c>
      <c r="D347" s="18">
        <f t="shared" si="18"/>
        <v>690</v>
      </c>
      <c r="E347" s="4">
        <v>3</v>
      </c>
      <c r="F347" s="4">
        <v>5</v>
      </c>
      <c r="G347" s="4">
        <v>0.62812252872977892</v>
      </c>
      <c r="H347" s="4">
        <v>410</v>
      </c>
      <c r="I347" s="4" t="str">
        <f t="shared" si="19"/>
        <v>25% MDGS Variable</v>
      </c>
      <c r="W347" s="122"/>
      <c r="X347" s="123"/>
      <c r="Y347" s="123"/>
      <c r="Z347" s="123"/>
      <c r="AA347" s="124"/>
      <c r="AB347" s="124"/>
      <c r="AC347" s="125"/>
      <c r="AD347" s="125"/>
      <c r="AE347" s="125"/>
      <c r="AF347" s="125"/>
      <c r="AG347" s="125"/>
    </row>
    <row r="348" spans="1:33" x14ac:dyDescent="0.2">
      <c r="A348" s="16">
        <v>4346</v>
      </c>
      <c r="B348" s="17">
        <f>VLOOKUP(A348,'[1]Nebris 11.27'!E:I,5,FALSE)</f>
        <v>684</v>
      </c>
      <c r="C348" s="4">
        <f>VLOOKUP(A348,'[1]Nebris 11.28.23'!$E:$I,5,FALSE)</f>
        <v>700</v>
      </c>
      <c r="D348" s="18">
        <f t="shared" si="18"/>
        <v>692</v>
      </c>
      <c r="E348" s="4">
        <v>3</v>
      </c>
      <c r="F348" s="4">
        <v>5</v>
      </c>
      <c r="G348" s="4">
        <v>0.77823682948625994</v>
      </c>
      <c r="H348" s="4">
        <v>411</v>
      </c>
      <c r="I348" s="4" t="str">
        <f t="shared" si="19"/>
        <v xml:space="preserve">10% MDGS Constant </v>
      </c>
      <c r="W348" s="122"/>
      <c r="X348" s="123"/>
      <c r="Y348" s="123"/>
      <c r="Z348" s="123"/>
      <c r="AA348" s="124"/>
      <c r="AB348" s="124"/>
      <c r="AC348" s="125"/>
      <c r="AD348" s="125"/>
      <c r="AE348" s="125"/>
      <c r="AF348" s="125"/>
      <c r="AG348" s="125"/>
    </row>
    <row r="349" spans="1:33" x14ac:dyDescent="0.2">
      <c r="A349" s="16">
        <v>4521</v>
      </c>
      <c r="B349" s="17">
        <f>VLOOKUP(A349,'[1]Nebris 11.27'!E:I,5,FALSE)</f>
        <v>686</v>
      </c>
      <c r="C349" s="4">
        <f>VLOOKUP(A349,'[1]Nebris 11.28.23'!$E:$I,5,FALSE)</f>
        <v>694</v>
      </c>
      <c r="D349" s="18">
        <f t="shared" si="18"/>
        <v>690</v>
      </c>
      <c r="E349" s="4">
        <v>3</v>
      </c>
      <c r="F349" s="4">
        <v>5</v>
      </c>
      <c r="G349" s="4">
        <v>0.8999567041602915</v>
      </c>
      <c r="H349" s="4">
        <v>412</v>
      </c>
      <c r="I349" s="4" t="str">
        <f t="shared" si="19"/>
        <v>Control</v>
      </c>
      <c r="W349" s="122"/>
      <c r="X349" s="123"/>
      <c r="Y349" s="123"/>
      <c r="Z349" s="123"/>
      <c r="AA349" s="124"/>
      <c r="AB349" s="124"/>
      <c r="AC349" s="125"/>
      <c r="AD349" s="125"/>
      <c r="AE349" s="125"/>
      <c r="AF349" s="125"/>
      <c r="AG349" s="125"/>
    </row>
    <row r="350" spans="1:33" x14ac:dyDescent="0.2">
      <c r="A350" s="16">
        <v>4571</v>
      </c>
      <c r="B350" s="17">
        <f>VLOOKUP(A350,'[1]Nebris 11.27'!E:I,5,FALSE)</f>
        <v>688</v>
      </c>
      <c r="C350" s="4">
        <f>VLOOKUP(A350,'[1]Nebris 11.28.23'!$E:$I,5,FALSE)</f>
        <v>700</v>
      </c>
      <c r="D350" s="18">
        <f t="shared" si="18"/>
        <v>694</v>
      </c>
      <c r="E350" s="4">
        <v>3</v>
      </c>
      <c r="F350" s="4">
        <v>5</v>
      </c>
      <c r="G350" s="4">
        <v>0.92158247451775888</v>
      </c>
      <c r="H350" s="4">
        <v>413</v>
      </c>
      <c r="I350" s="4" t="str">
        <f t="shared" si="19"/>
        <v xml:space="preserve">25% MDGS Constant </v>
      </c>
      <c r="W350" s="122"/>
      <c r="X350" s="123"/>
      <c r="Y350" s="123"/>
      <c r="Z350" s="123"/>
      <c r="AA350" s="124"/>
      <c r="AB350" s="124"/>
      <c r="AC350" s="125"/>
      <c r="AD350" s="125"/>
      <c r="AE350" s="125"/>
      <c r="AF350" s="125"/>
      <c r="AG350" s="125"/>
    </row>
    <row r="351" spans="1:33" x14ac:dyDescent="0.2">
      <c r="A351" s="16">
        <v>4338</v>
      </c>
      <c r="B351" s="17">
        <f>VLOOKUP(A351,'[1]Nebris 11.27'!E:I,5,FALSE)</f>
        <v>690</v>
      </c>
      <c r="C351" s="4">
        <f>VLOOKUP(A351,'[1]Nebris 11.28.23'!$E:$I,5,FALSE)</f>
        <v>704</v>
      </c>
      <c r="D351" s="18">
        <f t="shared" si="18"/>
        <v>697</v>
      </c>
      <c r="E351" s="4">
        <v>3</v>
      </c>
      <c r="F351" s="4">
        <v>5</v>
      </c>
      <c r="G351" s="4">
        <v>0.95862629775594566</v>
      </c>
      <c r="H351" s="4">
        <v>414</v>
      </c>
      <c r="I351" s="4" t="str">
        <f t="shared" si="19"/>
        <v>10% MDGS Variable</v>
      </c>
      <c r="W351" s="122"/>
      <c r="X351" s="123"/>
      <c r="Y351" s="123"/>
      <c r="Z351" s="123"/>
      <c r="AA351" s="124"/>
      <c r="AB351" s="124"/>
      <c r="AC351" s="125"/>
      <c r="AD351" s="125"/>
      <c r="AE351" s="125"/>
      <c r="AF351" s="125"/>
      <c r="AG351" s="125"/>
    </row>
    <row r="352" spans="1:33" x14ac:dyDescent="0.2">
      <c r="A352" s="16">
        <v>4552</v>
      </c>
      <c r="B352" s="17">
        <f>VLOOKUP(A352,'[1]Nebris 11.27'!E:I,5,FALSE)</f>
        <v>692</v>
      </c>
      <c r="C352" s="4">
        <f>VLOOKUP(A352,'[1]Nebris 11.28.23'!$E:$I,5,FALSE)</f>
        <v>684</v>
      </c>
      <c r="D352" s="18">
        <f t="shared" si="18"/>
        <v>688</v>
      </c>
      <c r="E352" s="4">
        <v>3</v>
      </c>
      <c r="F352" s="4">
        <v>6</v>
      </c>
      <c r="G352" s="4">
        <v>0.179305248056148</v>
      </c>
      <c r="H352" s="4">
        <v>405</v>
      </c>
      <c r="I352" s="4" t="str">
        <f t="shared" si="19"/>
        <v>10% MDGS Variable</v>
      </c>
      <c r="W352" s="122"/>
      <c r="X352" s="123"/>
      <c r="Y352" s="123"/>
      <c r="Z352" s="123"/>
      <c r="AA352" s="124"/>
      <c r="AB352" s="124"/>
      <c r="AC352" s="125"/>
      <c r="AD352" s="125"/>
      <c r="AE352" s="125"/>
      <c r="AF352" s="125"/>
      <c r="AG352" s="125"/>
    </row>
    <row r="353" spans="1:33" x14ac:dyDescent="0.2">
      <c r="A353" s="16">
        <v>4616</v>
      </c>
      <c r="B353" s="17">
        <f>VLOOKUP(A353,'[1]Nebris 11.27'!E:I,5,FALSE)</f>
        <v>694</v>
      </c>
      <c r="C353" s="4">
        <f>VLOOKUP(A353,'[1]Nebris 11.28.23'!$E:$I,5,FALSE)</f>
        <v>716</v>
      </c>
      <c r="D353" s="18">
        <f t="shared" si="18"/>
        <v>705</v>
      </c>
      <c r="E353" s="4">
        <v>3</v>
      </c>
      <c r="F353" s="4">
        <v>6</v>
      </c>
      <c r="G353" s="4">
        <v>0.22694496218373772</v>
      </c>
      <c r="H353" s="4">
        <v>406</v>
      </c>
      <c r="I353" s="4" t="str">
        <f t="shared" si="19"/>
        <v xml:space="preserve">10% MDGS Constant </v>
      </c>
      <c r="W353" s="122"/>
      <c r="X353" s="123"/>
      <c r="Y353" s="123"/>
      <c r="Z353" s="123"/>
      <c r="AA353" s="124"/>
      <c r="AB353" s="124"/>
      <c r="AC353" s="125"/>
      <c r="AD353" s="125"/>
      <c r="AE353" s="125"/>
      <c r="AF353" s="125"/>
      <c r="AG353" s="125"/>
    </row>
    <row r="354" spans="1:33" x14ac:dyDescent="0.2">
      <c r="A354" s="16">
        <v>4390</v>
      </c>
      <c r="B354" s="17">
        <f>VLOOKUP(A354,'[1]Nebris 11.27'!E:I,5,FALSE)</f>
        <v>696</v>
      </c>
      <c r="C354" s="4">
        <f>VLOOKUP(A354,'[1]Nebris 11.28.23'!$E:$I,5,FALSE)</f>
        <v>708</v>
      </c>
      <c r="D354" s="18">
        <f t="shared" si="18"/>
        <v>702</v>
      </c>
      <c r="E354" s="4">
        <v>3</v>
      </c>
      <c r="F354" s="4">
        <v>6</v>
      </c>
      <c r="G354" s="4">
        <v>0.23001091854882716</v>
      </c>
      <c r="H354" s="4">
        <v>407</v>
      </c>
      <c r="I354" s="4" t="str">
        <f t="shared" si="19"/>
        <v>25% MDGS Variable</v>
      </c>
      <c r="W354" s="122"/>
      <c r="X354" s="123"/>
      <c r="Y354" s="123"/>
      <c r="Z354" s="123"/>
      <c r="AA354" s="124"/>
      <c r="AB354" s="124"/>
      <c r="AC354" s="125"/>
      <c r="AD354" s="125"/>
      <c r="AE354" s="125"/>
      <c r="AF354" s="125"/>
      <c r="AG354" s="125"/>
    </row>
    <row r="355" spans="1:33" x14ac:dyDescent="0.2">
      <c r="A355" s="16">
        <v>4580</v>
      </c>
      <c r="B355" s="17">
        <f>VLOOKUP(A355,'[1]Nebris 11.27'!E:I,5,FALSE)</f>
        <v>692</v>
      </c>
      <c r="C355" s="4">
        <f>VLOOKUP(A355,'[1]Nebris 11.28.23'!$E:$I,5,FALSE)</f>
        <v>714</v>
      </c>
      <c r="D355" s="18">
        <f t="shared" si="18"/>
        <v>703</v>
      </c>
      <c r="E355" s="4">
        <v>3</v>
      </c>
      <c r="F355" s="4">
        <v>6</v>
      </c>
      <c r="G355" s="4">
        <v>0.443931776773</v>
      </c>
      <c r="H355" s="4">
        <v>408</v>
      </c>
      <c r="I355" s="4" t="str">
        <f t="shared" si="19"/>
        <v>Control</v>
      </c>
      <c r="W355" s="122"/>
      <c r="X355" s="123"/>
      <c r="Y355" s="123"/>
      <c r="Z355" s="123"/>
      <c r="AA355" s="124"/>
      <c r="AB355" s="124"/>
      <c r="AC355" s="125"/>
      <c r="AD355" s="125"/>
      <c r="AE355" s="125"/>
      <c r="AF355" s="125"/>
      <c r="AG355" s="125"/>
    </row>
    <row r="356" spans="1:33" x14ac:dyDescent="0.2">
      <c r="A356" s="16">
        <v>4569</v>
      </c>
      <c r="B356" s="17">
        <f>VLOOKUP(A356,'[1]Nebris 11.27'!E:I,5,FALSE)</f>
        <v>690</v>
      </c>
      <c r="C356" s="4">
        <f>VLOOKUP(A356,'[1]Nebris 11.28.23'!$E:$I,5,FALSE)</f>
        <v>694</v>
      </c>
      <c r="D356" s="18">
        <f t="shared" si="18"/>
        <v>692</v>
      </c>
      <c r="E356" s="4">
        <v>3</v>
      </c>
      <c r="F356" s="4">
        <v>6</v>
      </c>
      <c r="G356" s="4">
        <v>0.63302015953448509</v>
      </c>
      <c r="H356" s="4">
        <v>409</v>
      </c>
      <c r="I356" s="4" t="str">
        <f t="shared" si="19"/>
        <v xml:space="preserve">25% MDGS Constant </v>
      </c>
      <c r="W356" s="122"/>
      <c r="X356" s="123"/>
      <c r="Y356" s="123"/>
      <c r="Z356" s="123"/>
      <c r="AA356" s="124"/>
      <c r="AB356" s="124"/>
      <c r="AC356" s="125"/>
      <c r="AD356" s="125"/>
      <c r="AE356" s="125"/>
      <c r="AF356" s="125"/>
      <c r="AG356" s="125"/>
    </row>
    <row r="357" spans="1:33" x14ac:dyDescent="0.2">
      <c r="A357" s="16">
        <v>4505</v>
      </c>
      <c r="B357" s="17">
        <f>VLOOKUP(A357,'[1]Nebris 11.27'!E:I,5,FALSE)</f>
        <v>698</v>
      </c>
      <c r="C357" s="4">
        <f>VLOOKUP(A357,'[1]Nebris 11.28.23'!$E:$I,5,FALSE)</f>
        <v>702</v>
      </c>
      <c r="D357" s="18">
        <f t="shared" si="18"/>
        <v>700</v>
      </c>
      <c r="E357" s="4">
        <v>3</v>
      </c>
      <c r="F357" s="4">
        <v>6</v>
      </c>
      <c r="G357" s="4">
        <v>0.64456895709450202</v>
      </c>
      <c r="H357" s="4">
        <v>410</v>
      </c>
      <c r="I357" s="4" t="str">
        <f t="shared" si="19"/>
        <v>25% MDGS Variable</v>
      </c>
      <c r="W357" s="122"/>
      <c r="X357" s="123"/>
      <c r="Y357" s="123"/>
      <c r="Z357" s="123"/>
      <c r="AA357" s="124"/>
      <c r="AB357" s="124"/>
      <c r="AC357" s="125"/>
      <c r="AD357" s="125"/>
      <c r="AE357" s="125"/>
      <c r="AF357" s="125"/>
      <c r="AG357" s="125"/>
    </row>
    <row r="358" spans="1:33" x14ac:dyDescent="0.2">
      <c r="A358" s="16">
        <v>4562</v>
      </c>
      <c r="B358" s="17">
        <f>VLOOKUP(A358,'[1]Nebris 11.27'!E:I,5,FALSE)</f>
        <v>696</v>
      </c>
      <c r="C358" s="4">
        <f>VLOOKUP(A358,'[1]Nebris 11.28.23'!$E:$I,5,FALSE)</f>
        <v>684</v>
      </c>
      <c r="D358" s="18">
        <f t="shared" si="18"/>
        <v>690</v>
      </c>
      <c r="E358" s="4">
        <v>3</v>
      </c>
      <c r="F358" s="4">
        <v>6</v>
      </c>
      <c r="G358" s="4">
        <v>0.67922094624291107</v>
      </c>
      <c r="H358" s="4">
        <v>411</v>
      </c>
      <c r="I358" s="4" t="str">
        <f t="shared" si="19"/>
        <v xml:space="preserve">10% MDGS Constant </v>
      </c>
      <c r="W358" s="122"/>
      <c r="X358" s="123"/>
      <c r="Y358" s="123"/>
      <c r="Z358" s="123"/>
      <c r="AA358" s="124"/>
      <c r="AB358" s="124"/>
      <c r="AC358" s="125"/>
      <c r="AD358" s="125"/>
      <c r="AE358" s="125"/>
      <c r="AF358" s="125"/>
      <c r="AG358" s="125"/>
    </row>
    <row r="359" spans="1:33" x14ac:dyDescent="0.2">
      <c r="A359" s="16">
        <v>4379</v>
      </c>
      <c r="B359" s="17">
        <f>VLOOKUP(A359,'[1]Nebris 11.27'!E:I,5,FALSE)</f>
        <v>696</v>
      </c>
      <c r="C359" s="4">
        <f>VLOOKUP(A359,'[1]Nebris 11.28.23'!$E:$I,5,FALSE)</f>
        <v>716</v>
      </c>
      <c r="D359" s="18">
        <f t="shared" si="18"/>
        <v>706</v>
      </c>
      <c r="E359" s="4">
        <v>3</v>
      </c>
      <c r="F359" s="4">
        <v>6</v>
      </c>
      <c r="G359" s="4">
        <v>0.84116760370358301</v>
      </c>
      <c r="H359" s="4">
        <v>412</v>
      </c>
      <c r="I359" s="4" t="str">
        <f t="shared" si="19"/>
        <v>Control</v>
      </c>
      <c r="W359" s="122"/>
      <c r="X359" s="123"/>
      <c r="Y359" s="123"/>
      <c r="Z359" s="123"/>
      <c r="AA359" s="124"/>
      <c r="AB359" s="124"/>
      <c r="AC359" s="125"/>
      <c r="AD359" s="125"/>
      <c r="AE359" s="125"/>
      <c r="AF359" s="125"/>
      <c r="AG359" s="125"/>
    </row>
    <row r="360" spans="1:33" x14ac:dyDescent="0.2">
      <c r="A360" s="16">
        <v>4482</v>
      </c>
      <c r="B360" s="17">
        <f>VLOOKUP(A360,'[1]Nebris 11.27'!E:I,5,FALSE)</f>
        <v>692</v>
      </c>
      <c r="C360" s="4">
        <f>VLOOKUP(A360,'[1]Nebris 11.28.23'!$E:$I,5,FALSE)</f>
        <v>676</v>
      </c>
      <c r="D360" s="18">
        <f t="shared" si="18"/>
        <v>684</v>
      </c>
      <c r="E360" s="4">
        <v>3</v>
      </c>
      <c r="F360" s="4">
        <v>6</v>
      </c>
      <c r="G360" s="4">
        <v>0.84829097226962891</v>
      </c>
      <c r="H360" s="4">
        <v>413</v>
      </c>
      <c r="I360" s="4" t="str">
        <f t="shared" si="19"/>
        <v xml:space="preserve">25% MDGS Constant </v>
      </c>
      <c r="W360" s="122"/>
      <c r="X360" s="123"/>
      <c r="Y360" s="123"/>
      <c r="Z360" s="123"/>
      <c r="AA360" s="124"/>
      <c r="AB360" s="124"/>
      <c r="AC360" s="125"/>
      <c r="AD360" s="125"/>
      <c r="AE360" s="125"/>
      <c r="AF360" s="125"/>
      <c r="AG360" s="125"/>
    </row>
    <row r="361" spans="1:33" x14ac:dyDescent="0.2">
      <c r="A361" s="16">
        <v>4499</v>
      </c>
      <c r="B361" s="17">
        <f>VLOOKUP(A361,'[1]Nebris 11.27'!E:I,5,FALSE)</f>
        <v>694</v>
      </c>
      <c r="C361" s="4">
        <f>VLOOKUP(A361,'[1]Nebris 11.28.23'!$E:$I,5,FALSE)</f>
        <v>680</v>
      </c>
      <c r="D361" s="18">
        <f t="shared" si="18"/>
        <v>687</v>
      </c>
      <c r="E361" s="4">
        <v>3</v>
      </c>
      <c r="F361" s="4">
        <v>6</v>
      </c>
      <c r="G361" s="4">
        <v>0.98612066253863295</v>
      </c>
      <c r="H361" s="4">
        <v>414</v>
      </c>
      <c r="I361" s="4" t="str">
        <f t="shared" si="19"/>
        <v>10% MDGS Variable</v>
      </c>
      <c r="W361" s="122"/>
      <c r="X361" s="123"/>
      <c r="Y361" s="123"/>
      <c r="Z361" s="123"/>
      <c r="AA361" s="124"/>
      <c r="AB361" s="124"/>
      <c r="AC361" s="125"/>
      <c r="AD361" s="125"/>
      <c r="AE361" s="125"/>
      <c r="AF361" s="125"/>
      <c r="AG361" s="125"/>
    </row>
    <row r="362" spans="1:33" x14ac:dyDescent="0.2">
      <c r="A362" s="16">
        <v>4567</v>
      </c>
      <c r="B362" s="17">
        <f>VLOOKUP(A362,'[1]Nebris 11.27'!E:I,5,FALSE)</f>
        <v>702</v>
      </c>
      <c r="C362" s="4">
        <f>VLOOKUP(A362,'[1]Nebris 11.28.23'!$E:$I,5,FALSE)</f>
        <v>706</v>
      </c>
      <c r="D362" s="18">
        <f t="shared" si="18"/>
        <v>704</v>
      </c>
      <c r="E362" s="4">
        <v>3</v>
      </c>
      <c r="F362" s="4">
        <v>7</v>
      </c>
      <c r="G362" s="4">
        <v>0.13145225217708334</v>
      </c>
      <c r="H362" s="4">
        <v>405</v>
      </c>
      <c r="I362" s="4" t="str">
        <f t="shared" si="19"/>
        <v>10% MDGS Variable</v>
      </c>
      <c r="W362" s="122"/>
      <c r="X362" s="123"/>
      <c r="Y362" s="123"/>
      <c r="Z362" s="123"/>
      <c r="AA362" s="124"/>
      <c r="AB362" s="124"/>
      <c r="AC362" s="125"/>
      <c r="AD362" s="125"/>
      <c r="AE362" s="125"/>
      <c r="AF362" s="125"/>
      <c r="AG362" s="125"/>
    </row>
    <row r="363" spans="1:33" x14ac:dyDescent="0.2">
      <c r="A363" s="16">
        <v>4335</v>
      </c>
      <c r="B363" s="17">
        <f>VLOOKUP(A363,'[1]Nebris 11.27'!E:I,5,FALSE)</f>
        <v>704</v>
      </c>
      <c r="C363" s="4">
        <f>VLOOKUP(A363,'[1]Nebris 11.28.23'!$E:$I,5,FALSE)</f>
        <v>708</v>
      </c>
      <c r="D363" s="18">
        <f t="shared" si="18"/>
        <v>706</v>
      </c>
      <c r="E363" s="4">
        <v>3</v>
      </c>
      <c r="F363" s="4">
        <v>7</v>
      </c>
      <c r="G363" s="4">
        <v>0.18206490608497539</v>
      </c>
      <c r="H363" s="4">
        <v>406</v>
      </c>
      <c r="I363" s="4" t="str">
        <f t="shared" si="19"/>
        <v xml:space="preserve">10% MDGS Constant </v>
      </c>
      <c r="W363" s="122"/>
      <c r="X363" s="123"/>
      <c r="Y363" s="123"/>
      <c r="Z363" s="123"/>
      <c r="AA363" s="124"/>
      <c r="AB363" s="124"/>
      <c r="AC363" s="125"/>
      <c r="AD363" s="125"/>
      <c r="AE363" s="125"/>
      <c r="AF363" s="125"/>
      <c r="AG363" s="125"/>
    </row>
    <row r="364" spans="1:33" x14ac:dyDescent="0.2">
      <c r="A364" s="16">
        <v>4677</v>
      </c>
      <c r="B364" s="17">
        <f>VLOOKUP(A364,'[1]Nebris 11.27'!E:I,5,FALSE)</f>
        <v>706</v>
      </c>
      <c r="C364" s="4">
        <f>VLOOKUP(A364,'[1]Nebris 11.28.23'!$E:$I,5,FALSE)</f>
        <v>712</v>
      </c>
      <c r="D364" s="18">
        <f t="shared" si="18"/>
        <v>709</v>
      </c>
      <c r="E364" s="4">
        <v>3</v>
      </c>
      <c r="F364" s="4">
        <v>7</v>
      </c>
      <c r="G364" s="4">
        <v>0.28419991740203487</v>
      </c>
      <c r="H364" s="4">
        <v>407</v>
      </c>
      <c r="I364" s="4" t="str">
        <f t="shared" si="19"/>
        <v>25% MDGS Variable</v>
      </c>
      <c r="W364" s="122"/>
      <c r="X364" s="123"/>
      <c r="Y364" s="123"/>
      <c r="Z364" s="123"/>
      <c r="AA364" s="124"/>
      <c r="AB364" s="124"/>
      <c r="AC364" s="125"/>
      <c r="AD364" s="125"/>
      <c r="AE364" s="125"/>
      <c r="AF364" s="125"/>
      <c r="AG364" s="125"/>
    </row>
    <row r="365" spans="1:33" x14ac:dyDescent="0.2">
      <c r="A365" s="16">
        <v>4680</v>
      </c>
      <c r="B365" s="17">
        <f>VLOOKUP(A365,'[1]Nebris 11.27'!E:I,5,FALSE)</f>
        <v>700</v>
      </c>
      <c r="C365" s="4">
        <f>VLOOKUP(A365,'[1]Nebris 11.28.23'!$E:$I,5,FALSE)</f>
        <v>704</v>
      </c>
      <c r="D365" s="18">
        <f t="shared" si="18"/>
        <v>702</v>
      </c>
      <c r="E365" s="4">
        <v>3</v>
      </c>
      <c r="F365" s="4">
        <v>7</v>
      </c>
      <c r="G365" s="4">
        <v>0.4603314628755325</v>
      </c>
      <c r="H365" s="4">
        <v>408</v>
      </c>
      <c r="I365" s="4" t="str">
        <f t="shared" si="19"/>
        <v>Control</v>
      </c>
      <c r="W365" s="122"/>
      <c r="X365" s="123"/>
      <c r="Y365" s="123"/>
      <c r="Z365" s="123"/>
      <c r="AA365" s="124"/>
      <c r="AB365" s="124"/>
      <c r="AC365" s="125"/>
      <c r="AD365" s="125"/>
      <c r="AE365" s="125"/>
      <c r="AF365" s="125"/>
      <c r="AG365" s="125"/>
    </row>
    <row r="366" spans="1:33" x14ac:dyDescent="0.2">
      <c r="A366" s="16">
        <v>4724</v>
      </c>
      <c r="B366" s="17">
        <f>VLOOKUP(A366,'[1]Nebris 11.27'!E:I,5,FALSE)</f>
        <v>700</v>
      </c>
      <c r="C366" s="4">
        <f>VLOOKUP(A366,'[1]Nebris 11.28.23'!$E:$I,5,FALSE)</f>
        <v>700</v>
      </c>
      <c r="D366" s="18">
        <f t="shared" si="18"/>
        <v>700</v>
      </c>
      <c r="E366" s="4">
        <v>3</v>
      </c>
      <c r="F366" s="4">
        <v>7</v>
      </c>
      <c r="G366" s="4">
        <v>0.46959755461728925</v>
      </c>
      <c r="H366" s="4">
        <v>409</v>
      </c>
      <c r="I366" s="4" t="str">
        <f t="shared" si="19"/>
        <v xml:space="preserve">25% MDGS Constant </v>
      </c>
      <c r="W366" s="122"/>
      <c r="X366" s="123"/>
      <c r="Y366" s="123"/>
      <c r="Z366" s="123"/>
      <c r="AA366" s="124"/>
      <c r="AB366" s="124"/>
      <c r="AC366" s="125"/>
      <c r="AD366" s="125"/>
      <c r="AE366" s="125"/>
      <c r="AF366" s="125"/>
      <c r="AG366" s="125"/>
    </row>
    <row r="367" spans="1:33" x14ac:dyDescent="0.2">
      <c r="A367" s="16">
        <v>4625</v>
      </c>
      <c r="B367" s="17">
        <f>VLOOKUP(A367,'[1]Nebris 11.27'!E:I,5,FALSE)</f>
        <v>706</v>
      </c>
      <c r="C367" s="4">
        <f>VLOOKUP(A367,'[1]Nebris 11.28.23'!$E:$I,5,FALSE)</f>
        <v>720</v>
      </c>
      <c r="D367" s="18">
        <f t="shared" si="18"/>
        <v>713</v>
      </c>
      <c r="E367" s="4">
        <v>3</v>
      </c>
      <c r="F367" s="4">
        <v>7</v>
      </c>
      <c r="G367" s="4">
        <v>0.54760324681698369</v>
      </c>
      <c r="H367" s="4">
        <v>410</v>
      </c>
      <c r="I367" s="4" t="str">
        <f t="shared" si="19"/>
        <v>25% MDGS Variable</v>
      </c>
      <c r="W367" s="122"/>
      <c r="X367" s="123"/>
      <c r="Y367" s="123"/>
      <c r="Z367" s="123"/>
      <c r="AA367" s="124"/>
      <c r="AB367" s="124"/>
      <c r="AC367" s="125"/>
      <c r="AD367" s="125"/>
      <c r="AE367" s="125"/>
      <c r="AF367" s="125"/>
      <c r="AG367" s="125"/>
    </row>
    <row r="368" spans="1:33" x14ac:dyDescent="0.2">
      <c r="A368" s="16">
        <v>4403</v>
      </c>
      <c r="B368" s="17">
        <f>VLOOKUP(A368,'[1]Nebris 11.27'!E:I,5,FALSE)</f>
        <v>702</v>
      </c>
      <c r="C368" s="4">
        <f>VLOOKUP(A368,'[1]Nebris 11.28.23'!$E:$I,5,FALSE)</f>
        <v>716</v>
      </c>
      <c r="D368" s="18">
        <f t="shared" si="18"/>
        <v>709</v>
      </c>
      <c r="E368" s="4">
        <v>3</v>
      </c>
      <c r="F368" s="4">
        <v>7</v>
      </c>
      <c r="G368" s="4">
        <v>0.57911048444554303</v>
      </c>
      <c r="H368" s="4">
        <v>411</v>
      </c>
      <c r="I368" s="4" t="str">
        <f t="shared" si="19"/>
        <v xml:space="preserve">10% MDGS Constant </v>
      </c>
      <c r="W368" s="122"/>
      <c r="X368" s="123"/>
      <c r="Y368" s="123"/>
      <c r="Z368" s="123"/>
      <c r="AA368" s="124"/>
      <c r="AB368" s="124"/>
      <c r="AC368" s="125"/>
      <c r="AD368" s="125"/>
      <c r="AE368" s="125"/>
      <c r="AF368" s="125"/>
      <c r="AG368" s="125"/>
    </row>
    <row r="369" spans="1:33" x14ac:dyDescent="0.2">
      <c r="A369" s="16">
        <v>4397</v>
      </c>
      <c r="B369" s="17">
        <f>VLOOKUP(A369,'[1]Nebris 11.27'!E:I,5,FALSE)</f>
        <v>700</v>
      </c>
      <c r="C369" s="4">
        <f>VLOOKUP(A369,'[1]Nebris 11.28.23'!$E:$I,5,FALSE)</f>
        <v>688</v>
      </c>
      <c r="D369" s="18">
        <f t="shared" si="18"/>
        <v>694</v>
      </c>
      <c r="E369" s="4">
        <v>3</v>
      </c>
      <c r="F369" s="4">
        <v>7</v>
      </c>
      <c r="G369" s="4">
        <v>0.69958484155865963</v>
      </c>
      <c r="H369" s="4">
        <v>412</v>
      </c>
      <c r="I369" s="4" t="str">
        <f t="shared" si="19"/>
        <v>Control</v>
      </c>
      <c r="W369" s="122"/>
      <c r="X369" s="123"/>
      <c r="Y369" s="123"/>
      <c r="Z369" s="123"/>
      <c r="AA369" s="124"/>
      <c r="AB369" s="124"/>
      <c r="AC369" s="125"/>
      <c r="AD369" s="125"/>
      <c r="AE369" s="125"/>
      <c r="AF369" s="125"/>
      <c r="AG369" s="125"/>
    </row>
    <row r="370" spans="1:33" x14ac:dyDescent="0.2">
      <c r="A370" s="16">
        <v>4405</v>
      </c>
      <c r="B370" s="17">
        <f>VLOOKUP(A370,'[1]Nebris 11.27'!E:I,5,FALSE)</f>
        <v>700</v>
      </c>
      <c r="C370" s="4">
        <f>VLOOKUP(A370,'[1]Nebris 11.28.23'!$E:$I,5,FALSE)</f>
        <v>704</v>
      </c>
      <c r="D370" s="18">
        <f t="shared" si="18"/>
        <v>702</v>
      </c>
      <c r="E370" s="4">
        <v>3</v>
      </c>
      <c r="F370" s="4">
        <v>7</v>
      </c>
      <c r="G370" s="4">
        <v>0.78766570482506448</v>
      </c>
      <c r="H370" s="4">
        <v>413</v>
      </c>
      <c r="I370" s="4" t="str">
        <f t="shared" si="19"/>
        <v xml:space="preserve">25% MDGS Constant </v>
      </c>
      <c r="W370" s="122"/>
      <c r="X370" s="123"/>
      <c r="Y370" s="123"/>
      <c r="Z370" s="123"/>
      <c r="AA370" s="124"/>
      <c r="AB370" s="124"/>
      <c r="AC370" s="125"/>
      <c r="AD370" s="125"/>
      <c r="AE370" s="125"/>
      <c r="AF370" s="125"/>
      <c r="AG370" s="125"/>
    </row>
    <row r="371" spans="1:33" x14ac:dyDescent="0.2">
      <c r="A371" s="16">
        <v>4392</v>
      </c>
      <c r="B371" s="17">
        <f>VLOOKUP(A371,'[1]Nebris 11.27'!E:I,5,FALSE)</f>
        <v>702</v>
      </c>
      <c r="C371" s="4">
        <f>VLOOKUP(A371,'[1]Nebris 11.28.23'!$E:$I,5,FALSE)</f>
        <v>696</v>
      </c>
      <c r="D371" s="18">
        <f t="shared" si="18"/>
        <v>699</v>
      </c>
      <c r="E371" s="4">
        <v>3</v>
      </c>
      <c r="F371" s="4">
        <v>7</v>
      </c>
      <c r="G371" s="4">
        <v>0.8418577787615481</v>
      </c>
      <c r="H371" s="4">
        <v>414</v>
      </c>
      <c r="I371" s="4" t="str">
        <f t="shared" si="19"/>
        <v>10% MDGS Variable</v>
      </c>
      <c r="W371" s="122"/>
      <c r="X371" s="123"/>
      <c r="Y371" s="123"/>
      <c r="Z371" s="123"/>
      <c r="AA371" s="124"/>
      <c r="AB371" s="124"/>
      <c r="AC371" s="125"/>
      <c r="AD371" s="125"/>
      <c r="AE371" s="125"/>
      <c r="AF371" s="125"/>
      <c r="AG371" s="125"/>
    </row>
    <row r="372" spans="1:33" x14ac:dyDescent="0.2">
      <c r="A372" s="16">
        <v>4685</v>
      </c>
      <c r="B372" s="17">
        <f>VLOOKUP(A372,'[1]Nebris 11.27'!E:I,5,FALSE)</f>
        <v>706</v>
      </c>
      <c r="C372" s="4">
        <f>VLOOKUP(A372,'[1]Nebris 11.28.23'!$E:$I,5,FALSE)</f>
        <v>718</v>
      </c>
      <c r="D372" s="18">
        <f t="shared" si="18"/>
        <v>712</v>
      </c>
      <c r="E372" s="4">
        <v>3</v>
      </c>
      <c r="F372" s="4">
        <v>8</v>
      </c>
      <c r="G372" s="4">
        <v>7.1840716189389808E-2</v>
      </c>
      <c r="H372" s="4">
        <v>405</v>
      </c>
      <c r="I372" s="4" t="str">
        <f t="shared" si="19"/>
        <v>10% MDGS Variable</v>
      </c>
      <c r="W372" s="122"/>
      <c r="X372" s="123"/>
      <c r="Y372" s="123"/>
      <c r="Z372" s="123"/>
      <c r="AA372" s="124"/>
      <c r="AB372" s="124"/>
      <c r="AC372" s="125"/>
      <c r="AD372" s="125"/>
      <c r="AE372" s="125"/>
      <c r="AF372" s="125"/>
      <c r="AG372" s="125"/>
    </row>
    <row r="373" spans="1:33" x14ac:dyDescent="0.2">
      <c r="A373" s="16">
        <v>4526</v>
      </c>
      <c r="B373" s="17">
        <f>VLOOKUP(A373,'[1]Nebris 11.27'!E:I,5,FALSE)</f>
        <v>714</v>
      </c>
      <c r="C373" s="4">
        <f>VLOOKUP(A373,'[1]Nebris 11.28.23'!$E:$I,5,FALSE)</f>
        <v>730</v>
      </c>
      <c r="D373" s="18">
        <f t="shared" si="18"/>
        <v>722</v>
      </c>
      <c r="E373" s="4">
        <v>3</v>
      </c>
      <c r="F373" s="4">
        <v>8</v>
      </c>
      <c r="G373" s="4">
        <v>0.1251232853870814</v>
      </c>
      <c r="H373" s="4">
        <v>406</v>
      </c>
      <c r="I373" s="4" t="str">
        <f t="shared" si="19"/>
        <v xml:space="preserve">10% MDGS Constant </v>
      </c>
      <c r="W373" s="122"/>
      <c r="X373" s="123"/>
      <c r="Y373" s="123"/>
      <c r="Z373" s="123"/>
      <c r="AA373" s="124"/>
      <c r="AB373" s="124"/>
      <c r="AC373" s="125"/>
      <c r="AD373" s="125"/>
      <c r="AE373" s="125"/>
      <c r="AF373" s="125"/>
      <c r="AG373" s="125"/>
    </row>
    <row r="374" spans="1:33" x14ac:dyDescent="0.2">
      <c r="A374" s="16">
        <v>4745</v>
      </c>
      <c r="B374" s="17">
        <f>VLOOKUP(A374,'[1]Nebris 11.27'!E:I,5,FALSE)</f>
        <v>718</v>
      </c>
      <c r="C374" s="4">
        <f>VLOOKUP(A374,'[1]Nebris 11.28.23'!$E:$I,5,FALSE)</f>
        <v>736</v>
      </c>
      <c r="D374" s="18">
        <f t="shared" si="18"/>
        <v>727</v>
      </c>
      <c r="E374" s="4">
        <v>3</v>
      </c>
      <c r="F374" s="4">
        <v>8</v>
      </c>
      <c r="G374" s="4">
        <v>0.37471778601852368</v>
      </c>
      <c r="H374" s="4">
        <v>407</v>
      </c>
      <c r="I374" s="4" t="str">
        <f t="shared" si="19"/>
        <v>25% MDGS Variable</v>
      </c>
      <c r="W374" s="122"/>
      <c r="X374" s="123"/>
      <c r="Y374" s="123"/>
      <c r="Z374" s="123"/>
      <c r="AA374" s="124"/>
      <c r="AB374" s="124"/>
      <c r="AC374" s="125"/>
      <c r="AD374" s="125"/>
      <c r="AE374" s="125"/>
      <c r="AF374" s="125"/>
      <c r="AG374" s="125"/>
    </row>
    <row r="375" spans="1:33" x14ac:dyDescent="0.2">
      <c r="A375" s="16">
        <v>4538</v>
      </c>
      <c r="B375" s="17">
        <f>VLOOKUP(A375,'[1]Nebris 11.27'!E:I,5,FALSE)</f>
        <v>710</v>
      </c>
      <c r="C375" s="4">
        <f>VLOOKUP(A375,'[1]Nebris 11.28.23'!$E:$I,5,FALSE)</f>
        <v>702</v>
      </c>
      <c r="D375" s="18">
        <f t="shared" si="18"/>
        <v>706</v>
      </c>
      <c r="E375" s="4">
        <v>3</v>
      </c>
      <c r="F375" s="4">
        <v>8</v>
      </c>
      <c r="G375" s="4">
        <v>0.41428808057254352</v>
      </c>
      <c r="H375" s="4">
        <v>408</v>
      </c>
      <c r="I375" s="4" t="str">
        <f t="shared" si="19"/>
        <v>Control</v>
      </c>
      <c r="W375" s="122"/>
      <c r="X375" s="123"/>
      <c r="Y375" s="123"/>
      <c r="Z375" s="123"/>
      <c r="AA375" s="124"/>
      <c r="AB375" s="124"/>
      <c r="AC375" s="125"/>
      <c r="AD375" s="125"/>
      <c r="AE375" s="125"/>
      <c r="AF375" s="125"/>
      <c r="AG375" s="125"/>
    </row>
    <row r="376" spans="1:33" x14ac:dyDescent="0.2">
      <c r="A376" s="16">
        <v>4688</v>
      </c>
      <c r="B376" s="17">
        <f>VLOOKUP(A376,'[1]Nebris 11.27'!E:I,5,FALSE)</f>
        <v>708</v>
      </c>
      <c r="C376" s="4">
        <f>VLOOKUP(A376,'[1]Nebris 11.28.23'!$E:$I,5,FALSE)</f>
        <v>708</v>
      </c>
      <c r="D376" s="18">
        <f t="shared" si="18"/>
        <v>708</v>
      </c>
      <c r="E376" s="4">
        <v>3</v>
      </c>
      <c r="F376" s="4">
        <v>8</v>
      </c>
      <c r="G376" s="4">
        <v>0.51166062329100004</v>
      </c>
      <c r="H376" s="4">
        <v>409</v>
      </c>
      <c r="I376" s="4" t="str">
        <f t="shared" si="19"/>
        <v xml:space="preserve">25% MDGS Constant </v>
      </c>
      <c r="W376" s="122"/>
      <c r="X376" s="123"/>
      <c r="Y376" s="123"/>
      <c r="Z376" s="123"/>
      <c r="AA376" s="124"/>
      <c r="AB376" s="124"/>
      <c r="AC376" s="125"/>
      <c r="AD376" s="125"/>
      <c r="AE376" s="125"/>
      <c r="AF376" s="125"/>
      <c r="AG376" s="125"/>
    </row>
    <row r="377" spans="1:33" x14ac:dyDescent="0.2">
      <c r="A377" s="16">
        <v>4377</v>
      </c>
      <c r="B377" s="17">
        <f>VLOOKUP(A377,'[1]Nebris 11.27'!E:I,5,FALSE)</f>
        <v>712</v>
      </c>
      <c r="C377" s="4">
        <f>VLOOKUP(A377,'[1]Nebris 11.28.23'!$E:$I,5,FALSE)</f>
        <v>714</v>
      </c>
      <c r="D377" s="18">
        <f t="shared" si="18"/>
        <v>713</v>
      </c>
      <c r="E377" s="4">
        <v>3</v>
      </c>
      <c r="F377" s="4">
        <v>8</v>
      </c>
      <c r="G377" s="4">
        <v>0.53036504405443385</v>
      </c>
      <c r="H377" s="4">
        <v>410</v>
      </c>
      <c r="I377" s="4" t="str">
        <f t="shared" si="19"/>
        <v>25% MDGS Variable</v>
      </c>
      <c r="W377" s="122"/>
      <c r="X377" s="123"/>
      <c r="Y377" s="123"/>
      <c r="Z377" s="123"/>
      <c r="AA377" s="124"/>
      <c r="AB377" s="124"/>
      <c r="AC377" s="125"/>
      <c r="AD377" s="125"/>
      <c r="AE377" s="125"/>
      <c r="AF377" s="125"/>
      <c r="AG377" s="125"/>
    </row>
    <row r="378" spans="1:33" x14ac:dyDescent="0.2">
      <c r="A378" s="16">
        <v>4367</v>
      </c>
      <c r="B378" s="17">
        <f>VLOOKUP(A378,'[1]Nebris 11.27'!E:I,5,FALSE)</f>
        <v>708</v>
      </c>
      <c r="C378" s="4">
        <f>VLOOKUP(A378,'[1]Nebris 11.28.23'!$E:$I,5,FALSE)</f>
        <v>710</v>
      </c>
      <c r="D378" s="18">
        <f t="shared" si="18"/>
        <v>709</v>
      </c>
      <c r="E378" s="4">
        <v>3</v>
      </c>
      <c r="F378" s="4">
        <v>8</v>
      </c>
      <c r="G378" s="4">
        <v>0.54097210938070484</v>
      </c>
      <c r="H378" s="4">
        <v>411</v>
      </c>
      <c r="I378" s="4" t="str">
        <f t="shared" si="19"/>
        <v xml:space="preserve">10% MDGS Constant </v>
      </c>
      <c r="W378" s="122"/>
      <c r="X378" s="123"/>
      <c r="Y378" s="123"/>
      <c r="Z378" s="123"/>
      <c r="AA378" s="124"/>
      <c r="AB378" s="124"/>
      <c r="AC378" s="125"/>
      <c r="AD378" s="125"/>
      <c r="AE378" s="125"/>
      <c r="AF378" s="125"/>
      <c r="AG378" s="125"/>
    </row>
    <row r="379" spans="1:33" x14ac:dyDescent="0.2">
      <c r="A379" s="16">
        <v>4753</v>
      </c>
      <c r="B379" s="17">
        <f>VLOOKUP(A379,'[1]Nebris 11.27'!E:I,5,FALSE)</f>
        <v>708</v>
      </c>
      <c r="C379" s="4">
        <f>VLOOKUP(A379,'[1]Nebris 11.28.23'!$E:$I,5,FALSE)</f>
        <v>706</v>
      </c>
      <c r="D379" s="18">
        <f t="shared" si="18"/>
        <v>707</v>
      </c>
      <c r="E379" s="4">
        <v>3</v>
      </c>
      <c r="F379" s="4">
        <v>8</v>
      </c>
      <c r="G379" s="4">
        <v>0.56687157706399338</v>
      </c>
      <c r="H379" s="4">
        <v>412</v>
      </c>
      <c r="I379" s="4" t="str">
        <f t="shared" si="19"/>
        <v>Control</v>
      </c>
      <c r="W379" s="122"/>
      <c r="X379" s="123"/>
      <c r="Y379" s="123"/>
      <c r="Z379" s="123"/>
      <c r="AA379" s="124"/>
      <c r="AB379" s="124"/>
      <c r="AC379" s="125"/>
      <c r="AD379" s="125"/>
      <c r="AE379" s="125"/>
      <c r="AF379" s="125"/>
      <c r="AG379" s="125"/>
    </row>
    <row r="380" spans="1:33" x14ac:dyDescent="0.2">
      <c r="A380" s="16">
        <v>4669</v>
      </c>
      <c r="B380" s="17">
        <f>VLOOKUP(A380,'[1]Nebris 11.27'!E:I,5,FALSE)</f>
        <v>720</v>
      </c>
      <c r="C380" s="4">
        <f>VLOOKUP(A380,'[1]Nebris 11.28.23'!$E:$I,5,FALSE)</f>
        <v>728</v>
      </c>
      <c r="D380" s="18">
        <f t="shared" si="18"/>
        <v>724</v>
      </c>
      <c r="E380" s="4">
        <v>3</v>
      </c>
      <c r="F380" s="4">
        <v>8</v>
      </c>
      <c r="G380" s="4">
        <v>0.83506102587960751</v>
      </c>
      <c r="H380" s="4">
        <v>413</v>
      </c>
      <c r="I380" s="4" t="str">
        <f t="shared" si="19"/>
        <v xml:space="preserve">25% MDGS Constant </v>
      </c>
      <c r="W380" s="122"/>
      <c r="X380" s="123"/>
      <c r="Y380" s="123"/>
      <c r="Z380" s="123"/>
      <c r="AA380" s="124"/>
      <c r="AB380" s="124"/>
      <c r="AC380" s="125"/>
      <c r="AD380" s="125"/>
      <c r="AE380" s="125"/>
      <c r="AF380" s="125"/>
      <c r="AG380" s="125"/>
    </row>
    <row r="381" spans="1:33" x14ac:dyDescent="0.2">
      <c r="A381" s="16">
        <v>4478</v>
      </c>
      <c r="B381" s="17">
        <f>VLOOKUP(A381,'[1]Nebris 11.27'!E:I,5,FALSE)</f>
        <v>714</v>
      </c>
      <c r="C381" s="4">
        <f>VLOOKUP(A381,'[1]Nebris 11.28.23'!$E:$I,5,FALSE)</f>
        <v>700</v>
      </c>
      <c r="D381" s="18">
        <f t="shared" si="18"/>
        <v>707</v>
      </c>
      <c r="E381" s="4">
        <v>3</v>
      </c>
      <c r="F381" s="4">
        <v>8</v>
      </c>
      <c r="G381" s="4">
        <v>0.95861220936497038</v>
      </c>
      <c r="H381" s="4">
        <v>414</v>
      </c>
      <c r="I381" s="4" t="str">
        <f t="shared" si="19"/>
        <v>10% MDGS Variable</v>
      </c>
      <c r="W381" s="122"/>
      <c r="X381" s="123"/>
      <c r="Y381" s="123"/>
      <c r="Z381" s="123"/>
      <c r="AA381" s="124"/>
      <c r="AB381" s="124"/>
      <c r="AC381" s="125"/>
      <c r="AD381" s="125"/>
      <c r="AE381" s="125"/>
      <c r="AF381" s="125"/>
      <c r="AG381" s="125"/>
    </row>
    <row r="382" spans="1:33" x14ac:dyDescent="0.2">
      <c r="A382" s="16">
        <v>4635</v>
      </c>
      <c r="B382" s="17">
        <f>VLOOKUP(A382,'[1]Nebris 11.27'!E:I,5,FALSE)</f>
        <v>722</v>
      </c>
      <c r="C382" s="4">
        <f>VLOOKUP(A382,'[1]Nebris 11.28.23'!$E:$I,5,FALSE)</f>
        <v>730</v>
      </c>
      <c r="D382" s="18">
        <f t="shared" si="18"/>
        <v>726</v>
      </c>
      <c r="E382" s="4">
        <v>3</v>
      </c>
      <c r="F382" s="4">
        <v>9</v>
      </c>
      <c r="G382" s="4">
        <v>6.7664598245780749E-2</v>
      </c>
      <c r="H382" s="4">
        <v>405</v>
      </c>
      <c r="I382" s="4" t="str">
        <f t="shared" si="19"/>
        <v>10% MDGS Variable</v>
      </c>
      <c r="W382" s="122"/>
      <c r="X382" s="123"/>
      <c r="Y382" s="123"/>
      <c r="Z382" s="123"/>
      <c r="AA382" s="124"/>
      <c r="AB382" s="124"/>
      <c r="AC382" s="125"/>
      <c r="AD382" s="125"/>
      <c r="AE382" s="125"/>
      <c r="AF382" s="125"/>
      <c r="AG382" s="125"/>
    </row>
    <row r="383" spans="1:33" x14ac:dyDescent="0.2">
      <c r="A383" s="16">
        <v>4436</v>
      </c>
      <c r="B383" s="17">
        <f>VLOOKUP(A383,'[1]Nebris 11.27'!E:I,5,FALSE)</f>
        <v>738</v>
      </c>
      <c r="C383" s="4">
        <f>VLOOKUP(A383,'[1]Nebris 11.28.23'!$E:$I,5,FALSE)</f>
        <v>746</v>
      </c>
      <c r="D383" s="18">
        <f t="shared" si="18"/>
        <v>742</v>
      </c>
      <c r="E383" s="4">
        <v>3</v>
      </c>
      <c r="F383" s="4">
        <v>9</v>
      </c>
      <c r="G383" s="4">
        <v>0.10826440543608318</v>
      </c>
      <c r="H383" s="4">
        <v>406</v>
      </c>
      <c r="I383" s="4" t="str">
        <f t="shared" si="19"/>
        <v xml:space="preserve">10% MDGS Constant </v>
      </c>
      <c r="W383" s="122"/>
      <c r="X383" s="123"/>
      <c r="Y383" s="123"/>
      <c r="Z383" s="123"/>
      <c r="AA383" s="124"/>
      <c r="AB383" s="124"/>
      <c r="AC383" s="125"/>
      <c r="AD383" s="125"/>
      <c r="AE383" s="125"/>
      <c r="AF383" s="125"/>
      <c r="AG383" s="125"/>
    </row>
    <row r="384" spans="1:33" x14ac:dyDescent="0.2">
      <c r="A384" s="16">
        <v>4474</v>
      </c>
      <c r="B384" s="17">
        <f>VLOOKUP(A384,'[1]Nebris 11.27'!E:I,5,FALSE)</f>
        <v>726</v>
      </c>
      <c r="C384" s="4">
        <f>VLOOKUP(A384,'[1]Nebris 11.28.23'!$E:$I,5,FALSE)</f>
        <v>738</v>
      </c>
      <c r="D384" s="18">
        <f t="shared" si="18"/>
        <v>732</v>
      </c>
      <c r="E384" s="4">
        <v>3</v>
      </c>
      <c r="F384" s="4">
        <v>9</v>
      </c>
      <c r="G384" s="4">
        <v>0.15508757749248303</v>
      </c>
      <c r="H384" s="4">
        <v>407</v>
      </c>
      <c r="I384" s="4" t="str">
        <f t="shared" si="19"/>
        <v>25% MDGS Variable</v>
      </c>
      <c r="W384" s="122"/>
      <c r="X384" s="123"/>
      <c r="Y384" s="123"/>
      <c r="Z384" s="123"/>
      <c r="AA384" s="124"/>
      <c r="AB384" s="124"/>
      <c r="AC384" s="125"/>
      <c r="AD384" s="125"/>
      <c r="AE384" s="125"/>
      <c r="AF384" s="125"/>
      <c r="AG384" s="125"/>
    </row>
    <row r="385" spans="1:33" x14ac:dyDescent="0.2">
      <c r="A385" s="16">
        <v>4730</v>
      </c>
      <c r="B385" s="17">
        <f>VLOOKUP(A385,'[1]Nebris 11.27'!E:I,5,FALSE)</f>
        <v>724</v>
      </c>
      <c r="C385" s="4">
        <f>VLOOKUP(A385,'[1]Nebris 11.28.23'!$E:$I,5,FALSE)</f>
        <v>740</v>
      </c>
      <c r="D385" s="18">
        <f t="shared" si="18"/>
        <v>732</v>
      </c>
      <c r="E385" s="4">
        <v>3</v>
      </c>
      <c r="F385" s="4">
        <v>9</v>
      </c>
      <c r="G385" s="4">
        <v>0.15777937392071606</v>
      </c>
      <c r="H385" s="4">
        <v>408</v>
      </c>
      <c r="I385" s="4" t="str">
        <f t="shared" si="19"/>
        <v>Control</v>
      </c>
      <c r="W385" s="122"/>
      <c r="X385" s="123"/>
      <c r="Y385" s="123"/>
      <c r="Z385" s="123"/>
      <c r="AA385" s="124"/>
      <c r="AB385" s="124"/>
      <c r="AC385" s="125"/>
      <c r="AD385" s="125"/>
      <c r="AE385" s="125"/>
      <c r="AF385" s="125"/>
      <c r="AG385" s="125"/>
    </row>
    <row r="386" spans="1:33" x14ac:dyDescent="0.2">
      <c r="A386" s="16">
        <v>4654</v>
      </c>
      <c r="B386" s="17">
        <f>VLOOKUP(A386,'[1]Nebris 11.27'!E:I,5,FALSE)</f>
        <v>732</v>
      </c>
      <c r="C386" s="4">
        <f>VLOOKUP(A386,'[1]Nebris 11.28.23'!$E:$I,5,FALSE)</f>
        <v>726</v>
      </c>
      <c r="D386" s="18">
        <f t="shared" si="18"/>
        <v>729</v>
      </c>
      <c r="E386" s="4">
        <v>3</v>
      </c>
      <c r="F386" s="4">
        <v>9</v>
      </c>
      <c r="G386" s="4">
        <v>0.22575154780788953</v>
      </c>
      <c r="H386" s="4">
        <v>409</v>
      </c>
      <c r="I386" s="4" t="str">
        <f t="shared" si="19"/>
        <v xml:space="preserve">25% MDGS Constant </v>
      </c>
      <c r="W386" s="122"/>
      <c r="X386" s="123"/>
      <c r="Y386" s="123"/>
      <c r="Z386" s="123"/>
      <c r="AA386" s="124"/>
      <c r="AB386" s="124"/>
      <c r="AC386" s="125"/>
      <c r="AD386" s="125"/>
      <c r="AE386" s="125"/>
      <c r="AF386" s="125"/>
      <c r="AG386" s="125"/>
    </row>
    <row r="387" spans="1:33" x14ac:dyDescent="0.2">
      <c r="A387" s="16">
        <v>4412</v>
      </c>
      <c r="B387" s="17">
        <f>VLOOKUP(A387,'[1]Nebris 11.27'!E:I,5,FALSE)</f>
        <v>730</v>
      </c>
      <c r="C387" s="4">
        <f>VLOOKUP(A387,'[1]Nebris 11.28.23'!$E:$I,5,FALSE)</f>
        <v>724</v>
      </c>
      <c r="D387" s="18">
        <f t="shared" ref="D387:D402" si="20">AVERAGE(B387:C387)</f>
        <v>727</v>
      </c>
      <c r="E387" s="4">
        <v>3</v>
      </c>
      <c r="F387" s="4">
        <v>9</v>
      </c>
      <c r="G387" s="4">
        <v>0.46889534351927775</v>
      </c>
      <c r="H387" s="4">
        <v>410</v>
      </c>
      <c r="I387" s="4" t="str">
        <f t="shared" ref="I387:I401" si="21">VLOOKUP(H387,$Q$2:$U$57,5,FALSE)</f>
        <v>25% MDGS Variable</v>
      </c>
      <c r="W387" s="122"/>
      <c r="X387" s="123"/>
      <c r="Y387" s="123"/>
      <c r="Z387" s="123"/>
      <c r="AA387" s="124"/>
      <c r="AB387" s="124"/>
      <c r="AC387" s="125"/>
      <c r="AD387" s="125"/>
      <c r="AE387" s="125"/>
      <c r="AF387" s="125"/>
      <c r="AG387" s="125"/>
    </row>
    <row r="388" spans="1:33" x14ac:dyDescent="0.2">
      <c r="A388" s="16">
        <v>4606</v>
      </c>
      <c r="B388" s="17">
        <f>VLOOKUP(A388,'[1]Nebris 11.27'!E:I,5,FALSE)</f>
        <v>730</v>
      </c>
      <c r="C388" s="4">
        <f>VLOOKUP(A388,'[1]Nebris 11.28.23'!$E:$I,5,FALSE)</f>
        <v>740</v>
      </c>
      <c r="D388" s="18">
        <f t="shared" si="20"/>
        <v>735</v>
      </c>
      <c r="E388" s="4">
        <v>3</v>
      </c>
      <c r="F388" s="4">
        <v>9</v>
      </c>
      <c r="G388" s="4">
        <v>0.47017251519118242</v>
      </c>
      <c r="H388" s="4">
        <v>411</v>
      </c>
      <c r="I388" s="4" t="str">
        <f t="shared" si="21"/>
        <v xml:space="preserve">10% MDGS Constant </v>
      </c>
      <c r="W388" s="122"/>
      <c r="X388" s="123"/>
      <c r="Y388" s="123"/>
      <c r="Z388" s="123"/>
      <c r="AA388" s="124"/>
      <c r="AB388" s="124"/>
      <c r="AC388" s="125"/>
      <c r="AD388" s="125"/>
      <c r="AE388" s="125"/>
      <c r="AF388" s="125"/>
      <c r="AG388" s="125"/>
    </row>
    <row r="389" spans="1:33" x14ac:dyDescent="0.2">
      <c r="A389" s="16">
        <v>4723</v>
      </c>
      <c r="B389" s="17">
        <f>VLOOKUP(A389,'[1]Nebris 11.27'!E:I,5,FALSE)</f>
        <v>738</v>
      </c>
      <c r="C389" s="4">
        <f>VLOOKUP(A389,'[1]Nebris 11.28.23'!$E:$I,5,FALSE)</f>
        <v>730</v>
      </c>
      <c r="D389" s="18">
        <f t="shared" si="20"/>
        <v>734</v>
      </c>
      <c r="E389" s="4">
        <v>3</v>
      </c>
      <c r="F389" s="4">
        <v>9</v>
      </c>
      <c r="G389" s="4">
        <v>0.69686853523329606</v>
      </c>
      <c r="H389" s="4">
        <v>412</v>
      </c>
      <c r="I389" s="4" t="str">
        <f t="shared" si="21"/>
        <v>Control</v>
      </c>
      <c r="W389" s="122"/>
      <c r="X389" s="123"/>
      <c r="Y389" s="123"/>
      <c r="Z389" s="123"/>
      <c r="AA389" s="124"/>
      <c r="AB389" s="124"/>
      <c r="AC389" s="125"/>
      <c r="AD389" s="125"/>
      <c r="AE389" s="125"/>
      <c r="AF389" s="125"/>
      <c r="AG389" s="125"/>
    </row>
    <row r="390" spans="1:33" x14ac:dyDescent="0.2">
      <c r="A390" s="16">
        <v>4687</v>
      </c>
      <c r="B390" s="17">
        <f>VLOOKUP(A390,'[1]Nebris 11.27'!E:I,5,FALSE)</f>
        <v>740</v>
      </c>
      <c r="C390" s="4">
        <f>VLOOKUP(A390,'[1]Nebris 11.28.23'!$E:$I,5,FALSE)</f>
        <v>738</v>
      </c>
      <c r="D390" s="18">
        <f t="shared" si="20"/>
        <v>739</v>
      </c>
      <c r="E390" s="4">
        <v>3</v>
      </c>
      <c r="F390" s="4">
        <v>9</v>
      </c>
      <c r="G390" s="4">
        <v>0.8151969313093369</v>
      </c>
      <c r="H390" s="4">
        <v>413</v>
      </c>
      <c r="I390" s="4" t="str">
        <f t="shared" si="21"/>
        <v xml:space="preserve">25% MDGS Constant </v>
      </c>
      <c r="W390" s="122"/>
      <c r="X390" s="123"/>
      <c r="Y390" s="123"/>
      <c r="Z390" s="123"/>
      <c r="AA390" s="124"/>
      <c r="AB390" s="124"/>
      <c r="AC390" s="125"/>
      <c r="AD390" s="125"/>
      <c r="AE390" s="125"/>
      <c r="AF390" s="125"/>
      <c r="AG390" s="125"/>
    </row>
    <row r="391" spans="1:33" x14ac:dyDescent="0.2">
      <c r="A391" s="16">
        <v>4627</v>
      </c>
      <c r="B391" s="17">
        <f>VLOOKUP(A391,'[1]Nebris 11.27'!E:I,5,FALSE)</f>
        <v>734</v>
      </c>
      <c r="C391" s="4">
        <f>VLOOKUP(A391,'[1]Nebris 11.28.23'!$E:$I,5,FALSE)</f>
        <v>728</v>
      </c>
      <c r="D391" s="18">
        <f t="shared" si="20"/>
        <v>731</v>
      </c>
      <c r="E391" s="4">
        <v>3</v>
      </c>
      <c r="F391" s="4">
        <v>9</v>
      </c>
      <c r="G391" s="4">
        <v>0.90001070983302445</v>
      </c>
      <c r="H391" s="4">
        <v>414</v>
      </c>
      <c r="I391" s="4" t="str">
        <f t="shared" si="21"/>
        <v>10% MDGS Variable</v>
      </c>
      <c r="W391" s="122"/>
      <c r="X391" s="123"/>
      <c r="Y391" s="123"/>
      <c r="Z391" s="123"/>
      <c r="AA391" s="124"/>
      <c r="AB391" s="124"/>
      <c r="AC391" s="125"/>
      <c r="AD391" s="125"/>
      <c r="AE391" s="125"/>
      <c r="AF391" s="125"/>
      <c r="AG391" s="125"/>
    </row>
    <row r="392" spans="1:33" x14ac:dyDescent="0.2">
      <c r="A392" s="16">
        <v>4656</v>
      </c>
      <c r="B392" s="17">
        <f>VLOOKUP(A392,'[1]Nebris 11.27'!E:I,5,FALSE)</f>
        <v>744</v>
      </c>
      <c r="C392" s="4">
        <f>VLOOKUP(A392,'[1]Nebris 11.28.23'!$E:$I,5,FALSE)</f>
        <v>754</v>
      </c>
      <c r="D392" s="18">
        <f t="shared" si="20"/>
        <v>749</v>
      </c>
      <c r="E392" s="4">
        <v>3</v>
      </c>
      <c r="F392" s="4">
        <v>10</v>
      </c>
      <c r="G392" s="4">
        <v>5.9644364168587871E-2</v>
      </c>
      <c r="H392" s="4">
        <v>405</v>
      </c>
      <c r="I392" s="4" t="str">
        <f t="shared" si="21"/>
        <v>10% MDGS Variable</v>
      </c>
      <c r="W392" s="122"/>
      <c r="X392" s="123"/>
      <c r="Y392" s="123"/>
      <c r="Z392" s="123"/>
      <c r="AA392" s="124"/>
      <c r="AB392" s="124"/>
      <c r="AC392" s="125"/>
      <c r="AD392" s="125"/>
      <c r="AE392" s="125"/>
      <c r="AF392" s="125"/>
      <c r="AG392" s="125"/>
    </row>
    <row r="393" spans="1:33" x14ac:dyDescent="0.2">
      <c r="A393" s="16">
        <v>4441</v>
      </c>
      <c r="B393" s="17">
        <f>VLOOKUP(A393,'[1]Nebris 11.27'!E:I,5,FALSE)</f>
        <v>758</v>
      </c>
      <c r="C393" s="4">
        <f>VLOOKUP(A393,'[1]Nebris 11.28.23'!$E:$I,5,FALSE)</f>
        <v>768</v>
      </c>
      <c r="D393" s="18">
        <f t="shared" si="20"/>
        <v>763</v>
      </c>
      <c r="E393" s="4">
        <v>3</v>
      </c>
      <c r="F393" s="4">
        <v>10</v>
      </c>
      <c r="G393" s="4">
        <v>0.11015406139840334</v>
      </c>
      <c r="H393" s="4">
        <v>406</v>
      </c>
      <c r="I393" s="4" t="str">
        <f t="shared" si="21"/>
        <v xml:space="preserve">10% MDGS Constant </v>
      </c>
      <c r="W393" s="122"/>
      <c r="X393" s="123"/>
      <c r="Y393" s="123"/>
      <c r="Z393" s="123"/>
      <c r="AA393" s="124"/>
      <c r="AB393" s="124"/>
      <c r="AC393" s="125"/>
      <c r="AD393" s="125"/>
      <c r="AE393" s="125"/>
      <c r="AF393" s="125"/>
      <c r="AG393" s="125"/>
    </row>
    <row r="394" spans="1:33" x14ac:dyDescent="0.2">
      <c r="A394" s="16">
        <v>4539</v>
      </c>
      <c r="B394" s="17">
        <f>VLOOKUP(A394,'[1]Nebris 11.27'!E:I,5,FALSE)</f>
        <v>756</v>
      </c>
      <c r="C394" s="4">
        <f>VLOOKUP(A394,'[1]Nebris 11.28.23'!$E:$I,5,FALSE)</f>
        <v>744</v>
      </c>
      <c r="D394" s="18">
        <f t="shared" si="20"/>
        <v>750</v>
      </c>
      <c r="E394" s="4">
        <v>3</v>
      </c>
      <c r="F394" s="4">
        <v>10</v>
      </c>
      <c r="G394" s="4">
        <v>0.17161122728811562</v>
      </c>
      <c r="H394" s="4">
        <v>407</v>
      </c>
      <c r="I394" s="4" t="str">
        <f t="shared" si="21"/>
        <v>25% MDGS Variable</v>
      </c>
      <c r="W394" s="122"/>
      <c r="X394" s="123"/>
      <c r="Y394" s="123"/>
      <c r="Z394" s="123"/>
      <c r="AA394" s="124"/>
      <c r="AB394" s="124"/>
      <c r="AC394" s="125"/>
      <c r="AD394" s="125"/>
      <c r="AE394" s="125"/>
      <c r="AF394" s="125"/>
      <c r="AG394" s="125"/>
    </row>
    <row r="395" spans="1:33" x14ac:dyDescent="0.2">
      <c r="A395" s="16">
        <v>4451</v>
      </c>
      <c r="B395" s="17">
        <f>VLOOKUP(A395,'[1]Nebris 11.27'!E:I,5,FALSE)</f>
        <v>760</v>
      </c>
      <c r="C395" s="4">
        <f>VLOOKUP(A395,'[1]Nebris 11.28.23'!$E:$I,5,FALSE)</f>
        <v>744</v>
      </c>
      <c r="D395" s="18">
        <f t="shared" si="20"/>
        <v>752</v>
      </c>
      <c r="E395" s="4">
        <v>3</v>
      </c>
      <c r="F395" s="4">
        <v>10</v>
      </c>
      <c r="G395" s="4">
        <v>0.32818779103592344</v>
      </c>
      <c r="H395" s="4">
        <v>408</v>
      </c>
      <c r="I395" s="4" t="str">
        <f t="shared" si="21"/>
        <v>Control</v>
      </c>
      <c r="W395" s="122"/>
      <c r="X395" s="123"/>
      <c r="Y395" s="123"/>
      <c r="Z395" s="123"/>
      <c r="AA395" s="124"/>
      <c r="AB395" s="124"/>
      <c r="AC395" s="125"/>
      <c r="AD395" s="125"/>
      <c r="AE395" s="125"/>
      <c r="AF395" s="125"/>
      <c r="AG395" s="125"/>
    </row>
    <row r="396" spans="1:33" x14ac:dyDescent="0.2">
      <c r="A396" s="16">
        <v>4447</v>
      </c>
      <c r="B396" s="17">
        <f>VLOOKUP(A396,'[1]Nebris 11.27'!E:I,5,FALSE)</f>
        <v>744</v>
      </c>
      <c r="C396" s="4">
        <f>VLOOKUP(A396,'[1]Nebris 11.28.23'!$E:$I,5,FALSE)</f>
        <v>742</v>
      </c>
      <c r="D396" s="18">
        <f t="shared" si="20"/>
        <v>743</v>
      </c>
      <c r="E396" s="4">
        <v>3</v>
      </c>
      <c r="F396" s="4">
        <v>10</v>
      </c>
      <c r="G396" s="4">
        <v>0.34062185957035007</v>
      </c>
      <c r="H396" s="4">
        <v>409</v>
      </c>
      <c r="I396" s="4" t="str">
        <f t="shared" si="21"/>
        <v xml:space="preserve">25% MDGS Constant </v>
      </c>
      <c r="W396" s="122"/>
      <c r="X396" s="123"/>
      <c r="Y396" s="123"/>
      <c r="Z396" s="123"/>
      <c r="AA396" s="124"/>
      <c r="AB396" s="124"/>
      <c r="AC396" s="125"/>
      <c r="AD396" s="125"/>
      <c r="AE396" s="125"/>
      <c r="AF396" s="125"/>
      <c r="AG396" s="125"/>
    </row>
    <row r="397" spans="1:33" x14ac:dyDescent="0.2">
      <c r="A397" s="16">
        <v>4641</v>
      </c>
      <c r="B397" s="17">
        <f>VLOOKUP(A397,'[1]Nebris 11.27'!E:I,5,FALSE)</f>
        <v>742</v>
      </c>
      <c r="C397" s="4">
        <f>VLOOKUP(A397,'[1]Nebris 11.28.23'!$E:$I,5,FALSE)</f>
        <v>736</v>
      </c>
      <c r="D397" s="18">
        <f t="shared" si="20"/>
        <v>739</v>
      </c>
      <c r="E397" s="4">
        <v>3</v>
      </c>
      <c r="F397" s="4">
        <v>10</v>
      </c>
      <c r="G397" s="4">
        <v>0.40936182229806595</v>
      </c>
      <c r="H397" s="4">
        <v>410</v>
      </c>
      <c r="I397" s="4" t="str">
        <f t="shared" si="21"/>
        <v>25% MDGS Variable</v>
      </c>
      <c r="W397" s="122"/>
      <c r="X397" s="123"/>
      <c r="Y397" s="123"/>
      <c r="Z397" s="123"/>
      <c r="AA397" s="124"/>
      <c r="AB397" s="124"/>
      <c r="AC397" s="125"/>
      <c r="AD397" s="125"/>
      <c r="AE397" s="125"/>
      <c r="AF397" s="125"/>
      <c r="AG397" s="125"/>
    </row>
    <row r="398" spans="1:33" x14ac:dyDescent="0.2">
      <c r="A398" s="16">
        <v>4707</v>
      </c>
      <c r="B398" s="17">
        <f>VLOOKUP(A398,'[1]Nebris 11.27'!E:I,5,FALSE)</f>
        <v>750</v>
      </c>
      <c r="C398" s="4">
        <f>VLOOKUP(A398,'[1]Nebris 11.28.23'!$E:$I,5,FALSE)</f>
        <v>720</v>
      </c>
      <c r="D398" s="18">
        <f t="shared" si="20"/>
        <v>735</v>
      </c>
      <c r="E398" s="4">
        <v>3</v>
      </c>
      <c r="F398" s="4">
        <v>10</v>
      </c>
      <c r="G398" s="4">
        <v>0.45252313837782576</v>
      </c>
      <c r="H398" s="4">
        <v>411</v>
      </c>
      <c r="I398" s="4" t="str">
        <f t="shared" si="21"/>
        <v xml:space="preserve">10% MDGS Constant </v>
      </c>
      <c r="W398" s="122"/>
      <c r="X398" s="123"/>
      <c r="Y398" s="123"/>
      <c r="Z398" s="123"/>
      <c r="AA398" s="124"/>
      <c r="AB398" s="124"/>
      <c r="AC398" s="125"/>
      <c r="AD398" s="125"/>
      <c r="AE398" s="125"/>
      <c r="AF398" s="125"/>
      <c r="AG398" s="125"/>
    </row>
    <row r="399" spans="1:33" x14ac:dyDescent="0.2">
      <c r="A399" s="16">
        <v>4748</v>
      </c>
      <c r="B399" s="17">
        <f>VLOOKUP(A399,'[1]Nebris 11.27'!E:I,5,FALSE)</f>
        <v>766</v>
      </c>
      <c r="C399" s="4">
        <f>VLOOKUP(A399,'[1]Nebris 11.28.23'!$E:$I,5,FALSE)</f>
        <v>764</v>
      </c>
      <c r="D399" s="18">
        <f t="shared" si="20"/>
        <v>765</v>
      </c>
      <c r="E399" s="4">
        <v>3</v>
      </c>
      <c r="F399" s="4">
        <v>10</v>
      </c>
      <c r="G399" s="4">
        <v>0.80612970674018247</v>
      </c>
      <c r="H399" s="4">
        <v>412</v>
      </c>
      <c r="I399" s="4" t="str">
        <f t="shared" si="21"/>
        <v>Control</v>
      </c>
      <c r="W399" s="122"/>
      <c r="X399" s="123"/>
      <c r="Y399" s="123"/>
      <c r="Z399" s="123"/>
      <c r="AA399" s="124"/>
      <c r="AB399" s="124"/>
      <c r="AC399" s="125"/>
      <c r="AD399" s="125"/>
      <c r="AE399" s="125"/>
      <c r="AF399" s="125"/>
      <c r="AG399" s="125"/>
    </row>
    <row r="400" spans="1:33" x14ac:dyDescent="0.2">
      <c r="A400" s="16">
        <v>4449</v>
      </c>
      <c r="B400" s="17">
        <f>VLOOKUP(A400,'[1]Nebris 11.27'!E:I,5,FALSE)</f>
        <v>746</v>
      </c>
      <c r="C400" s="4">
        <f>VLOOKUP(A400,'[1]Nebris 11.28.23'!$E:$I,5,FALSE)</f>
        <v>748</v>
      </c>
      <c r="D400" s="18">
        <f t="shared" si="20"/>
        <v>747</v>
      </c>
      <c r="E400" s="4">
        <v>3</v>
      </c>
      <c r="F400" s="4">
        <v>10</v>
      </c>
      <c r="G400" s="4">
        <v>0.82758283275983813</v>
      </c>
      <c r="H400" s="4">
        <v>413</v>
      </c>
      <c r="I400" s="4" t="str">
        <f t="shared" si="21"/>
        <v xml:space="preserve">25% MDGS Constant </v>
      </c>
      <c r="W400" s="122"/>
      <c r="X400" s="123"/>
      <c r="Y400" s="123"/>
      <c r="Z400" s="123"/>
      <c r="AA400" s="124"/>
      <c r="AB400" s="124"/>
      <c r="AC400" s="125"/>
      <c r="AD400" s="125"/>
      <c r="AE400" s="125"/>
      <c r="AF400" s="125"/>
      <c r="AG400" s="125"/>
    </row>
    <row r="401" spans="1:33" x14ac:dyDescent="0.2">
      <c r="A401" s="16">
        <v>4364</v>
      </c>
      <c r="B401" s="17">
        <f>VLOOKUP(A401,'[1]Nebris 11.27'!E:I,5,FALSE)</f>
        <v>756</v>
      </c>
      <c r="C401" s="4">
        <f>VLOOKUP(A401,'[1]Nebris 11.28.23'!$E:$I,5,FALSE)</f>
        <v>746</v>
      </c>
      <c r="D401" s="18">
        <f t="shared" si="20"/>
        <v>751</v>
      </c>
      <c r="E401" s="4">
        <v>3</v>
      </c>
      <c r="F401" s="4">
        <v>10</v>
      </c>
      <c r="G401" s="4">
        <v>0.96364738776814163</v>
      </c>
      <c r="H401" s="4">
        <v>414</v>
      </c>
      <c r="I401" s="4" t="str">
        <f t="shared" si="21"/>
        <v>10% MDGS Variable</v>
      </c>
      <c r="W401" s="122"/>
      <c r="X401" s="123"/>
      <c r="Y401" s="123"/>
      <c r="Z401" s="123"/>
      <c r="AA401" s="124"/>
      <c r="AB401" s="124"/>
      <c r="AC401" s="125"/>
      <c r="AD401" s="125"/>
      <c r="AE401" s="125"/>
      <c r="AF401" s="125"/>
      <c r="AG401" s="125"/>
    </row>
    <row r="402" spans="1:33" x14ac:dyDescent="0.2">
      <c r="A402" s="4"/>
      <c r="B402" s="4"/>
      <c r="D402" s="18"/>
      <c r="W402" s="122"/>
      <c r="X402" s="123"/>
      <c r="Y402" s="123"/>
      <c r="Z402" s="123"/>
      <c r="AA402" s="124"/>
      <c r="AB402" s="124"/>
      <c r="AC402" s="125"/>
      <c r="AD402" s="125"/>
      <c r="AE402" s="125"/>
      <c r="AF402" s="125"/>
      <c r="AG402" s="125"/>
    </row>
    <row r="403" spans="1:33" x14ac:dyDescent="0.2">
      <c r="A403" s="44"/>
      <c r="B403" s="44"/>
      <c r="D403" s="18"/>
      <c r="W403" s="122"/>
      <c r="X403" s="123"/>
      <c r="Y403" s="123"/>
      <c r="Z403" s="123"/>
      <c r="AA403" s="124"/>
      <c r="AB403" s="124"/>
      <c r="AC403" s="125"/>
      <c r="AD403" s="125"/>
      <c r="AE403" s="125"/>
      <c r="AF403" s="125"/>
      <c r="AG403" s="125"/>
    </row>
    <row r="404" spans="1:33" x14ac:dyDescent="0.2">
      <c r="A404" s="44"/>
      <c r="B404" s="44"/>
      <c r="D404" s="18"/>
      <c r="W404" s="122"/>
      <c r="X404" s="123"/>
      <c r="Y404" s="123"/>
      <c r="Z404" s="123"/>
      <c r="AA404" s="124"/>
      <c r="AB404" s="124"/>
      <c r="AC404" s="125"/>
      <c r="AD404" s="125"/>
      <c r="AE404" s="125"/>
      <c r="AF404" s="125"/>
      <c r="AG404" s="125"/>
    </row>
    <row r="405" spans="1:33" x14ac:dyDescent="0.2">
      <c r="A405" s="44"/>
      <c r="B405" s="44"/>
      <c r="D405" s="18"/>
      <c r="W405" s="122"/>
      <c r="X405" s="123"/>
      <c r="Y405" s="123"/>
      <c r="Z405" s="123"/>
      <c r="AA405" s="124"/>
      <c r="AB405" s="124"/>
      <c r="AC405" s="125"/>
      <c r="AD405" s="125"/>
      <c r="AE405" s="125"/>
      <c r="AF405" s="125"/>
      <c r="AG405" s="125"/>
    </row>
    <row r="406" spans="1:33" x14ac:dyDescent="0.2">
      <c r="A406" s="44"/>
      <c r="B406" s="44"/>
      <c r="D406" s="18"/>
      <c r="W406" s="122"/>
      <c r="X406" s="123"/>
      <c r="Y406" s="123"/>
      <c r="Z406" s="123"/>
      <c r="AA406" s="124"/>
      <c r="AB406" s="124"/>
      <c r="AC406" s="125"/>
      <c r="AD406" s="125"/>
      <c r="AE406" s="125"/>
      <c r="AF406" s="125"/>
      <c r="AG406" s="125"/>
    </row>
    <row r="407" spans="1:33" x14ac:dyDescent="0.2">
      <c r="A407" s="4"/>
      <c r="B407" s="4"/>
      <c r="D407" s="18"/>
      <c r="W407" s="122"/>
      <c r="X407" s="123"/>
      <c r="Y407" s="123"/>
      <c r="Z407" s="123"/>
      <c r="AA407" s="124"/>
      <c r="AB407" s="124"/>
      <c r="AC407" s="125"/>
      <c r="AD407" s="125"/>
      <c r="AE407" s="125"/>
      <c r="AF407" s="125"/>
      <c r="AG407" s="125"/>
    </row>
    <row r="408" spans="1:33" x14ac:dyDescent="0.2">
      <c r="A408" s="45"/>
      <c r="B408" s="45"/>
      <c r="D408" s="18"/>
      <c r="W408" s="122"/>
      <c r="X408" s="123"/>
      <c r="Y408" s="123"/>
      <c r="Z408" s="123"/>
      <c r="AA408" s="124"/>
      <c r="AB408" s="124"/>
      <c r="AC408" s="125"/>
      <c r="AD408" s="125"/>
      <c r="AE408" s="125"/>
      <c r="AF408" s="125"/>
      <c r="AG408" s="125"/>
    </row>
    <row r="409" spans="1:33" x14ac:dyDescent="0.2">
      <c r="A409" s="44"/>
      <c r="B409" s="44"/>
      <c r="D409" s="18"/>
      <c r="W409" s="122"/>
      <c r="X409" s="123"/>
      <c r="Y409" s="123"/>
      <c r="Z409" s="123"/>
      <c r="AA409" s="124"/>
      <c r="AB409" s="124"/>
      <c r="AC409" s="125"/>
      <c r="AD409" s="125"/>
      <c r="AE409" s="125"/>
      <c r="AF409" s="125"/>
      <c r="AG409" s="125"/>
    </row>
    <row r="410" spans="1:33" x14ac:dyDescent="0.2">
      <c r="A410" s="4"/>
      <c r="B410" s="4"/>
      <c r="D410" s="18"/>
      <c r="W410" s="122"/>
      <c r="X410" s="123"/>
      <c r="Y410" s="123"/>
      <c r="Z410" s="123"/>
      <c r="AA410" s="124"/>
      <c r="AB410" s="124"/>
      <c r="AC410" s="125"/>
      <c r="AD410" s="125"/>
      <c r="AE410" s="125"/>
      <c r="AF410" s="125"/>
      <c r="AG410" s="125"/>
    </row>
    <row r="411" spans="1:33" x14ac:dyDescent="0.2">
      <c r="A411" s="4"/>
      <c r="B411" s="4"/>
      <c r="D411" s="18"/>
      <c r="W411" s="122"/>
      <c r="X411" s="123"/>
      <c r="Y411" s="123"/>
      <c r="Z411" s="123"/>
      <c r="AA411" s="124"/>
      <c r="AB411" s="124"/>
      <c r="AC411" s="125"/>
      <c r="AD411" s="125"/>
      <c r="AE411" s="125"/>
      <c r="AF411" s="125"/>
      <c r="AG411" s="125"/>
    </row>
    <row r="412" spans="1:33" x14ac:dyDescent="0.2">
      <c r="A412" s="44"/>
      <c r="B412" s="44"/>
      <c r="D412" s="18"/>
      <c r="W412" s="122"/>
      <c r="X412" s="123"/>
      <c r="Y412" s="123"/>
      <c r="Z412" s="123"/>
      <c r="AA412" s="124"/>
      <c r="AB412" s="124"/>
      <c r="AC412" s="125"/>
      <c r="AD412" s="125"/>
      <c r="AE412" s="125"/>
      <c r="AF412" s="125"/>
      <c r="AG412" s="125"/>
    </row>
    <row r="413" spans="1:33" x14ac:dyDescent="0.2">
      <c r="A413" s="44"/>
      <c r="B413" s="44"/>
      <c r="D413" s="18"/>
      <c r="W413" s="122"/>
      <c r="X413" s="123"/>
      <c r="Y413" s="123"/>
      <c r="Z413" s="123"/>
      <c r="AA413" s="124"/>
      <c r="AB413" s="124"/>
      <c r="AC413" s="125"/>
      <c r="AD413" s="125"/>
      <c r="AE413" s="125"/>
      <c r="AF413" s="125"/>
      <c r="AG413" s="125"/>
    </row>
    <row r="414" spans="1:33" x14ac:dyDescent="0.2">
      <c r="A414" s="4"/>
      <c r="B414" s="4"/>
      <c r="D414" s="18"/>
      <c r="W414" s="122"/>
      <c r="X414" s="123"/>
      <c r="Y414" s="123"/>
      <c r="Z414" s="123"/>
      <c r="AA414" s="124"/>
      <c r="AB414" s="124"/>
      <c r="AC414" s="125"/>
      <c r="AD414" s="125"/>
      <c r="AE414" s="125"/>
      <c r="AF414" s="125"/>
      <c r="AG414" s="125"/>
    </row>
    <row r="415" spans="1:33" x14ac:dyDescent="0.2">
      <c r="A415" s="44"/>
      <c r="B415" s="44"/>
      <c r="D415" s="18"/>
      <c r="W415" s="122"/>
      <c r="X415" s="123"/>
      <c r="Y415" s="123"/>
      <c r="Z415" s="123"/>
      <c r="AA415" s="124"/>
      <c r="AB415" s="124"/>
      <c r="AC415" s="125"/>
      <c r="AD415" s="125"/>
      <c r="AE415" s="125"/>
      <c r="AF415" s="125"/>
      <c r="AG415" s="125"/>
    </row>
    <row r="416" spans="1:33" x14ac:dyDescent="0.2">
      <c r="A416" s="4"/>
      <c r="B416" s="4"/>
      <c r="D416" s="18"/>
      <c r="W416" s="122"/>
      <c r="X416" s="123"/>
      <c r="Y416" s="123"/>
      <c r="Z416" s="123"/>
      <c r="AA416" s="124"/>
      <c r="AB416" s="124"/>
      <c r="AC416" s="125"/>
      <c r="AD416" s="125"/>
      <c r="AE416" s="125"/>
      <c r="AF416" s="125"/>
      <c r="AG416" s="125"/>
    </row>
    <row r="417" spans="1:33" x14ac:dyDescent="0.2">
      <c r="A417" s="4"/>
      <c r="B417" s="4"/>
      <c r="D417" s="18"/>
      <c r="W417" s="122"/>
      <c r="X417" s="123"/>
      <c r="Y417" s="123"/>
      <c r="Z417" s="123"/>
      <c r="AA417" s="124"/>
      <c r="AB417" s="124"/>
      <c r="AC417" s="125"/>
      <c r="AD417" s="125"/>
      <c r="AE417" s="125"/>
      <c r="AF417" s="125"/>
      <c r="AG417" s="125"/>
    </row>
    <row r="418" spans="1:33" x14ac:dyDescent="0.2">
      <c r="A418" s="44"/>
      <c r="B418" s="44"/>
      <c r="D418" s="18"/>
      <c r="W418" s="122"/>
      <c r="X418" s="123"/>
      <c r="Y418" s="123"/>
      <c r="Z418" s="123"/>
      <c r="AA418" s="124"/>
      <c r="AB418" s="124"/>
      <c r="AC418" s="125"/>
      <c r="AD418" s="125"/>
      <c r="AE418" s="125"/>
      <c r="AF418" s="125"/>
      <c r="AG418" s="125"/>
    </row>
    <row r="419" spans="1:33" x14ac:dyDescent="0.2">
      <c r="A419" s="44"/>
      <c r="B419" s="44"/>
      <c r="D419" s="18"/>
      <c r="W419" s="122"/>
      <c r="X419" s="123"/>
      <c r="Y419" s="123"/>
      <c r="Z419" s="123"/>
      <c r="AA419" s="124"/>
      <c r="AB419" s="124"/>
      <c r="AC419" s="125"/>
      <c r="AD419" s="125"/>
      <c r="AE419" s="125"/>
      <c r="AF419" s="125"/>
      <c r="AG419" s="125"/>
    </row>
    <row r="420" spans="1:33" x14ac:dyDescent="0.2">
      <c r="A420" s="44"/>
      <c r="B420" s="44"/>
      <c r="D420" s="18"/>
      <c r="W420" s="122"/>
      <c r="X420" s="123"/>
      <c r="Y420" s="123"/>
      <c r="Z420" s="123"/>
      <c r="AA420" s="124"/>
      <c r="AB420" s="124"/>
      <c r="AC420" s="125"/>
      <c r="AD420" s="125"/>
      <c r="AE420" s="125"/>
      <c r="AF420" s="125"/>
      <c r="AG420" s="125"/>
    </row>
    <row r="421" spans="1:33" x14ac:dyDescent="0.2">
      <c r="A421" s="44"/>
      <c r="B421" s="44"/>
      <c r="D421" s="18"/>
      <c r="W421" s="122"/>
      <c r="X421" s="123"/>
      <c r="Y421" s="123"/>
      <c r="Z421" s="123"/>
      <c r="AA421" s="124"/>
      <c r="AB421" s="124"/>
      <c r="AC421" s="125"/>
      <c r="AD421" s="125"/>
      <c r="AE421" s="125"/>
      <c r="AF421" s="125"/>
      <c r="AG421" s="125"/>
    </row>
    <row r="422" spans="1:33" x14ac:dyDescent="0.2">
      <c r="A422" s="44"/>
      <c r="B422" s="44"/>
      <c r="D422" s="18"/>
      <c r="W422" s="122"/>
      <c r="X422" s="123"/>
      <c r="Y422" s="123"/>
      <c r="Z422" s="123"/>
      <c r="AA422" s="124"/>
      <c r="AB422" s="124"/>
      <c r="AC422" s="125"/>
      <c r="AD422" s="125"/>
      <c r="AE422" s="125"/>
      <c r="AF422" s="125"/>
      <c r="AG422" s="125"/>
    </row>
    <row r="423" spans="1:33" x14ac:dyDescent="0.2">
      <c r="A423" s="45"/>
      <c r="B423" s="45"/>
      <c r="D423" s="18"/>
      <c r="W423" s="122"/>
      <c r="X423" s="123"/>
      <c r="Y423" s="123"/>
      <c r="Z423" s="123"/>
      <c r="AA423" s="124"/>
      <c r="AB423" s="124"/>
      <c r="AC423" s="125"/>
      <c r="AD423" s="125"/>
      <c r="AE423" s="125"/>
      <c r="AF423" s="125"/>
      <c r="AG423" s="125"/>
    </row>
    <row r="424" spans="1:33" x14ac:dyDescent="0.2">
      <c r="A424" s="44"/>
      <c r="B424" s="44"/>
      <c r="D424" s="18"/>
      <c r="W424" s="122"/>
      <c r="X424" s="123"/>
      <c r="Y424" s="123"/>
      <c r="Z424" s="123"/>
      <c r="AA424" s="124"/>
      <c r="AB424" s="124"/>
      <c r="AC424" s="125"/>
      <c r="AD424" s="125"/>
      <c r="AE424" s="125"/>
      <c r="AF424" s="125"/>
      <c r="AG424" s="125"/>
    </row>
    <row r="425" spans="1:33" x14ac:dyDescent="0.2">
      <c r="A425" s="45"/>
      <c r="B425" s="45"/>
      <c r="D425" s="18"/>
      <c r="W425" s="122"/>
      <c r="X425" s="123"/>
      <c r="Y425" s="123"/>
      <c r="Z425" s="123"/>
      <c r="AA425" s="124"/>
      <c r="AB425" s="124"/>
      <c r="AC425" s="125"/>
      <c r="AD425" s="125"/>
      <c r="AE425" s="125"/>
      <c r="AF425" s="125"/>
      <c r="AG425" s="125"/>
    </row>
    <row r="426" spans="1:33" x14ac:dyDescent="0.2">
      <c r="A426" s="44"/>
      <c r="B426" s="44"/>
      <c r="D426" s="18"/>
      <c r="W426" s="122"/>
      <c r="X426" s="123"/>
      <c r="Y426" s="123"/>
      <c r="Z426" s="123"/>
      <c r="AA426" s="124"/>
      <c r="AB426" s="124"/>
      <c r="AC426" s="125"/>
      <c r="AD426" s="125"/>
      <c r="AE426" s="125"/>
      <c r="AF426" s="125"/>
      <c r="AG426" s="125"/>
    </row>
    <row r="427" spans="1:33" x14ac:dyDescent="0.2">
      <c r="A427" s="4"/>
      <c r="B427" s="4"/>
      <c r="D427" s="18"/>
      <c r="W427" s="122"/>
      <c r="X427" s="123"/>
      <c r="Y427" s="123"/>
      <c r="Z427" s="123"/>
      <c r="AA427" s="124"/>
      <c r="AB427" s="124"/>
      <c r="AC427" s="125"/>
      <c r="AD427" s="125"/>
      <c r="AE427" s="125"/>
      <c r="AF427" s="125"/>
      <c r="AG427" s="125"/>
    </row>
    <row r="428" spans="1:33" x14ac:dyDescent="0.2">
      <c r="A428" s="4"/>
      <c r="B428" s="4"/>
      <c r="D428" s="18"/>
      <c r="W428" s="122"/>
      <c r="X428" s="123"/>
      <c r="Y428" s="123"/>
      <c r="Z428" s="123"/>
      <c r="AA428" s="124"/>
      <c r="AB428" s="124"/>
      <c r="AC428" s="125"/>
      <c r="AD428" s="125"/>
      <c r="AE428" s="125"/>
      <c r="AF428" s="125"/>
      <c r="AG428" s="125"/>
    </row>
    <row r="429" spans="1:33" x14ac:dyDescent="0.2">
      <c r="A429" s="45"/>
      <c r="B429" s="45"/>
      <c r="D429" s="18"/>
      <c r="W429" s="122"/>
      <c r="X429" s="123"/>
      <c r="Y429" s="123"/>
      <c r="Z429" s="123"/>
      <c r="AA429" s="124"/>
      <c r="AB429" s="124"/>
      <c r="AC429" s="125"/>
      <c r="AD429" s="125"/>
      <c r="AE429" s="125"/>
      <c r="AF429" s="125"/>
      <c r="AG429" s="125"/>
    </row>
    <row r="430" spans="1:33" x14ac:dyDescent="0.2">
      <c r="A430" s="4"/>
      <c r="B430" s="4"/>
      <c r="D430" s="18"/>
      <c r="W430" s="122"/>
      <c r="X430" s="123"/>
      <c r="Y430" s="123"/>
      <c r="Z430" s="123"/>
      <c r="AA430" s="124"/>
      <c r="AB430" s="124"/>
      <c r="AC430" s="125"/>
      <c r="AD430" s="125"/>
      <c r="AE430" s="125"/>
      <c r="AF430" s="125"/>
      <c r="AG430" s="125"/>
    </row>
    <row r="431" spans="1:33" x14ac:dyDescent="0.2">
      <c r="A431" s="44"/>
      <c r="B431" s="44"/>
      <c r="D431" s="18"/>
      <c r="W431" s="122"/>
      <c r="X431" s="123"/>
      <c r="Y431" s="123"/>
      <c r="Z431" s="123"/>
      <c r="AA431" s="124"/>
      <c r="AB431" s="124"/>
      <c r="AC431" s="125"/>
      <c r="AD431" s="125"/>
      <c r="AE431" s="125"/>
      <c r="AF431" s="125"/>
      <c r="AG431" s="125"/>
    </row>
    <row r="432" spans="1:33" x14ac:dyDescent="0.2">
      <c r="A432" s="4"/>
      <c r="B432" s="4"/>
      <c r="D432" s="18"/>
      <c r="W432" s="122"/>
      <c r="X432" s="123"/>
      <c r="Y432" s="123"/>
      <c r="Z432" s="123"/>
      <c r="AA432" s="124"/>
      <c r="AB432" s="124"/>
      <c r="AC432" s="125"/>
      <c r="AD432" s="125"/>
      <c r="AE432" s="125"/>
      <c r="AF432" s="125"/>
      <c r="AG432" s="125"/>
    </row>
    <row r="433" spans="1:33" x14ac:dyDescent="0.2">
      <c r="A433" s="4"/>
      <c r="B433" s="4"/>
      <c r="D433" s="18"/>
      <c r="W433" s="122"/>
      <c r="X433" s="123"/>
      <c r="Y433" s="123"/>
      <c r="Z433" s="123"/>
      <c r="AA433" s="124"/>
      <c r="AB433" s="124"/>
      <c r="AC433" s="125"/>
      <c r="AD433" s="125"/>
      <c r="AE433" s="125"/>
      <c r="AF433" s="125"/>
      <c r="AG433" s="125"/>
    </row>
    <row r="434" spans="1:33" x14ac:dyDescent="0.2">
      <c r="A434" s="45"/>
      <c r="B434" s="45"/>
      <c r="D434" s="18"/>
      <c r="W434" s="122"/>
      <c r="X434" s="123"/>
      <c r="Y434" s="123"/>
      <c r="Z434" s="123"/>
      <c r="AA434" s="124"/>
      <c r="AB434" s="124"/>
      <c r="AC434" s="125"/>
      <c r="AD434" s="125"/>
      <c r="AE434" s="125"/>
      <c r="AF434" s="125"/>
      <c r="AG434" s="125"/>
    </row>
    <row r="435" spans="1:33" x14ac:dyDescent="0.2">
      <c r="A435" s="44"/>
      <c r="B435" s="44"/>
      <c r="D435" s="18"/>
      <c r="W435" s="122"/>
      <c r="X435" s="123"/>
      <c r="Y435" s="123"/>
      <c r="Z435" s="123"/>
      <c r="AA435" s="124"/>
      <c r="AB435" s="124"/>
      <c r="AC435" s="125"/>
      <c r="AD435" s="125"/>
      <c r="AE435" s="125"/>
      <c r="AF435" s="125"/>
      <c r="AG435" s="125"/>
    </row>
    <row r="436" spans="1:33" x14ac:dyDescent="0.2">
      <c r="A436" s="45"/>
      <c r="B436" s="45"/>
      <c r="D436" s="18"/>
      <c r="W436" s="122"/>
      <c r="X436" s="123"/>
      <c r="Y436" s="123"/>
      <c r="Z436" s="123"/>
      <c r="AA436" s="124"/>
      <c r="AB436" s="124"/>
      <c r="AC436" s="125"/>
      <c r="AD436" s="125"/>
      <c r="AE436" s="125"/>
      <c r="AF436" s="125"/>
      <c r="AG436" s="125"/>
    </row>
    <row r="437" spans="1:33" x14ac:dyDescent="0.2">
      <c r="A437" s="44"/>
      <c r="B437" s="44"/>
      <c r="D437" s="18"/>
      <c r="W437" s="122"/>
      <c r="X437" s="123"/>
      <c r="Y437" s="123"/>
      <c r="Z437" s="123"/>
      <c r="AA437" s="124"/>
      <c r="AB437" s="124"/>
      <c r="AC437" s="125"/>
      <c r="AD437" s="125"/>
      <c r="AE437" s="125"/>
      <c r="AF437" s="125"/>
      <c r="AG437" s="125"/>
    </row>
    <row r="438" spans="1:33" x14ac:dyDescent="0.2">
      <c r="A438" s="4"/>
      <c r="B438" s="4"/>
      <c r="D438" s="18"/>
      <c r="W438" s="122"/>
      <c r="X438" s="123"/>
      <c r="Y438" s="123"/>
      <c r="Z438" s="123"/>
      <c r="AA438" s="124"/>
      <c r="AB438" s="124"/>
      <c r="AC438" s="125"/>
      <c r="AD438" s="125"/>
      <c r="AE438" s="125"/>
      <c r="AF438" s="125"/>
      <c r="AG438" s="125"/>
    </row>
    <row r="439" spans="1:33" x14ac:dyDescent="0.2">
      <c r="A439" s="44"/>
      <c r="B439" s="44"/>
      <c r="D439" s="18"/>
      <c r="W439" s="122"/>
      <c r="X439" s="123"/>
      <c r="Y439" s="123"/>
      <c r="Z439" s="123"/>
      <c r="AA439" s="124"/>
      <c r="AB439" s="124"/>
      <c r="AC439" s="125"/>
      <c r="AD439" s="125"/>
      <c r="AE439" s="125"/>
      <c r="AF439" s="125"/>
      <c r="AG439" s="125"/>
    </row>
    <row r="440" spans="1:33" x14ac:dyDescent="0.2">
      <c r="A440" s="44"/>
      <c r="B440" s="44"/>
      <c r="D440" s="18"/>
      <c r="W440" s="122"/>
      <c r="X440" s="123"/>
      <c r="Y440" s="123"/>
      <c r="Z440" s="123"/>
      <c r="AA440" s="124"/>
      <c r="AB440" s="124"/>
      <c r="AC440" s="125"/>
      <c r="AD440" s="125"/>
      <c r="AE440" s="125"/>
      <c r="AF440" s="125"/>
      <c r="AG440" s="125"/>
    </row>
    <row r="441" spans="1:33" x14ac:dyDescent="0.2">
      <c r="A441" s="45"/>
      <c r="B441" s="45"/>
      <c r="D441" s="18"/>
      <c r="W441" s="122"/>
      <c r="X441" s="123"/>
      <c r="Y441" s="123"/>
      <c r="Z441" s="123"/>
      <c r="AA441" s="124"/>
      <c r="AB441" s="124"/>
      <c r="AC441" s="125"/>
      <c r="AD441" s="125"/>
      <c r="AE441" s="125"/>
      <c r="AF441" s="125"/>
      <c r="AG441" s="125"/>
    </row>
    <row r="442" spans="1:33" x14ac:dyDescent="0.2">
      <c r="A442" s="4"/>
      <c r="B442" s="4"/>
      <c r="D442" s="18"/>
      <c r="W442" s="122"/>
      <c r="X442" s="123"/>
      <c r="Y442" s="123"/>
      <c r="Z442" s="123"/>
      <c r="AA442" s="124"/>
      <c r="AB442" s="124"/>
      <c r="AC442" s="125"/>
      <c r="AD442" s="125"/>
      <c r="AE442" s="125"/>
      <c r="AF442" s="125"/>
      <c r="AG442" s="125"/>
    </row>
    <row r="443" spans="1:33" x14ac:dyDescent="0.2">
      <c r="A443" s="4"/>
      <c r="B443" s="4"/>
      <c r="D443" s="18"/>
      <c r="W443" s="122"/>
      <c r="X443" s="123"/>
      <c r="Y443" s="123"/>
      <c r="Z443" s="123"/>
      <c r="AA443" s="124"/>
      <c r="AB443" s="124"/>
      <c r="AC443" s="125"/>
      <c r="AD443" s="125"/>
      <c r="AE443" s="125"/>
      <c r="AF443" s="125"/>
      <c r="AG443" s="125"/>
    </row>
    <row r="444" spans="1:33" x14ac:dyDescent="0.2">
      <c r="A444" s="44"/>
      <c r="B444" s="44"/>
      <c r="D444" s="18"/>
      <c r="W444" s="122"/>
      <c r="X444" s="123"/>
      <c r="Y444" s="123"/>
      <c r="Z444" s="123"/>
      <c r="AA444" s="124"/>
      <c r="AB444" s="124"/>
      <c r="AC444" s="125"/>
      <c r="AD444" s="125"/>
      <c r="AE444" s="125"/>
      <c r="AF444" s="125"/>
      <c r="AG444" s="125"/>
    </row>
    <row r="445" spans="1:33" x14ac:dyDescent="0.2">
      <c r="A445" s="4"/>
      <c r="B445" s="4"/>
      <c r="D445" s="18"/>
      <c r="W445" s="122"/>
      <c r="X445" s="123"/>
      <c r="Y445" s="123"/>
      <c r="Z445" s="123"/>
      <c r="AA445" s="124"/>
      <c r="AB445" s="124"/>
      <c r="AC445" s="125"/>
      <c r="AD445" s="125"/>
      <c r="AE445" s="125"/>
      <c r="AF445" s="125"/>
      <c r="AG445" s="125"/>
    </row>
    <row r="446" spans="1:33" x14ac:dyDescent="0.2">
      <c r="A446" s="45"/>
      <c r="B446" s="45"/>
      <c r="D446" s="18"/>
      <c r="W446" s="122"/>
      <c r="X446" s="123"/>
      <c r="Y446" s="123"/>
      <c r="Z446" s="123"/>
      <c r="AA446" s="124"/>
      <c r="AB446" s="124"/>
      <c r="AC446" s="125"/>
      <c r="AD446" s="125"/>
      <c r="AE446" s="125"/>
      <c r="AF446" s="125"/>
      <c r="AG446" s="125"/>
    </row>
    <row r="447" spans="1:33" x14ac:dyDescent="0.2">
      <c r="A447" s="44"/>
      <c r="B447" s="44"/>
      <c r="D447" s="18"/>
      <c r="W447" s="122"/>
      <c r="X447" s="123"/>
      <c r="Y447" s="123"/>
      <c r="Z447" s="123"/>
      <c r="AA447" s="124"/>
      <c r="AB447" s="124"/>
      <c r="AC447" s="125"/>
      <c r="AD447" s="125"/>
      <c r="AE447" s="125"/>
      <c r="AF447" s="125"/>
      <c r="AG447" s="125"/>
    </row>
    <row r="448" spans="1:33" x14ac:dyDescent="0.2">
      <c r="A448" s="44"/>
      <c r="B448" s="44"/>
      <c r="D448" s="18"/>
      <c r="W448" s="122"/>
      <c r="X448" s="123"/>
      <c r="Y448" s="123"/>
      <c r="Z448" s="123"/>
      <c r="AA448" s="124"/>
      <c r="AB448" s="124"/>
      <c r="AC448" s="125"/>
      <c r="AD448" s="125"/>
      <c r="AE448" s="125"/>
      <c r="AF448" s="125"/>
      <c r="AG448" s="125"/>
    </row>
    <row r="449" spans="1:33" x14ac:dyDescent="0.2">
      <c r="A449" s="44"/>
      <c r="B449" s="44"/>
      <c r="D449" s="18"/>
      <c r="W449" s="122"/>
      <c r="X449" s="123"/>
      <c r="Y449" s="123"/>
      <c r="Z449" s="123"/>
      <c r="AA449" s="124"/>
      <c r="AB449" s="124"/>
      <c r="AC449" s="125"/>
      <c r="AD449" s="125"/>
      <c r="AE449" s="125"/>
      <c r="AF449" s="125"/>
      <c r="AG449" s="125"/>
    </row>
    <row r="450" spans="1:33" x14ac:dyDescent="0.2">
      <c r="A450" s="45"/>
      <c r="B450" s="45"/>
      <c r="D450" s="18"/>
      <c r="W450" s="122"/>
      <c r="X450" s="123"/>
      <c r="Y450" s="123"/>
      <c r="Z450" s="123"/>
      <c r="AA450" s="124"/>
      <c r="AB450" s="124"/>
      <c r="AC450" s="125"/>
      <c r="AD450" s="125"/>
      <c r="AE450" s="125"/>
      <c r="AF450" s="125"/>
      <c r="AG450" s="125"/>
    </row>
    <row r="451" spans="1:33" x14ac:dyDescent="0.2">
      <c r="A451" s="44"/>
      <c r="B451" s="44"/>
      <c r="D451" s="18"/>
      <c r="W451" s="122"/>
      <c r="X451" s="123"/>
      <c r="Y451" s="123"/>
      <c r="Z451" s="123"/>
      <c r="AA451" s="124"/>
      <c r="AB451" s="124"/>
      <c r="AC451" s="125"/>
      <c r="AD451" s="125"/>
      <c r="AE451" s="125"/>
      <c r="AF451" s="125"/>
      <c r="AG451" s="125"/>
    </row>
    <row r="452" spans="1:33" x14ac:dyDescent="0.2">
      <c r="A452" s="4"/>
      <c r="B452" s="4"/>
      <c r="D452" s="18"/>
      <c r="W452" s="122"/>
      <c r="X452" s="123"/>
      <c r="Y452" s="123"/>
      <c r="Z452" s="123"/>
      <c r="AA452" s="124"/>
      <c r="AB452" s="124"/>
      <c r="AC452" s="125"/>
      <c r="AD452" s="125"/>
      <c r="AE452" s="125"/>
      <c r="AF452" s="125"/>
      <c r="AG452" s="125"/>
    </row>
    <row r="453" spans="1:33" x14ac:dyDescent="0.2">
      <c r="A453" s="44"/>
      <c r="B453" s="44"/>
      <c r="D453" s="18"/>
      <c r="W453" s="122"/>
      <c r="X453" s="123"/>
      <c r="Y453" s="123"/>
      <c r="Z453" s="123"/>
      <c r="AA453" s="124"/>
      <c r="AB453" s="124"/>
      <c r="AC453" s="125"/>
      <c r="AD453" s="125"/>
      <c r="AE453" s="125"/>
      <c r="AF453" s="125"/>
      <c r="AG453" s="125"/>
    </row>
    <row r="454" spans="1:33" x14ac:dyDescent="0.2">
      <c r="A454" s="4"/>
      <c r="B454" s="4"/>
      <c r="D454" s="18"/>
      <c r="W454" s="122"/>
      <c r="X454" s="123"/>
      <c r="Y454" s="123"/>
      <c r="Z454" s="123"/>
      <c r="AA454" s="124"/>
      <c r="AB454" s="124"/>
      <c r="AC454" s="125"/>
      <c r="AD454" s="125"/>
      <c r="AE454" s="125"/>
      <c r="AF454" s="125"/>
      <c r="AG454" s="125"/>
    </row>
    <row r="455" spans="1:33" x14ac:dyDescent="0.2">
      <c r="A455" s="45"/>
      <c r="B455" s="45"/>
      <c r="D455" s="18"/>
      <c r="W455" s="122"/>
      <c r="X455" s="123"/>
      <c r="Y455" s="123"/>
      <c r="Z455" s="123"/>
      <c r="AA455" s="124"/>
      <c r="AB455" s="124"/>
      <c r="AC455" s="125"/>
      <c r="AD455" s="125"/>
      <c r="AE455" s="125"/>
      <c r="AF455" s="125"/>
      <c r="AG455" s="125"/>
    </row>
    <row r="456" spans="1:33" x14ac:dyDescent="0.2">
      <c r="A456" s="44"/>
      <c r="B456" s="44"/>
      <c r="D456" s="18"/>
      <c r="W456" s="122"/>
      <c r="X456" s="123"/>
      <c r="Y456" s="123"/>
      <c r="Z456" s="123"/>
      <c r="AA456" s="124"/>
      <c r="AB456" s="124"/>
      <c r="AC456" s="125"/>
      <c r="AD456" s="125"/>
      <c r="AE456" s="125"/>
      <c r="AF456" s="125"/>
      <c r="AG456" s="125"/>
    </row>
    <row r="457" spans="1:33" x14ac:dyDescent="0.2">
      <c r="A457" s="4"/>
      <c r="B457" s="4"/>
      <c r="D457" s="18"/>
      <c r="W457" s="122"/>
      <c r="X457" s="123"/>
      <c r="Y457" s="123"/>
      <c r="Z457" s="123"/>
      <c r="AA457" s="124"/>
      <c r="AB457" s="124"/>
      <c r="AC457" s="125"/>
      <c r="AD457" s="125"/>
      <c r="AE457" s="125"/>
      <c r="AF457" s="125"/>
      <c r="AG457" s="125"/>
    </row>
    <row r="458" spans="1:33" x14ac:dyDescent="0.2">
      <c r="A458" s="44"/>
      <c r="B458" s="44"/>
      <c r="D458" s="18"/>
      <c r="W458" s="122"/>
      <c r="X458" s="123"/>
      <c r="Y458" s="123"/>
      <c r="Z458" s="123"/>
      <c r="AA458" s="124"/>
      <c r="AB458" s="124"/>
      <c r="AC458" s="125"/>
      <c r="AD458" s="125"/>
      <c r="AE458" s="125"/>
      <c r="AF458" s="125"/>
      <c r="AG458" s="125"/>
    </row>
    <row r="459" spans="1:33" x14ac:dyDescent="0.2">
      <c r="A459" s="44"/>
      <c r="B459" s="44"/>
      <c r="D459" s="18"/>
      <c r="W459" s="122"/>
      <c r="X459" s="123"/>
      <c r="Y459" s="123"/>
      <c r="Z459" s="123"/>
      <c r="AA459" s="124"/>
      <c r="AB459" s="124"/>
      <c r="AC459" s="125"/>
      <c r="AD459" s="125"/>
      <c r="AE459" s="125"/>
      <c r="AF459" s="125"/>
      <c r="AG459" s="125"/>
    </row>
    <row r="460" spans="1:33" x14ac:dyDescent="0.2">
      <c r="A460" s="4"/>
      <c r="B460" s="4"/>
      <c r="D460" s="18"/>
      <c r="W460" s="122"/>
      <c r="X460" s="123"/>
      <c r="Y460" s="123"/>
      <c r="Z460" s="123"/>
      <c r="AA460" s="124"/>
      <c r="AB460" s="124"/>
      <c r="AC460" s="125"/>
      <c r="AD460" s="125"/>
      <c r="AE460" s="125"/>
      <c r="AF460" s="125"/>
      <c r="AG460" s="125"/>
    </row>
    <row r="461" spans="1:33" x14ac:dyDescent="0.2">
      <c r="A461" s="44"/>
      <c r="B461" s="44"/>
      <c r="D461" s="18"/>
      <c r="W461" s="122"/>
      <c r="X461" s="123"/>
      <c r="Y461" s="123"/>
      <c r="Z461" s="123"/>
      <c r="AA461" s="124"/>
      <c r="AB461" s="124"/>
      <c r="AC461" s="125"/>
      <c r="AD461" s="125"/>
      <c r="AE461" s="125"/>
      <c r="AF461" s="125"/>
      <c r="AG461" s="125"/>
    </row>
    <row r="462" spans="1:33" x14ac:dyDescent="0.2">
      <c r="A462" s="44"/>
      <c r="B462" s="44"/>
      <c r="D462" s="18"/>
      <c r="W462" s="122"/>
      <c r="X462" s="123"/>
      <c r="Y462" s="123"/>
      <c r="Z462" s="123"/>
      <c r="AA462" s="124"/>
      <c r="AB462" s="124"/>
      <c r="AC462" s="125"/>
      <c r="AD462" s="125"/>
      <c r="AE462" s="125"/>
      <c r="AF462" s="125"/>
      <c r="AG462" s="125"/>
    </row>
    <row r="463" spans="1:33" x14ac:dyDescent="0.2">
      <c r="A463" s="45"/>
      <c r="B463" s="45"/>
      <c r="D463" s="18"/>
      <c r="W463" s="122"/>
      <c r="X463" s="123"/>
      <c r="Y463" s="123"/>
      <c r="Z463" s="123"/>
      <c r="AA463" s="124"/>
      <c r="AB463" s="124"/>
      <c r="AC463" s="125"/>
      <c r="AD463" s="125"/>
      <c r="AE463" s="125"/>
      <c r="AF463" s="125"/>
      <c r="AG463" s="125"/>
    </row>
    <row r="464" spans="1:33" x14ac:dyDescent="0.2">
      <c r="A464" s="44"/>
      <c r="B464" s="44"/>
      <c r="D464" s="18"/>
      <c r="W464" s="122"/>
      <c r="X464" s="123"/>
      <c r="Y464" s="123"/>
      <c r="Z464" s="123"/>
      <c r="AA464" s="124"/>
      <c r="AB464" s="124"/>
      <c r="AC464" s="125"/>
      <c r="AD464" s="125"/>
      <c r="AE464" s="125"/>
      <c r="AF464" s="125"/>
      <c r="AG464" s="125"/>
    </row>
    <row r="465" spans="1:33" x14ac:dyDescent="0.2">
      <c r="A465" s="44"/>
      <c r="B465" s="44"/>
      <c r="D465" s="18"/>
      <c r="W465" s="122"/>
      <c r="X465" s="123"/>
      <c r="Y465" s="123"/>
      <c r="Z465" s="123"/>
      <c r="AA465" s="124"/>
      <c r="AB465" s="124"/>
      <c r="AC465" s="125"/>
      <c r="AD465" s="125"/>
      <c r="AE465" s="125"/>
      <c r="AF465" s="125"/>
      <c r="AG465" s="125"/>
    </row>
    <row r="466" spans="1:33" x14ac:dyDescent="0.2">
      <c r="A466" s="4"/>
      <c r="B466" s="4"/>
      <c r="D466" s="18"/>
      <c r="W466" s="122"/>
      <c r="X466" s="123"/>
      <c r="Y466" s="123"/>
      <c r="Z466" s="123"/>
      <c r="AA466" s="124"/>
      <c r="AB466" s="124"/>
      <c r="AC466" s="125"/>
      <c r="AD466" s="125"/>
      <c r="AE466" s="125"/>
      <c r="AF466" s="125"/>
      <c r="AG466" s="125"/>
    </row>
    <row r="467" spans="1:33" x14ac:dyDescent="0.2">
      <c r="A467" s="4"/>
      <c r="B467" s="4"/>
      <c r="D467" s="18"/>
      <c r="W467" s="122"/>
      <c r="X467" s="123"/>
      <c r="Y467" s="123"/>
      <c r="Z467" s="123"/>
      <c r="AA467" s="124"/>
      <c r="AB467" s="124"/>
      <c r="AC467" s="125"/>
      <c r="AD467" s="125"/>
      <c r="AE467" s="125"/>
      <c r="AF467" s="125"/>
      <c r="AG467" s="125"/>
    </row>
    <row r="468" spans="1:33" x14ac:dyDescent="0.2">
      <c r="A468" s="4"/>
      <c r="B468" s="4"/>
      <c r="D468" s="18"/>
      <c r="W468" s="122"/>
      <c r="X468" s="123"/>
      <c r="Y468" s="123"/>
      <c r="Z468" s="123"/>
      <c r="AA468" s="124"/>
      <c r="AB468" s="124"/>
      <c r="AC468" s="125"/>
      <c r="AD468" s="125"/>
      <c r="AE468" s="125"/>
      <c r="AF468" s="125"/>
      <c r="AG468" s="125"/>
    </row>
    <row r="469" spans="1:33" x14ac:dyDescent="0.2">
      <c r="A469" s="4"/>
      <c r="B469" s="4"/>
      <c r="D469" s="18"/>
      <c r="W469" s="122"/>
      <c r="X469" s="123"/>
      <c r="Y469" s="123"/>
      <c r="Z469" s="123"/>
      <c r="AA469" s="124"/>
      <c r="AB469" s="124"/>
      <c r="AC469" s="125"/>
      <c r="AD469" s="125"/>
      <c r="AE469" s="125"/>
      <c r="AF469" s="125"/>
      <c r="AG469" s="125"/>
    </row>
    <row r="470" spans="1:33" x14ac:dyDescent="0.2">
      <c r="A470" s="4"/>
      <c r="B470" s="4"/>
      <c r="D470" s="18"/>
      <c r="W470" s="122"/>
      <c r="X470" s="123"/>
      <c r="Y470" s="123"/>
      <c r="Z470" s="123"/>
      <c r="AA470" s="124"/>
      <c r="AB470" s="124"/>
      <c r="AC470" s="125"/>
      <c r="AD470" s="125"/>
      <c r="AE470" s="125"/>
      <c r="AF470" s="125"/>
      <c r="AG470" s="125"/>
    </row>
    <row r="471" spans="1:33" x14ac:dyDescent="0.2">
      <c r="A471" s="4"/>
      <c r="B471" s="4"/>
      <c r="D471" s="18"/>
      <c r="W471" s="122"/>
      <c r="X471" s="123"/>
      <c r="Y471" s="123"/>
      <c r="Z471" s="123"/>
      <c r="AA471" s="124"/>
      <c r="AB471" s="124"/>
      <c r="AC471" s="125"/>
      <c r="AD471" s="125"/>
      <c r="AE471" s="125"/>
      <c r="AF471" s="125"/>
      <c r="AG471" s="125"/>
    </row>
    <row r="472" spans="1:33" x14ac:dyDescent="0.2">
      <c r="A472" s="45"/>
      <c r="B472" s="45"/>
      <c r="D472" s="18"/>
      <c r="W472" s="122"/>
      <c r="X472" s="123"/>
      <c r="Y472" s="123"/>
      <c r="Z472" s="123"/>
      <c r="AA472" s="124"/>
      <c r="AB472" s="124"/>
      <c r="AC472" s="125"/>
      <c r="AD472" s="125"/>
      <c r="AE472" s="125"/>
      <c r="AF472" s="125"/>
      <c r="AG472" s="125"/>
    </row>
    <row r="473" spans="1:33" x14ac:dyDescent="0.2">
      <c r="A473" s="4"/>
      <c r="B473" s="4"/>
      <c r="D473" s="18"/>
      <c r="W473" s="122"/>
      <c r="X473" s="123"/>
      <c r="Y473" s="123"/>
      <c r="Z473" s="123"/>
      <c r="AA473" s="124"/>
      <c r="AB473" s="124"/>
      <c r="AC473" s="125"/>
      <c r="AD473" s="125"/>
      <c r="AE473" s="125"/>
      <c r="AF473" s="125"/>
      <c r="AG473" s="125"/>
    </row>
    <row r="474" spans="1:33" x14ac:dyDescent="0.2">
      <c r="A474" s="44"/>
      <c r="B474" s="44"/>
      <c r="D474" s="18"/>
      <c r="W474" s="122"/>
      <c r="X474" s="123"/>
      <c r="Y474" s="123"/>
      <c r="Z474" s="123"/>
      <c r="AA474" s="124"/>
      <c r="AB474" s="124"/>
      <c r="AC474" s="125"/>
      <c r="AD474" s="125"/>
      <c r="AE474" s="125"/>
      <c r="AF474" s="125"/>
      <c r="AG474" s="125"/>
    </row>
    <row r="475" spans="1:33" x14ac:dyDescent="0.2">
      <c r="A475" s="44"/>
      <c r="B475" s="44"/>
      <c r="D475" s="18"/>
      <c r="W475" s="122"/>
      <c r="X475" s="123"/>
      <c r="Y475" s="123"/>
      <c r="Z475" s="123"/>
      <c r="AA475" s="124"/>
      <c r="AB475" s="124"/>
      <c r="AC475" s="125"/>
      <c r="AD475" s="125"/>
      <c r="AE475" s="125"/>
      <c r="AF475" s="125"/>
      <c r="AG475" s="125"/>
    </row>
    <row r="476" spans="1:33" x14ac:dyDescent="0.2">
      <c r="A476" s="45"/>
      <c r="B476" s="45"/>
      <c r="D476" s="18"/>
      <c r="W476" s="122"/>
      <c r="X476" s="123"/>
      <c r="Y476" s="123"/>
      <c r="Z476" s="123"/>
      <c r="AA476" s="124"/>
      <c r="AB476" s="124"/>
      <c r="AC476" s="125"/>
      <c r="AD476" s="125"/>
      <c r="AE476" s="125"/>
      <c r="AF476" s="125"/>
      <c r="AG476" s="125"/>
    </row>
    <row r="477" spans="1:33" x14ac:dyDescent="0.2">
      <c r="A477" s="4"/>
      <c r="B477" s="4"/>
      <c r="D477" s="18"/>
      <c r="W477" s="122"/>
      <c r="X477" s="123"/>
      <c r="Y477" s="123"/>
      <c r="Z477" s="123"/>
      <c r="AA477" s="124"/>
      <c r="AB477" s="124"/>
      <c r="AC477" s="125"/>
      <c r="AD477" s="125"/>
      <c r="AE477" s="125"/>
      <c r="AF477" s="125"/>
      <c r="AG477" s="125"/>
    </row>
    <row r="478" spans="1:33" x14ac:dyDescent="0.2">
      <c r="A478" s="45"/>
      <c r="B478" s="45"/>
      <c r="D478" s="18"/>
      <c r="W478" s="122"/>
      <c r="X478" s="123"/>
      <c r="Y478" s="123"/>
      <c r="Z478" s="123"/>
      <c r="AA478" s="124"/>
      <c r="AB478" s="124"/>
      <c r="AC478" s="125"/>
      <c r="AD478" s="125"/>
      <c r="AE478" s="125"/>
      <c r="AF478" s="125"/>
      <c r="AG478" s="125"/>
    </row>
    <row r="479" spans="1:33" x14ac:dyDescent="0.2">
      <c r="A479" s="45"/>
      <c r="B479" s="45"/>
      <c r="D479" s="18"/>
      <c r="W479" s="122"/>
      <c r="X479" s="123"/>
      <c r="Y479" s="123"/>
      <c r="Z479" s="123"/>
      <c r="AA479" s="124"/>
      <c r="AB479" s="124"/>
      <c r="AC479" s="125"/>
      <c r="AD479" s="125"/>
      <c r="AE479" s="125"/>
      <c r="AF479" s="125"/>
      <c r="AG479" s="125"/>
    </row>
    <row r="480" spans="1:33" x14ac:dyDescent="0.2">
      <c r="A480" s="4"/>
      <c r="B480" s="4"/>
      <c r="D480" s="18"/>
      <c r="W480" s="122"/>
      <c r="X480" s="123"/>
      <c r="Y480" s="123"/>
      <c r="Z480" s="123"/>
      <c r="AA480" s="124"/>
      <c r="AB480" s="124"/>
      <c r="AC480" s="125"/>
      <c r="AD480" s="125"/>
      <c r="AE480" s="125"/>
      <c r="AF480" s="125"/>
      <c r="AG480" s="125"/>
    </row>
    <row r="481" spans="1:33" x14ac:dyDescent="0.2">
      <c r="A481" s="4"/>
      <c r="B481" s="4"/>
      <c r="D481" s="18"/>
      <c r="W481" s="122"/>
      <c r="X481" s="123"/>
      <c r="Y481" s="123"/>
      <c r="Z481" s="123"/>
      <c r="AA481" s="124"/>
      <c r="AB481" s="124"/>
      <c r="AC481" s="125"/>
      <c r="AD481" s="125"/>
      <c r="AE481" s="125"/>
      <c r="AF481" s="125"/>
      <c r="AG481" s="125"/>
    </row>
    <row r="482" spans="1:33" x14ac:dyDescent="0.2">
      <c r="A482" s="46"/>
      <c r="B482" s="46"/>
      <c r="D482" s="18"/>
      <c r="W482" s="122"/>
      <c r="X482" s="123"/>
      <c r="Y482" s="123"/>
      <c r="Z482" s="123"/>
      <c r="AA482" s="124"/>
      <c r="AB482" s="124"/>
      <c r="AC482" s="125"/>
      <c r="AD482" s="125"/>
      <c r="AE482" s="125"/>
      <c r="AF482" s="125"/>
      <c r="AG482" s="125"/>
    </row>
    <row r="483" spans="1:33" x14ac:dyDescent="0.2">
      <c r="A483" s="46"/>
      <c r="B483" s="46"/>
      <c r="D483" s="18"/>
      <c r="W483" s="122"/>
      <c r="X483" s="123"/>
      <c r="Y483" s="123"/>
      <c r="Z483" s="123"/>
      <c r="AA483" s="124"/>
      <c r="AB483" s="124"/>
      <c r="AC483" s="125"/>
      <c r="AD483" s="125"/>
      <c r="AE483" s="125"/>
      <c r="AF483" s="125"/>
      <c r="AG483" s="125"/>
    </row>
    <row r="484" spans="1:33" x14ac:dyDescent="0.2">
      <c r="A484" s="46"/>
      <c r="B484" s="46"/>
      <c r="D484" s="18"/>
      <c r="W484" s="122"/>
      <c r="X484" s="123"/>
      <c r="Y484" s="123"/>
      <c r="Z484" s="123"/>
      <c r="AA484" s="124"/>
      <c r="AB484" s="124"/>
      <c r="AC484" s="125"/>
      <c r="AD484" s="125"/>
      <c r="AE484" s="125"/>
      <c r="AF484" s="125"/>
      <c r="AG484" s="125"/>
    </row>
    <row r="485" spans="1:33" x14ac:dyDescent="0.2">
      <c r="A485" s="46"/>
      <c r="B485" s="46"/>
      <c r="D485" s="18"/>
      <c r="W485" s="122"/>
      <c r="X485" s="123"/>
      <c r="Y485" s="123"/>
      <c r="Z485" s="123"/>
      <c r="AA485" s="124"/>
      <c r="AB485" s="124"/>
      <c r="AC485" s="125"/>
      <c r="AD485" s="125"/>
      <c r="AE485" s="125"/>
      <c r="AF485" s="125"/>
      <c r="AG485" s="125"/>
    </row>
    <row r="486" spans="1:33" x14ac:dyDescent="0.2">
      <c r="A486" s="46"/>
      <c r="B486" s="46"/>
      <c r="D486" s="18"/>
      <c r="W486" s="122"/>
      <c r="X486" s="123"/>
      <c r="Y486" s="123"/>
      <c r="Z486" s="123"/>
      <c r="AA486" s="124"/>
      <c r="AB486" s="124"/>
      <c r="AC486" s="125"/>
      <c r="AD486" s="125"/>
      <c r="AE486" s="125"/>
      <c r="AF486" s="125"/>
      <c r="AG486" s="125"/>
    </row>
    <row r="487" spans="1:33" x14ac:dyDescent="0.2">
      <c r="A487" s="46"/>
      <c r="B487" s="46"/>
      <c r="D487" s="18"/>
      <c r="W487" s="122"/>
      <c r="X487" s="123"/>
      <c r="Y487" s="123"/>
      <c r="Z487" s="123"/>
      <c r="AA487" s="124"/>
      <c r="AB487" s="124"/>
      <c r="AC487" s="125"/>
      <c r="AD487" s="125"/>
      <c r="AE487" s="125"/>
      <c r="AF487" s="125"/>
      <c r="AG487" s="125"/>
    </row>
    <row r="488" spans="1:33" x14ac:dyDescent="0.2">
      <c r="A488" s="46"/>
      <c r="B488" s="46"/>
      <c r="D488" s="18"/>
      <c r="W488" s="122"/>
      <c r="X488" s="123"/>
      <c r="Y488" s="123"/>
      <c r="Z488" s="123"/>
      <c r="AA488" s="124"/>
      <c r="AB488" s="124"/>
      <c r="AC488" s="125"/>
      <c r="AD488" s="125"/>
      <c r="AE488" s="125"/>
      <c r="AF488" s="125"/>
      <c r="AG488" s="125"/>
    </row>
    <row r="489" spans="1:33" x14ac:dyDescent="0.2">
      <c r="A489" s="46"/>
      <c r="B489" s="46"/>
      <c r="D489" s="18"/>
      <c r="W489" s="122"/>
      <c r="X489" s="123"/>
      <c r="Y489" s="123"/>
      <c r="Z489" s="123"/>
      <c r="AA489" s="124"/>
      <c r="AB489" s="124"/>
      <c r="AC489" s="125"/>
      <c r="AD489" s="125"/>
      <c r="AE489" s="125"/>
      <c r="AF489" s="125"/>
      <c r="AG489" s="125"/>
    </row>
    <row r="490" spans="1:33" x14ac:dyDescent="0.2">
      <c r="A490" s="46"/>
      <c r="B490" s="46"/>
      <c r="D490" s="18"/>
      <c r="W490" s="122"/>
      <c r="X490" s="123"/>
      <c r="Y490" s="123"/>
      <c r="Z490" s="123"/>
      <c r="AA490" s="124"/>
      <c r="AB490" s="124"/>
      <c r="AC490" s="125"/>
      <c r="AD490" s="125"/>
      <c r="AE490" s="125"/>
      <c r="AF490" s="125"/>
      <c r="AG490" s="125"/>
    </row>
    <row r="491" spans="1:33" x14ac:dyDescent="0.2">
      <c r="A491" s="46"/>
      <c r="B491" s="46"/>
      <c r="D491" s="18"/>
      <c r="W491" s="122"/>
      <c r="X491" s="123"/>
      <c r="Y491" s="123"/>
      <c r="Z491" s="123"/>
      <c r="AA491" s="124"/>
      <c r="AB491" s="124"/>
      <c r="AC491" s="125"/>
      <c r="AD491" s="125"/>
      <c r="AE491" s="125"/>
      <c r="AF491" s="125"/>
      <c r="AG491" s="125"/>
    </row>
    <row r="492" spans="1:33" x14ac:dyDescent="0.2">
      <c r="A492" s="46"/>
      <c r="B492" s="46"/>
      <c r="D492" s="18"/>
      <c r="W492" s="122"/>
      <c r="X492" s="123"/>
      <c r="Y492" s="123"/>
      <c r="Z492" s="123"/>
      <c r="AA492" s="124"/>
      <c r="AB492" s="124"/>
      <c r="AC492" s="125"/>
      <c r="AD492" s="125"/>
      <c r="AE492" s="125"/>
      <c r="AF492" s="125"/>
      <c r="AG492" s="125"/>
    </row>
    <row r="493" spans="1:33" x14ac:dyDescent="0.2">
      <c r="A493" s="46"/>
      <c r="B493" s="46"/>
      <c r="D493" s="18"/>
      <c r="W493" s="122"/>
      <c r="X493" s="123"/>
      <c r="Y493" s="123"/>
      <c r="Z493" s="123"/>
      <c r="AA493" s="124"/>
      <c r="AB493" s="124"/>
      <c r="AC493" s="125"/>
      <c r="AD493" s="125"/>
      <c r="AE493" s="125"/>
      <c r="AF493" s="125"/>
      <c r="AG493" s="125"/>
    </row>
    <row r="494" spans="1:33" x14ac:dyDescent="0.2">
      <c r="A494" s="46"/>
      <c r="B494" s="46"/>
      <c r="D494" s="18"/>
      <c r="W494" s="122"/>
      <c r="X494" s="123"/>
      <c r="Y494" s="123"/>
      <c r="Z494" s="123"/>
      <c r="AA494" s="124"/>
      <c r="AB494" s="124"/>
      <c r="AC494" s="125"/>
      <c r="AD494" s="125"/>
      <c r="AE494" s="125"/>
      <c r="AF494" s="125"/>
      <c r="AG494" s="125"/>
    </row>
    <row r="495" spans="1:33" x14ac:dyDescent="0.2">
      <c r="A495" s="46"/>
      <c r="B495" s="46"/>
      <c r="D495" s="18"/>
      <c r="W495" s="122"/>
      <c r="X495" s="123"/>
      <c r="Y495" s="123"/>
      <c r="Z495" s="123"/>
      <c r="AA495" s="124"/>
      <c r="AB495" s="124"/>
      <c r="AC495" s="125"/>
      <c r="AD495" s="125"/>
      <c r="AE495" s="125"/>
      <c r="AF495" s="125"/>
      <c r="AG495" s="125"/>
    </row>
    <row r="496" spans="1:33" x14ac:dyDescent="0.2">
      <c r="A496" s="46"/>
      <c r="B496" s="46"/>
      <c r="D496" s="18"/>
      <c r="W496" s="122"/>
      <c r="X496" s="123"/>
      <c r="Y496" s="123"/>
      <c r="Z496" s="123"/>
      <c r="AA496" s="124"/>
      <c r="AB496" s="124"/>
      <c r="AC496" s="125"/>
      <c r="AD496" s="125"/>
      <c r="AE496" s="125"/>
      <c r="AF496" s="125"/>
      <c r="AG496" s="125"/>
    </row>
    <row r="497" spans="1:33" x14ac:dyDescent="0.2">
      <c r="A497" s="46"/>
      <c r="B497" s="46"/>
      <c r="D497" s="18"/>
      <c r="W497" s="122"/>
      <c r="X497" s="123"/>
      <c r="Y497" s="123"/>
      <c r="Z497" s="123"/>
      <c r="AA497" s="124"/>
      <c r="AB497" s="124"/>
      <c r="AC497" s="125"/>
      <c r="AD497" s="125"/>
      <c r="AE497" s="125"/>
      <c r="AF497" s="125"/>
      <c r="AG497" s="125"/>
    </row>
    <row r="498" spans="1:33" x14ac:dyDescent="0.2">
      <c r="A498" s="46"/>
      <c r="B498" s="46"/>
      <c r="D498" s="18"/>
      <c r="W498" s="122"/>
      <c r="X498" s="123"/>
      <c r="Y498" s="123"/>
      <c r="Z498" s="123"/>
      <c r="AA498" s="124"/>
      <c r="AB498" s="124"/>
      <c r="AC498" s="125"/>
      <c r="AD498" s="125"/>
      <c r="AE498" s="125"/>
      <c r="AF498" s="125"/>
      <c r="AG498" s="125"/>
    </row>
    <row r="499" spans="1:33" x14ac:dyDescent="0.2">
      <c r="A499" s="46"/>
      <c r="B499" s="46"/>
      <c r="D499" s="18"/>
      <c r="W499" s="122"/>
      <c r="X499" s="123"/>
      <c r="Y499" s="123"/>
      <c r="Z499" s="123"/>
      <c r="AA499" s="124"/>
      <c r="AB499" s="124"/>
      <c r="AC499" s="125"/>
      <c r="AD499" s="125"/>
      <c r="AE499" s="125"/>
      <c r="AF499" s="125"/>
      <c r="AG499" s="125"/>
    </row>
    <row r="500" spans="1:33" x14ac:dyDescent="0.2">
      <c r="A500" s="46"/>
      <c r="B500" s="46"/>
      <c r="D500" s="18"/>
      <c r="W500" s="122"/>
      <c r="X500" s="123"/>
      <c r="Y500" s="123"/>
      <c r="Z500" s="123"/>
      <c r="AA500" s="124"/>
      <c r="AB500" s="124"/>
      <c r="AC500" s="125"/>
      <c r="AD500" s="125"/>
      <c r="AE500" s="125"/>
      <c r="AF500" s="125"/>
      <c r="AG500" s="125"/>
    </row>
    <row r="501" spans="1:33" x14ac:dyDescent="0.2">
      <c r="A501" s="46"/>
      <c r="B501" s="46"/>
      <c r="D501" s="18"/>
      <c r="W501" s="122"/>
      <c r="X501" s="123"/>
      <c r="Y501" s="123"/>
      <c r="Z501" s="123"/>
      <c r="AA501" s="124"/>
      <c r="AB501" s="124"/>
      <c r="AC501" s="125"/>
      <c r="AD501" s="125"/>
      <c r="AE501" s="125"/>
      <c r="AF501" s="125"/>
      <c r="AG501" s="125"/>
    </row>
    <row r="502" spans="1:33" x14ac:dyDescent="0.2">
      <c r="A502" s="46"/>
      <c r="B502" s="46"/>
      <c r="D502" s="18"/>
      <c r="W502" s="122"/>
      <c r="X502" s="123"/>
      <c r="Y502" s="123"/>
      <c r="Z502" s="123"/>
      <c r="AA502" s="124"/>
      <c r="AB502" s="124"/>
      <c r="AC502" s="125"/>
      <c r="AD502" s="125"/>
      <c r="AE502" s="125"/>
      <c r="AF502" s="125"/>
      <c r="AG502" s="125"/>
    </row>
    <row r="503" spans="1:33" x14ac:dyDescent="0.2">
      <c r="A503" s="46"/>
      <c r="B503" s="46"/>
      <c r="D503" s="18"/>
      <c r="W503" s="122"/>
      <c r="X503" s="123"/>
      <c r="Y503" s="123"/>
      <c r="Z503" s="123"/>
      <c r="AA503" s="124"/>
      <c r="AB503" s="124"/>
      <c r="AC503" s="125"/>
      <c r="AD503" s="125"/>
      <c r="AE503" s="125"/>
      <c r="AF503" s="125"/>
      <c r="AG503" s="125"/>
    </row>
    <row r="504" spans="1:33" x14ac:dyDescent="0.2">
      <c r="A504" s="46"/>
      <c r="B504" s="46"/>
      <c r="D504" s="18"/>
      <c r="W504" s="122"/>
      <c r="X504" s="123"/>
      <c r="Y504" s="123"/>
      <c r="Z504" s="123"/>
      <c r="AA504" s="124"/>
      <c r="AB504" s="124"/>
      <c r="AC504" s="125"/>
      <c r="AD504" s="125"/>
      <c r="AE504" s="125"/>
      <c r="AF504" s="125"/>
      <c r="AG504" s="125"/>
    </row>
    <row r="505" spans="1:33" x14ac:dyDescent="0.2">
      <c r="A505" s="46"/>
      <c r="B505" s="46"/>
      <c r="D505" s="18"/>
      <c r="W505" s="122"/>
      <c r="X505" s="123"/>
      <c r="Y505" s="123"/>
      <c r="Z505" s="123"/>
      <c r="AA505" s="124"/>
      <c r="AB505" s="124"/>
      <c r="AC505" s="125"/>
      <c r="AD505" s="125"/>
      <c r="AE505" s="125"/>
      <c r="AF505" s="125"/>
      <c r="AG505" s="125"/>
    </row>
    <row r="506" spans="1:33" x14ac:dyDescent="0.2">
      <c r="A506" s="46"/>
      <c r="B506" s="46"/>
      <c r="D506" s="18"/>
      <c r="W506" s="122"/>
      <c r="X506" s="123"/>
      <c r="Y506" s="123"/>
      <c r="Z506" s="123"/>
      <c r="AA506" s="124"/>
      <c r="AB506" s="124"/>
      <c r="AC506" s="125"/>
      <c r="AD506" s="125"/>
      <c r="AE506" s="125"/>
      <c r="AF506" s="125"/>
      <c r="AG506" s="125"/>
    </row>
    <row r="507" spans="1:33" x14ac:dyDescent="0.2">
      <c r="A507" s="46"/>
      <c r="B507" s="46"/>
      <c r="D507" s="18"/>
      <c r="W507" s="122"/>
      <c r="X507" s="123"/>
      <c r="Y507" s="123"/>
      <c r="Z507" s="123"/>
      <c r="AA507" s="124"/>
      <c r="AB507" s="124"/>
      <c r="AC507" s="125"/>
      <c r="AD507" s="125"/>
      <c r="AE507" s="125"/>
      <c r="AF507" s="125"/>
      <c r="AG507" s="125"/>
    </row>
    <row r="508" spans="1:33" x14ac:dyDescent="0.2">
      <c r="A508" s="46"/>
      <c r="B508" s="46"/>
      <c r="D508" s="18"/>
      <c r="W508" s="122"/>
      <c r="X508" s="123"/>
      <c r="Y508" s="123"/>
      <c r="Z508" s="123"/>
      <c r="AA508" s="124"/>
      <c r="AB508" s="124"/>
      <c r="AC508" s="125"/>
      <c r="AD508" s="125"/>
      <c r="AE508" s="125"/>
      <c r="AF508" s="125"/>
      <c r="AG508" s="125"/>
    </row>
    <row r="509" spans="1:33" x14ac:dyDescent="0.2">
      <c r="A509" s="46"/>
      <c r="B509" s="46"/>
      <c r="D509" s="18"/>
      <c r="W509" s="122"/>
      <c r="X509" s="123"/>
      <c r="Y509" s="123"/>
      <c r="Z509" s="123"/>
      <c r="AA509" s="124"/>
      <c r="AB509" s="124"/>
      <c r="AC509" s="125"/>
      <c r="AD509" s="125"/>
      <c r="AE509" s="125"/>
      <c r="AF509" s="125"/>
      <c r="AG509" s="125"/>
    </row>
    <row r="510" spans="1:33" x14ac:dyDescent="0.2">
      <c r="A510" s="46"/>
      <c r="B510" s="46"/>
      <c r="D510" s="18"/>
      <c r="W510" s="122"/>
      <c r="X510" s="123"/>
      <c r="Y510" s="123"/>
      <c r="Z510" s="123"/>
      <c r="AA510" s="124"/>
      <c r="AB510" s="124"/>
      <c r="AC510" s="125"/>
      <c r="AD510" s="125"/>
      <c r="AE510" s="125"/>
      <c r="AF510" s="125"/>
      <c r="AG510" s="125"/>
    </row>
    <row r="511" spans="1:33" x14ac:dyDescent="0.2">
      <c r="A511" s="46"/>
      <c r="B511" s="46"/>
      <c r="D511" s="18"/>
      <c r="W511" s="122"/>
      <c r="X511" s="123"/>
      <c r="Y511" s="123"/>
      <c r="Z511" s="123"/>
      <c r="AA511" s="124"/>
      <c r="AB511" s="124"/>
      <c r="AC511" s="125"/>
      <c r="AD511" s="125"/>
      <c r="AE511" s="125"/>
      <c r="AF511" s="125"/>
      <c r="AG511" s="125"/>
    </row>
    <row r="512" spans="1:33" x14ac:dyDescent="0.2">
      <c r="A512" s="46"/>
      <c r="B512" s="46"/>
      <c r="D512" s="18"/>
      <c r="W512" s="122"/>
      <c r="X512" s="123"/>
      <c r="Y512" s="123"/>
      <c r="Z512" s="123"/>
      <c r="AA512" s="124"/>
      <c r="AB512" s="124"/>
      <c r="AC512" s="125"/>
      <c r="AD512" s="125"/>
      <c r="AE512" s="125"/>
      <c r="AF512" s="125"/>
      <c r="AG512" s="125"/>
    </row>
    <row r="513" spans="1:33" x14ac:dyDescent="0.2">
      <c r="A513" s="46"/>
      <c r="B513" s="46"/>
      <c r="D513" s="18"/>
      <c r="W513" s="122"/>
      <c r="X513" s="123"/>
      <c r="Y513" s="123"/>
      <c r="Z513" s="123"/>
      <c r="AA513" s="124"/>
      <c r="AB513" s="124"/>
      <c r="AC513" s="125"/>
      <c r="AD513" s="125"/>
      <c r="AE513" s="125"/>
      <c r="AF513" s="125"/>
      <c r="AG513" s="125"/>
    </row>
    <row r="514" spans="1:33" x14ac:dyDescent="0.2">
      <c r="A514" s="46"/>
      <c r="B514" s="46"/>
      <c r="D514" s="18"/>
      <c r="W514" s="122"/>
      <c r="X514" s="123"/>
      <c r="Y514" s="123"/>
      <c r="Z514" s="123"/>
      <c r="AA514" s="124"/>
      <c r="AB514" s="124"/>
      <c r="AC514" s="125"/>
      <c r="AD514" s="125"/>
      <c r="AE514" s="125"/>
      <c r="AF514" s="125"/>
      <c r="AG514" s="125"/>
    </row>
    <row r="515" spans="1:33" x14ac:dyDescent="0.2">
      <c r="A515" s="46"/>
      <c r="B515" s="46"/>
      <c r="D515" s="18"/>
      <c r="W515" s="122"/>
      <c r="X515" s="123"/>
      <c r="Y515" s="123"/>
      <c r="Z515" s="123"/>
      <c r="AA515" s="124"/>
      <c r="AB515" s="124"/>
      <c r="AC515" s="125"/>
      <c r="AD515" s="125"/>
      <c r="AE515" s="125"/>
      <c r="AF515" s="125"/>
      <c r="AG515" s="125"/>
    </row>
    <row r="516" spans="1:33" x14ac:dyDescent="0.2">
      <c r="A516" s="46"/>
      <c r="B516" s="46"/>
      <c r="D516" s="18"/>
      <c r="W516" s="122"/>
      <c r="X516" s="123"/>
      <c r="Y516" s="123"/>
      <c r="Z516" s="123"/>
      <c r="AA516" s="124"/>
      <c r="AB516" s="124"/>
      <c r="AC516" s="125"/>
      <c r="AD516" s="125"/>
      <c r="AE516" s="125"/>
      <c r="AF516" s="125"/>
      <c r="AG516" s="125"/>
    </row>
    <row r="517" spans="1:33" x14ac:dyDescent="0.2">
      <c r="A517" s="46"/>
      <c r="B517" s="46"/>
      <c r="D517" s="18"/>
      <c r="W517" s="122"/>
      <c r="X517" s="123"/>
      <c r="Y517" s="123"/>
      <c r="Z517" s="123"/>
      <c r="AA517" s="124"/>
      <c r="AB517" s="124"/>
      <c r="AC517" s="125"/>
      <c r="AD517" s="125"/>
      <c r="AE517" s="125"/>
      <c r="AF517" s="125"/>
      <c r="AG517" s="125"/>
    </row>
    <row r="518" spans="1:33" x14ac:dyDescent="0.2">
      <c r="A518" s="46"/>
      <c r="B518" s="46"/>
      <c r="D518" s="18"/>
      <c r="W518" s="122"/>
      <c r="X518" s="123"/>
      <c r="Y518" s="123"/>
      <c r="Z518" s="123"/>
      <c r="AA518" s="124"/>
      <c r="AB518" s="124"/>
      <c r="AC518" s="125"/>
      <c r="AD518" s="125"/>
      <c r="AE518" s="125"/>
      <c r="AF518" s="125"/>
      <c r="AG518" s="125"/>
    </row>
    <row r="519" spans="1:33" x14ac:dyDescent="0.2">
      <c r="A519" s="46"/>
      <c r="B519" s="46"/>
      <c r="D519" s="18"/>
      <c r="W519" s="122"/>
      <c r="X519" s="123"/>
      <c r="Y519" s="123"/>
      <c r="Z519" s="123"/>
      <c r="AA519" s="124"/>
      <c r="AB519" s="124"/>
      <c r="AC519" s="125"/>
      <c r="AD519" s="125"/>
      <c r="AE519" s="125"/>
      <c r="AF519" s="125"/>
      <c r="AG519" s="125"/>
    </row>
    <row r="520" spans="1:33" x14ac:dyDescent="0.2">
      <c r="A520" s="46"/>
      <c r="B520" s="46"/>
      <c r="D520" s="18"/>
      <c r="W520" s="122"/>
      <c r="X520" s="123"/>
      <c r="Y520" s="123"/>
      <c r="Z520" s="123"/>
      <c r="AA520" s="124"/>
      <c r="AB520" s="124"/>
      <c r="AC520" s="125"/>
      <c r="AD520" s="125"/>
      <c r="AE520" s="125"/>
      <c r="AF520" s="125"/>
      <c r="AG520" s="125"/>
    </row>
    <row r="521" spans="1:33" x14ac:dyDescent="0.2">
      <c r="A521" s="46"/>
      <c r="B521" s="46"/>
      <c r="D521" s="18"/>
      <c r="W521" s="122"/>
      <c r="X521" s="123"/>
      <c r="Y521" s="123"/>
      <c r="Z521" s="123"/>
      <c r="AA521" s="124"/>
      <c r="AB521" s="124"/>
      <c r="AC521" s="125"/>
      <c r="AD521" s="125"/>
      <c r="AE521" s="125"/>
      <c r="AF521" s="125"/>
      <c r="AG521" s="125"/>
    </row>
    <row r="522" spans="1:33" x14ac:dyDescent="0.2">
      <c r="A522" s="46"/>
      <c r="B522" s="46"/>
      <c r="D522" s="18"/>
      <c r="W522" s="122"/>
      <c r="X522" s="123"/>
      <c r="Y522" s="123"/>
      <c r="Z522" s="123"/>
      <c r="AA522" s="124"/>
      <c r="AB522" s="124"/>
      <c r="AC522" s="125"/>
      <c r="AD522" s="125"/>
      <c r="AE522" s="125"/>
      <c r="AF522" s="125"/>
      <c r="AG522" s="125"/>
    </row>
    <row r="523" spans="1:33" x14ac:dyDescent="0.2">
      <c r="A523" s="46"/>
      <c r="B523" s="46"/>
      <c r="D523" s="18"/>
      <c r="W523" s="122"/>
      <c r="X523" s="123"/>
      <c r="Y523" s="123"/>
      <c r="Z523" s="123"/>
      <c r="AA523" s="124"/>
      <c r="AB523" s="124"/>
      <c r="AC523" s="125"/>
      <c r="AD523" s="125"/>
      <c r="AE523" s="125"/>
      <c r="AF523" s="125"/>
      <c r="AG523" s="125"/>
    </row>
    <row r="524" spans="1:33" x14ac:dyDescent="0.2">
      <c r="A524" s="46"/>
      <c r="B524" s="46"/>
      <c r="D524" s="18"/>
      <c r="W524" s="122"/>
      <c r="X524" s="123"/>
      <c r="Y524" s="123"/>
      <c r="Z524" s="123"/>
      <c r="AA524" s="124"/>
      <c r="AB524" s="124"/>
      <c r="AC524" s="125"/>
      <c r="AD524" s="125"/>
      <c r="AE524" s="125"/>
      <c r="AF524" s="125"/>
      <c r="AG524" s="125"/>
    </row>
    <row r="525" spans="1:33" x14ac:dyDescent="0.2">
      <c r="A525" s="46"/>
      <c r="B525" s="46"/>
      <c r="D525" s="18"/>
      <c r="W525" s="122"/>
      <c r="X525" s="123"/>
      <c r="Y525" s="123"/>
      <c r="Z525" s="123"/>
      <c r="AA525" s="124"/>
      <c r="AB525" s="124"/>
      <c r="AC525" s="125"/>
      <c r="AD525" s="125"/>
      <c r="AE525" s="125"/>
      <c r="AF525" s="125"/>
      <c r="AG525" s="125"/>
    </row>
    <row r="526" spans="1:33" x14ac:dyDescent="0.2">
      <c r="A526" s="46"/>
      <c r="B526" s="46"/>
      <c r="D526" s="18"/>
      <c r="W526" s="122"/>
      <c r="X526" s="123"/>
      <c r="Y526" s="123"/>
      <c r="Z526" s="123"/>
      <c r="AA526" s="124"/>
      <c r="AB526" s="124"/>
      <c r="AC526" s="125"/>
      <c r="AD526" s="125"/>
      <c r="AE526" s="125"/>
      <c r="AF526" s="125"/>
      <c r="AG526" s="125"/>
    </row>
    <row r="527" spans="1:33" x14ac:dyDescent="0.2">
      <c r="A527" s="46"/>
      <c r="B527" s="46"/>
      <c r="D527" s="18"/>
      <c r="W527" s="122"/>
      <c r="X527" s="123"/>
      <c r="Y527" s="123"/>
      <c r="Z527" s="123"/>
      <c r="AA527" s="124"/>
      <c r="AB527" s="124"/>
      <c r="AC527" s="125"/>
      <c r="AD527" s="125"/>
      <c r="AE527" s="125"/>
      <c r="AF527" s="125"/>
      <c r="AG527" s="125"/>
    </row>
    <row r="528" spans="1:33" x14ac:dyDescent="0.2">
      <c r="A528" s="46"/>
      <c r="B528" s="46"/>
      <c r="D528" s="18"/>
      <c r="W528" s="122"/>
      <c r="X528" s="123"/>
      <c r="Y528" s="123"/>
      <c r="Z528" s="123"/>
      <c r="AA528" s="124"/>
      <c r="AB528" s="124"/>
      <c r="AC528" s="125"/>
      <c r="AD528" s="125"/>
      <c r="AE528" s="125"/>
      <c r="AF528" s="125"/>
      <c r="AG528" s="125"/>
    </row>
    <row r="529" spans="1:33" x14ac:dyDescent="0.2">
      <c r="A529" s="46"/>
      <c r="B529" s="46"/>
      <c r="D529" s="18"/>
      <c r="W529" s="122"/>
      <c r="X529" s="123"/>
      <c r="Y529" s="123"/>
      <c r="Z529" s="123"/>
      <c r="AA529" s="124"/>
      <c r="AB529" s="124"/>
      <c r="AC529" s="125"/>
      <c r="AD529" s="125"/>
      <c r="AE529" s="125"/>
      <c r="AF529" s="125"/>
      <c r="AG529" s="125"/>
    </row>
    <row r="530" spans="1:33" x14ac:dyDescent="0.2">
      <c r="A530" s="46"/>
      <c r="B530" s="46"/>
      <c r="D530" s="18"/>
      <c r="W530" s="122"/>
      <c r="X530" s="123"/>
      <c r="Y530" s="123"/>
      <c r="Z530" s="123"/>
      <c r="AA530" s="124"/>
      <c r="AB530" s="124"/>
      <c r="AC530" s="125"/>
      <c r="AD530" s="125"/>
      <c r="AE530" s="125"/>
      <c r="AF530" s="125"/>
      <c r="AG530" s="125"/>
    </row>
    <row r="531" spans="1:33" x14ac:dyDescent="0.2">
      <c r="A531" s="46"/>
      <c r="B531" s="46"/>
      <c r="D531" s="18"/>
      <c r="W531" s="122"/>
      <c r="X531" s="123"/>
      <c r="Y531" s="123"/>
      <c r="Z531" s="123"/>
      <c r="AA531" s="124"/>
      <c r="AB531" s="124"/>
      <c r="AC531" s="125"/>
      <c r="AD531" s="125"/>
      <c r="AE531" s="125"/>
      <c r="AF531" s="125"/>
      <c r="AG531" s="125"/>
    </row>
    <row r="532" spans="1:33" x14ac:dyDescent="0.2">
      <c r="A532" s="46"/>
      <c r="B532" s="46"/>
      <c r="D532" s="18"/>
      <c r="W532" s="122"/>
      <c r="X532" s="123"/>
      <c r="Y532" s="123"/>
      <c r="Z532" s="123"/>
      <c r="AA532" s="124"/>
      <c r="AB532" s="124"/>
      <c r="AC532" s="125"/>
      <c r="AD532" s="125"/>
      <c r="AE532" s="125"/>
      <c r="AF532" s="125"/>
      <c r="AG532" s="125"/>
    </row>
    <row r="533" spans="1:33" x14ac:dyDescent="0.2">
      <c r="A533" s="46"/>
      <c r="B533" s="46"/>
      <c r="D533" s="18"/>
      <c r="W533" s="122"/>
      <c r="X533" s="123"/>
      <c r="Y533" s="123"/>
      <c r="Z533" s="123"/>
      <c r="AA533" s="124"/>
      <c r="AB533" s="124"/>
      <c r="AC533" s="125"/>
      <c r="AD533" s="125"/>
      <c r="AE533" s="125"/>
      <c r="AF533" s="125"/>
      <c r="AG533" s="125"/>
    </row>
    <row r="534" spans="1:33" x14ac:dyDescent="0.2">
      <c r="A534" s="46"/>
      <c r="B534" s="46"/>
      <c r="D534" s="18"/>
      <c r="W534" s="122"/>
      <c r="X534" s="123"/>
      <c r="Y534" s="123"/>
      <c r="Z534" s="123"/>
      <c r="AA534" s="124"/>
      <c r="AB534" s="124"/>
      <c r="AC534" s="125"/>
      <c r="AD534" s="125"/>
      <c r="AE534" s="125"/>
      <c r="AF534" s="125"/>
      <c r="AG534" s="125"/>
    </row>
    <row r="535" spans="1:33" x14ac:dyDescent="0.2">
      <c r="A535" s="46"/>
      <c r="B535" s="46"/>
      <c r="D535" s="18"/>
      <c r="W535" s="122"/>
      <c r="X535" s="123"/>
      <c r="Y535" s="123"/>
      <c r="Z535" s="123"/>
      <c r="AA535" s="124"/>
      <c r="AB535" s="124"/>
      <c r="AC535" s="125"/>
      <c r="AD535" s="125"/>
      <c r="AE535" s="125"/>
      <c r="AF535" s="125"/>
      <c r="AG535" s="125"/>
    </row>
    <row r="536" spans="1:33" x14ac:dyDescent="0.2">
      <c r="A536" s="46"/>
      <c r="B536" s="46"/>
      <c r="D536" s="18"/>
      <c r="W536" s="122"/>
      <c r="X536" s="123"/>
      <c r="Y536" s="123"/>
      <c r="Z536" s="123"/>
      <c r="AA536" s="124"/>
      <c r="AB536" s="124"/>
      <c r="AC536" s="125"/>
      <c r="AD536" s="125"/>
      <c r="AE536" s="125"/>
      <c r="AF536" s="125"/>
      <c r="AG536" s="125"/>
    </row>
    <row r="537" spans="1:33" x14ac:dyDescent="0.2">
      <c r="A537" s="46"/>
      <c r="B537" s="46"/>
      <c r="D537" s="18"/>
      <c r="W537" s="122"/>
      <c r="X537" s="123"/>
      <c r="Y537" s="123"/>
      <c r="Z537" s="123"/>
      <c r="AA537" s="124"/>
      <c r="AB537" s="124"/>
      <c r="AC537" s="125"/>
      <c r="AD537" s="125"/>
      <c r="AE537" s="125"/>
      <c r="AF537" s="125"/>
      <c r="AG537" s="125"/>
    </row>
    <row r="538" spans="1:33" x14ac:dyDescent="0.2">
      <c r="A538" s="46"/>
      <c r="B538" s="46"/>
      <c r="D538" s="18"/>
      <c r="W538" s="122"/>
      <c r="X538" s="123"/>
      <c r="Y538" s="123"/>
      <c r="Z538" s="123"/>
      <c r="AA538" s="124"/>
      <c r="AB538" s="124"/>
      <c r="AC538" s="125"/>
      <c r="AD538" s="125"/>
      <c r="AE538" s="125"/>
      <c r="AF538" s="125"/>
      <c r="AG538" s="125"/>
    </row>
    <row r="539" spans="1:33" x14ac:dyDescent="0.2">
      <c r="A539" s="46"/>
      <c r="B539" s="46"/>
      <c r="D539" s="18"/>
      <c r="W539" s="122"/>
      <c r="X539" s="123"/>
      <c r="Y539" s="123"/>
      <c r="Z539" s="123"/>
      <c r="AA539" s="124"/>
      <c r="AB539" s="124"/>
      <c r="AC539" s="125"/>
      <c r="AD539" s="125"/>
      <c r="AE539" s="125"/>
      <c r="AF539" s="125"/>
      <c r="AG539" s="125"/>
    </row>
    <row r="540" spans="1:33" x14ac:dyDescent="0.2">
      <c r="A540" s="46"/>
      <c r="B540" s="46"/>
      <c r="D540" s="18"/>
      <c r="W540" s="122"/>
      <c r="X540" s="123"/>
      <c r="Y540" s="123"/>
      <c r="Z540" s="123"/>
      <c r="AA540" s="124"/>
      <c r="AB540" s="124"/>
      <c r="AC540" s="125"/>
      <c r="AD540" s="125"/>
      <c r="AE540" s="125"/>
      <c r="AF540" s="125"/>
      <c r="AG540" s="125"/>
    </row>
    <row r="541" spans="1:33" x14ac:dyDescent="0.2">
      <c r="A541" s="46"/>
      <c r="B541" s="46"/>
      <c r="D541" s="18"/>
      <c r="W541" s="122"/>
      <c r="X541" s="123"/>
      <c r="Y541" s="123"/>
      <c r="Z541" s="123"/>
      <c r="AA541" s="124"/>
      <c r="AB541" s="124"/>
      <c r="AC541" s="125"/>
      <c r="AD541" s="125"/>
      <c r="AE541" s="125"/>
      <c r="AF541" s="125"/>
      <c r="AG541" s="125"/>
    </row>
    <row r="542" spans="1:33" x14ac:dyDescent="0.2">
      <c r="A542" s="46"/>
      <c r="B542" s="46"/>
      <c r="D542" s="18"/>
      <c r="W542" s="122"/>
      <c r="X542" s="123"/>
      <c r="Y542" s="123"/>
      <c r="Z542" s="123"/>
      <c r="AA542" s="124"/>
      <c r="AB542" s="124"/>
      <c r="AC542" s="125"/>
      <c r="AD542" s="125"/>
      <c r="AE542" s="125"/>
      <c r="AF542" s="125"/>
      <c r="AG542" s="125"/>
    </row>
    <row r="543" spans="1:33" x14ac:dyDescent="0.2">
      <c r="A543" s="46"/>
      <c r="B543" s="46"/>
      <c r="D543" s="18"/>
      <c r="W543" s="122"/>
      <c r="X543" s="123"/>
      <c r="Y543" s="123"/>
      <c r="Z543" s="123"/>
      <c r="AA543" s="124"/>
      <c r="AB543" s="124"/>
      <c r="AC543" s="125"/>
      <c r="AD543" s="125"/>
      <c r="AE543" s="125"/>
      <c r="AF543" s="125"/>
      <c r="AG543" s="125"/>
    </row>
    <row r="544" spans="1:33" x14ac:dyDescent="0.2">
      <c r="A544" s="46"/>
      <c r="B544" s="46"/>
      <c r="D544" s="18"/>
      <c r="W544" s="122"/>
      <c r="X544" s="123"/>
      <c r="Y544" s="123"/>
      <c r="Z544" s="123"/>
      <c r="AA544" s="124"/>
      <c r="AB544" s="124"/>
      <c r="AC544" s="125"/>
      <c r="AD544" s="125"/>
      <c r="AE544" s="125"/>
      <c r="AF544" s="125"/>
      <c r="AG544" s="125"/>
    </row>
    <row r="545" spans="1:33" x14ac:dyDescent="0.2">
      <c r="A545" s="46"/>
      <c r="B545" s="46"/>
      <c r="D545" s="18"/>
      <c r="W545" s="122"/>
      <c r="X545" s="123"/>
      <c r="Y545" s="123"/>
      <c r="Z545" s="123"/>
      <c r="AA545" s="124"/>
      <c r="AB545" s="124"/>
      <c r="AC545" s="125"/>
      <c r="AD545" s="125"/>
      <c r="AE545" s="125"/>
      <c r="AF545" s="125"/>
      <c r="AG545" s="125"/>
    </row>
    <row r="546" spans="1:33" x14ac:dyDescent="0.2">
      <c r="A546" s="46"/>
      <c r="B546" s="46"/>
      <c r="D546" s="18"/>
      <c r="W546" s="122"/>
      <c r="X546" s="123"/>
      <c r="Y546" s="123"/>
      <c r="Z546" s="123"/>
      <c r="AA546" s="124"/>
      <c r="AB546" s="124"/>
      <c r="AC546" s="125"/>
      <c r="AD546" s="125"/>
      <c r="AE546" s="125"/>
      <c r="AF546" s="125"/>
      <c r="AG546" s="125"/>
    </row>
    <row r="547" spans="1:33" x14ac:dyDescent="0.2">
      <c r="A547" s="46"/>
      <c r="B547" s="46"/>
      <c r="D547" s="18"/>
      <c r="W547" s="122"/>
      <c r="X547" s="123"/>
      <c r="Y547" s="123"/>
      <c r="Z547" s="123"/>
      <c r="AA547" s="124"/>
      <c r="AB547" s="124"/>
      <c r="AC547" s="125"/>
      <c r="AD547" s="125"/>
      <c r="AE547" s="125"/>
      <c r="AF547" s="125"/>
      <c r="AG547" s="125"/>
    </row>
    <row r="548" spans="1:33" x14ac:dyDescent="0.2">
      <c r="A548" s="46"/>
      <c r="B548" s="46"/>
      <c r="D548" s="18"/>
      <c r="W548" s="122"/>
      <c r="X548" s="123"/>
      <c r="Y548" s="123"/>
      <c r="Z548" s="123"/>
      <c r="AA548" s="124"/>
      <c r="AB548" s="124"/>
      <c r="AC548" s="125"/>
      <c r="AD548" s="125"/>
      <c r="AE548" s="125"/>
      <c r="AF548" s="125"/>
      <c r="AG548" s="125"/>
    </row>
    <row r="549" spans="1:33" x14ac:dyDescent="0.2">
      <c r="A549" s="46"/>
      <c r="B549" s="46"/>
      <c r="D549" s="18"/>
      <c r="W549" s="122"/>
      <c r="X549" s="123"/>
      <c r="Y549" s="123"/>
      <c r="Z549" s="123"/>
      <c r="AA549" s="124"/>
      <c r="AB549" s="124"/>
      <c r="AC549" s="125"/>
      <c r="AD549" s="125"/>
      <c r="AE549" s="125"/>
      <c r="AF549" s="125"/>
      <c r="AG549" s="125"/>
    </row>
    <row r="550" spans="1:33" x14ac:dyDescent="0.2">
      <c r="A550" s="46"/>
      <c r="B550" s="46"/>
      <c r="D550" s="18"/>
      <c r="W550" s="122"/>
      <c r="X550" s="123"/>
      <c r="Y550" s="123"/>
      <c r="Z550" s="123"/>
      <c r="AA550" s="124"/>
      <c r="AB550" s="124"/>
      <c r="AC550" s="125"/>
      <c r="AD550" s="125"/>
      <c r="AE550" s="125"/>
      <c r="AF550" s="125"/>
      <c r="AG550" s="125"/>
    </row>
    <row r="551" spans="1:33" x14ac:dyDescent="0.2">
      <c r="A551" s="46"/>
      <c r="B551" s="46"/>
      <c r="D551" s="18"/>
      <c r="W551" s="122"/>
      <c r="X551" s="123"/>
      <c r="Y551" s="123"/>
      <c r="Z551" s="123"/>
      <c r="AA551" s="124"/>
      <c r="AB551" s="124"/>
      <c r="AC551" s="125"/>
      <c r="AD551" s="125"/>
      <c r="AE551" s="125"/>
      <c r="AF551" s="125"/>
      <c r="AG551" s="125"/>
    </row>
    <row r="552" spans="1:33" x14ac:dyDescent="0.2">
      <c r="A552" s="46"/>
      <c r="B552" s="46"/>
      <c r="D552" s="18"/>
      <c r="W552" s="122"/>
      <c r="X552" s="123"/>
      <c r="Y552" s="123"/>
      <c r="Z552" s="123"/>
      <c r="AA552" s="124"/>
      <c r="AB552" s="124"/>
      <c r="AC552" s="125"/>
      <c r="AD552" s="125"/>
      <c r="AE552" s="125"/>
      <c r="AF552" s="125"/>
      <c r="AG552" s="125"/>
    </row>
    <row r="553" spans="1:33" x14ac:dyDescent="0.2">
      <c r="A553" s="46"/>
      <c r="B553" s="46"/>
      <c r="D553" s="18"/>
      <c r="W553" s="122"/>
      <c r="X553" s="123"/>
      <c r="Y553" s="123"/>
      <c r="Z553" s="123"/>
      <c r="AA553" s="124"/>
      <c r="AB553" s="124"/>
      <c r="AC553" s="125"/>
      <c r="AD553" s="125"/>
      <c r="AE553" s="125"/>
      <c r="AF553" s="125"/>
      <c r="AG553" s="125"/>
    </row>
    <row r="554" spans="1:33" x14ac:dyDescent="0.2">
      <c r="A554" s="46"/>
      <c r="B554" s="46"/>
      <c r="D554" s="18"/>
      <c r="W554" s="122"/>
      <c r="X554" s="123"/>
      <c r="Y554" s="123"/>
      <c r="Z554" s="123"/>
      <c r="AA554" s="124"/>
      <c r="AB554" s="124"/>
      <c r="AC554" s="125"/>
      <c r="AD554" s="125"/>
      <c r="AE554" s="125"/>
      <c r="AF554" s="125"/>
      <c r="AG554" s="125"/>
    </row>
    <row r="555" spans="1:33" x14ac:dyDescent="0.2">
      <c r="A555" s="46"/>
      <c r="B555" s="46"/>
      <c r="D555" s="18"/>
      <c r="W555" s="122"/>
      <c r="X555" s="123"/>
      <c r="Y555" s="123"/>
      <c r="Z555" s="123"/>
      <c r="AA555" s="124"/>
      <c r="AB555" s="124"/>
      <c r="AC555" s="125"/>
      <c r="AD555" s="125"/>
      <c r="AE555" s="125"/>
      <c r="AF555" s="125"/>
      <c r="AG555" s="125"/>
    </row>
    <row r="556" spans="1:33" x14ac:dyDescent="0.2">
      <c r="A556" s="46"/>
      <c r="B556" s="46"/>
      <c r="D556" s="18"/>
      <c r="W556" s="122"/>
      <c r="X556" s="123"/>
      <c r="Y556" s="123"/>
      <c r="Z556" s="123"/>
      <c r="AA556" s="124"/>
      <c r="AB556" s="124"/>
      <c r="AC556" s="125"/>
      <c r="AD556" s="125"/>
      <c r="AE556" s="125"/>
      <c r="AF556" s="125"/>
      <c r="AG556" s="125"/>
    </row>
    <row r="557" spans="1:33" x14ac:dyDescent="0.2">
      <c r="A557" s="46"/>
      <c r="B557" s="46"/>
      <c r="D557" s="18"/>
      <c r="W557" s="122"/>
      <c r="X557" s="123"/>
      <c r="Y557" s="123"/>
      <c r="Z557" s="123"/>
      <c r="AA557" s="124"/>
      <c r="AB557" s="124"/>
      <c r="AC557" s="125"/>
      <c r="AD557" s="125"/>
      <c r="AE557" s="125"/>
      <c r="AF557" s="125"/>
      <c r="AG557" s="125"/>
    </row>
    <row r="558" spans="1:33" x14ac:dyDescent="0.2">
      <c r="A558" s="46"/>
      <c r="B558" s="46"/>
      <c r="D558" s="18"/>
      <c r="W558" s="122"/>
      <c r="X558" s="123"/>
      <c r="Y558" s="123"/>
      <c r="Z558" s="123"/>
      <c r="AA558" s="124"/>
      <c r="AB558" s="124"/>
      <c r="AC558" s="125"/>
      <c r="AD558" s="125"/>
      <c r="AE558" s="125"/>
      <c r="AF558" s="125"/>
      <c r="AG558" s="125"/>
    </row>
    <row r="559" spans="1:33" x14ac:dyDescent="0.2">
      <c r="A559" s="46"/>
      <c r="B559" s="46"/>
      <c r="D559" s="18"/>
      <c r="W559" s="122"/>
      <c r="X559" s="123"/>
      <c r="Y559" s="123"/>
      <c r="Z559" s="123"/>
      <c r="AA559" s="124"/>
      <c r="AB559" s="124"/>
      <c r="AC559" s="125"/>
      <c r="AD559" s="125"/>
      <c r="AE559" s="125"/>
      <c r="AF559" s="125"/>
      <c r="AG559" s="125"/>
    </row>
    <row r="560" spans="1:33" x14ac:dyDescent="0.2">
      <c r="A560" s="46"/>
      <c r="B560" s="46"/>
      <c r="D560" s="18"/>
      <c r="W560" s="122"/>
      <c r="X560" s="123"/>
      <c r="Y560" s="123"/>
      <c r="Z560" s="123"/>
      <c r="AA560" s="124"/>
      <c r="AB560" s="124"/>
      <c r="AC560" s="125"/>
      <c r="AD560" s="125"/>
      <c r="AE560" s="125"/>
      <c r="AF560" s="125"/>
      <c r="AG560" s="125"/>
    </row>
    <row r="561" spans="1:33" x14ac:dyDescent="0.2">
      <c r="A561" s="46"/>
      <c r="B561" s="46"/>
      <c r="D561" s="18"/>
      <c r="W561" s="122"/>
      <c r="X561" s="123"/>
      <c r="Y561" s="123"/>
      <c r="Z561" s="123"/>
      <c r="AA561" s="124"/>
      <c r="AB561" s="124"/>
      <c r="AC561" s="125"/>
      <c r="AD561" s="125"/>
      <c r="AE561" s="125"/>
      <c r="AF561" s="125"/>
      <c r="AG561" s="125"/>
    </row>
    <row r="562" spans="1:33" x14ac:dyDescent="0.2">
      <c r="A562" s="46"/>
      <c r="B562" s="46"/>
      <c r="D562" s="18"/>
      <c r="W562" s="122"/>
      <c r="X562" s="123"/>
      <c r="Y562" s="123"/>
      <c r="Z562" s="123"/>
      <c r="AA562" s="124"/>
      <c r="AB562" s="124"/>
      <c r="AC562" s="125"/>
      <c r="AD562" s="125"/>
      <c r="AE562" s="125"/>
      <c r="AF562" s="125"/>
      <c r="AG562" s="125"/>
    </row>
    <row r="563" spans="1:33" x14ac:dyDescent="0.2">
      <c r="A563" s="46"/>
      <c r="B563" s="46"/>
      <c r="D563" s="18"/>
      <c r="W563" s="122"/>
      <c r="X563" s="123"/>
      <c r="Y563" s="123"/>
      <c r="Z563" s="123"/>
      <c r="AA563" s="124"/>
      <c r="AB563" s="124"/>
      <c r="AC563" s="125"/>
      <c r="AD563" s="125"/>
      <c r="AE563" s="125"/>
      <c r="AF563" s="125"/>
      <c r="AG563" s="125"/>
    </row>
    <row r="564" spans="1:33" x14ac:dyDescent="0.2">
      <c r="A564" s="46"/>
      <c r="B564" s="46"/>
      <c r="D564" s="18"/>
      <c r="W564" s="122"/>
      <c r="X564" s="123"/>
      <c r="Y564" s="123"/>
      <c r="Z564" s="123"/>
      <c r="AA564" s="124"/>
      <c r="AB564" s="124"/>
      <c r="AC564" s="125"/>
      <c r="AD564" s="125"/>
      <c r="AE564" s="125"/>
      <c r="AF564" s="125"/>
      <c r="AG564" s="125"/>
    </row>
    <row r="565" spans="1:33" x14ac:dyDescent="0.2">
      <c r="A565" s="46"/>
      <c r="B565" s="46"/>
      <c r="D565" s="18"/>
      <c r="W565" s="122"/>
      <c r="X565" s="123"/>
      <c r="Y565" s="123"/>
      <c r="Z565" s="123"/>
      <c r="AA565" s="124"/>
      <c r="AB565" s="124"/>
      <c r="AC565" s="125"/>
      <c r="AD565" s="125"/>
      <c r="AE565" s="125"/>
      <c r="AF565" s="125"/>
      <c r="AG565" s="125"/>
    </row>
    <row r="566" spans="1:33" x14ac:dyDescent="0.2">
      <c r="A566" s="46"/>
      <c r="B566" s="46"/>
      <c r="D566" s="18"/>
      <c r="W566" s="122"/>
      <c r="X566" s="123"/>
      <c r="Y566" s="123"/>
      <c r="Z566" s="123"/>
      <c r="AA566" s="124"/>
      <c r="AB566" s="124"/>
      <c r="AC566" s="125"/>
      <c r="AD566" s="125"/>
      <c r="AE566" s="125"/>
      <c r="AF566" s="125"/>
      <c r="AG566" s="125"/>
    </row>
    <row r="567" spans="1:33" x14ac:dyDescent="0.2">
      <c r="A567" s="46"/>
      <c r="B567" s="46"/>
      <c r="D567" s="18"/>
      <c r="W567" s="122"/>
      <c r="X567" s="123"/>
      <c r="Y567" s="123"/>
      <c r="Z567" s="123"/>
      <c r="AA567" s="124"/>
      <c r="AB567" s="124"/>
      <c r="AC567" s="125"/>
      <c r="AD567" s="125"/>
      <c r="AE567" s="125"/>
      <c r="AF567" s="125"/>
      <c r="AG567" s="125"/>
    </row>
    <row r="568" spans="1:33" x14ac:dyDescent="0.2">
      <c r="A568" s="46"/>
      <c r="B568" s="46"/>
      <c r="D568" s="18"/>
      <c r="W568" s="122"/>
      <c r="X568" s="123"/>
      <c r="Y568" s="123"/>
      <c r="Z568" s="123"/>
      <c r="AA568" s="124"/>
      <c r="AB568" s="124"/>
      <c r="AC568" s="125"/>
      <c r="AD568" s="125"/>
      <c r="AE568" s="125"/>
      <c r="AF568" s="125"/>
      <c r="AG568" s="125"/>
    </row>
    <row r="569" spans="1:33" x14ac:dyDescent="0.2">
      <c r="A569" s="46"/>
      <c r="B569" s="46"/>
      <c r="D569" s="18"/>
      <c r="W569" s="122"/>
      <c r="X569" s="123"/>
      <c r="Y569" s="123"/>
      <c r="Z569" s="123"/>
      <c r="AA569" s="124"/>
      <c r="AB569" s="124"/>
      <c r="AC569" s="125"/>
      <c r="AD569" s="125"/>
      <c r="AE569" s="125"/>
      <c r="AF569" s="125"/>
      <c r="AG569" s="125"/>
    </row>
    <row r="570" spans="1:33" x14ac:dyDescent="0.2">
      <c r="A570" s="46"/>
      <c r="B570" s="46"/>
      <c r="D570" s="18"/>
      <c r="W570" s="122"/>
      <c r="X570" s="123"/>
      <c r="Y570" s="123"/>
      <c r="Z570" s="123"/>
      <c r="AA570" s="124"/>
      <c r="AB570" s="124"/>
      <c r="AC570" s="125"/>
      <c r="AD570" s="125"/>
      <c r="AE570" s="125"/>
      <c r="AF570" s="125"/>
      <c r="AG570" s="125"/>
    </row>
    <row r="571" spans="1:33" x14ac:dyDescent="0.2">
      <c r="A571" s="46"/>
      <c r="B571" s="46"/>
      <c r="D571" s="18"/>
      <c r="W571" s="122"/>
      <c r="X571" s="123"/>
      <c r="Y571" s="123"/>
      <c r="Z571" s="123"/>
      <c r="AA571" s="124"/>
      <c r="AB571" s="124"/>
      <c r="AC571" s="125"/>
      <c r="AD571" s="125"/>
      <c r="AE571" s="125"/>
      <c r="AF571" s="125"/>
      <c r="AG571" s="125"/>
    </row>
    <row r="572" spans="1:33" x14ac:dyDescent="0.2">
      <c r="A572" s="46"/>
      <c r="B572" s="46"/>
      <c r="D572" s="18"/>
      <c r="W572" s="122"/>
      <c r="X572" s="123"/>
      <c r="Y572" s="123"/>
      <c r="Z572" s="123"/>
      <c r="AA572" s="124"/>
      <c r="AB572" s="124"/>
      <c r="AC572" s="125"/>
      <c r="AD572" s="125"/>
      <c r="AE572" s="125"/>
      <c r="AF572" s="125"/>
      <c r="AG572" s="125"/>
    </row>
    <row r="573" spans="1:33" x14ac:dyDescent="0.2">
      <c r="A573" s="46"/>
      <c r="B573" s="46"/>
      <c r="D573" s="18"/>
      <c r="W573" s="122"/>
      <c r="X573" s="123"/>
      <c r="Y573" s="123"/>
      <c r="Z573" s="123"/>
      <c r="AA573" s="124"/>
      <c r="AB573" s="124"/>
      <c r="AC573" s="125"/>
      <c r="AD573" s="125"/>
      <c r="AE573" s="125"/>
      <c r="AF573" s="125"/>
      <c r="AG573" s="125"/>
    </row>
    <row r="574" spans="1:33" x14ac:dyDescent="0.2">
      <c r="A574" s="46"/>
      <c r="B574" s="46"/>
      <c r="D574" s="18"/>
      <c r="W574" s="122"/>
      <c r="X574" s="123"/>
      <c r="Y574" s="123"/>
      <c r="Z574" s="123"/>
      <c r="AA574" s="124"/>
      <c r="AB574" s="124"/>
      <c r="AC574" s="125"/>
      <c r="AD574" s="125"/>
      <c r="AE574" s="125"/>
      <c r="AF574" s="125"/>
      <c r="AG574" s="125"/>
    </row>
    <row r="575" spans="1:33" x14ac:dyDescent="0.2">
      <c r="A575" s="46"/>
      <c r="B575" s="46"/>
      <c r="D575" s="18"/>
      <c r="W575" s="122"/>
      <c r="X575" s="123"/>
      <c r="Y575" s="123"/>
      <c r="Z575" s="123"/>
      <c r="AA575" s="124"/>
      <c r="AB575" s="124"/>
      <c r="AC575" s="125"/>
      <c r="AD575" s="125"/>
      <c r="AE575" s="125"/>
      <c r="AF575" s="125"/>
      <c r="AG575" s="125"/>
    </row>
    <row r="576" spans="1:33" x14ac:dyDescent="0.2">
      <c r="A576" s="46"/>
      <c r="B576" s="46"/>
      <c r="D576" s="18"/>
      <c r="W576" s="122"/>
      <c r="X576" s="123"/>
      <c r="Y576" s="123"/>
      <c r="Z576" s="123"/>
      <c r="AA576" s="124"/>
      <c r="AB576" s="124"/>
      <c r="AC576" s="125"/>
      <c r="AD576" s="125"/>
      <c r="AE576" s="125"/>
      <c r="AF576" s="125"/>
      <c r="AG576" s="125"/>
    </row>
    <row r="577" spans="1:33" x14ac:dyDescent="0.2">
      <c r="A577" s="46"/>
      <c r="B577" s="46"/>
      <c r="D577" s="18"/>
      <c r="W577" s="122"/>
      <c r="X577" s="123"/>
      <c r="Y577" s="123"/>
      <c r="Z577" s="123"/>
      <c r="AA577" s="124"/>
      <c r="AB577" s="124"/>
      <c r="AC577" s="125"/>
      <c r="AD577" s="125"/>
      <c r="AE577" s="125"/>
      <c r="AF577" s="125"/>
      <c r="AG577" s="125"/>
    </row>
    <row r="578" spans="1:33" x14ac:dyDescent="0.2">
      <c r="A578" s="47"/>
      <c r="W578" s="122"/>
      <c r="X578" s="123"/>
      <c r="Y578" s="123"/>
      <c r="Z578" s="123"/>
      <c r="AA578" s="124"/>
      <c r="AB578" s="124"/>
      <c r="AC578" s="125"/>
      <c r="AD578" s="125"/>
      <c r="AE578" s="125"/>
      <c r="AF578" s="125"/>
      <c r="AG578" s="125"/>
    </row>
    <row r="579" spans="1:33" x14ac:dyDescent="0.2">
      <c r="W579" s="122"/>
      <c r="X579" s="123"/>
      <c r="Y579" s="123"/>
      <c r="Z579" s="123"/>
      <c r="AA579" s="124"/>
      <c r="AB579" s="124"/>
      <c r="AC579" s="125"/>
      <c r="AD579" s="125"/>
      <c r="AE579" s="125"/>
      <c r="AF579" s="125"/>
      <c r="AG579" s="125"/>
    </row>
    <row r="580" spans="1:33" x14ac:dyDescent="0.2">
      <c r="W580" s="122"/>
      <c r="X580" s="123"/>
      <c r="Y580" s="123"/>
      <c r="Z580" s="123"/>
      <c r="AA580" s="124"/>
      <c r="AB580" s="124"/>
      <c r="AC580" s="125"/>
      <c r="AD580" s="125"/>
      <c r="AE580" s="125"/>
      <c r="AF580" s="125"/>
      <c r="AG580" s="125"/>
    </row>
    <row r="581" spans="1:33" x14ac:dyDescent="0.2">
      <c r="W581" s="122"/>
      <c r="X581" s="123"/>
      <c r="Y581" s="123"/>
      <c r="Z581" s="123"/>
      <c r="AA581" s="124"/>
      <c r="AB581" s="124"/>
      <c r="AC581" s="125"/>
      <c r="AD581" s="125"/>
      <c r="AE581" s="125"/>
      <c r="AF581" s="125"/>
      <c r="AG581" s="125"/>
    </row>
    <row r="582" spans="1:33" x14ac:dyDescent="0.2">
      <c r="W582" s="122"/>
      <c r="X582" s="123"/>
      <c r="Y582" s="123"/>
      <c r="Z582" s="123"/>
      <c r="AA582" s="124"/>
      <c r="AB582" s="124"/>
      <c r="AC582" s="125"/>
      <c r="AD582" s="125"/>
      <c r="AE582" s="125"/>
      <c r="AF582" s="125"/>
      <c r="AG582" s="125"/>
    </row>
    <row r="583" spans="1:33" x14ac:dyDescent="0.2">
      <c r="W583" s="122"/>
      <c r="X583" s="123"/>
      <c r="Y583" s="123"/>
      <c r="Z583" s="123"/>
      <c r="AA583" s="124"/>
      <c r="AB583" s="124"/>
      <c r="AC583" s="125"/>
      <c r="AD583" s="125"/>
      <c r="AE583" s="125"/>
      <c r="AF583" s="125"/>
      <c r="AG583" s="125"/>
    </row>
    <row r="584" spans="1:33" x14ac:dyDescent="0.2">
      <c r="W584" s="122"/>
      <c r="X584" s="123"/>
      <c r="Y584" s="123"/>
      <c r="Z584" s="123"/>
      <c r="AA584" s="124"/>
      <c r="AB584" s="124"/>
      <c r="AC584" s="125"/>
      <c r="AD584" s="125"/>
      <c r="AE584" s="125"/>
      <c r="AF584" s="125"/>
      <c r="AG584" s="125"/>
    </row>
    <row r="585" spans="1:33" x14ac:dyDescent="0.2">
      <c r="W585" s="122"/>
      <c r="X585" s="123"/>
      <c r="Y585" s="123"/>
      <c r="Z585" s="123"/>
      <c r="AA585" s="124"/>
      <c r="AB585" s="124"/>
      <c r="AC585" s="125"/>
      <c r="AD585" s="125"/>
      <c r="AE585" s="125"/>
      <c r="AF585" s="125"/>
      <c r="AG585" s="125"/>
    </row>
    <row r="586" spans="1:33" x14ac:dyDescent="0.2">
      <c r="W586" s="122"/>
      <c r="X586" s="123"/>
      <c r="Y586" s="123"/>
      <c r="Z586" s="123"/>
      <c r="AA586" s="124"/>
      <c r="AB586" s="124"/>
      <c r="AC586" s="125"/>
      <c r="AD586" s="125"/>
      <c r="AE586" s="125"/>
      <c r="AF586" s="125"/>
      <c r="AG586" s="125"/>
    </row>
    <row r="587" spans="1:33" x14ac:dyDescent="0.2">
      <c r="W587" s="122"/>
      <c r="X587" s="123"/>
      <c r="Y587" s="123"/>
      <c r="Z587" s="123"/>
      <c r="AA587" s="124"/>
      <c r="AB587" s="124"/>
      <c r="AC587" s="125"/>
      <c r="AD587" s="125"/>
      <c r="AE587" s="125"/>
      <c r="AF587" s="125"/>
      <c r="AG587" s="125"/>
    </row>
    <row r="588" spans="1:33" x14ac:dyDescent="0.2">
      <c r="W588" s="122"/>
      <c r="X588" s="123"/>
      <c r="Y588" s="123"/>
      <c r="Z588" s="123"/>
      <c r="AA588" s="124"/>
      <c r="AB588" s="124"/>
      <c r="AC588" s="125"/>
      <c r="AD588" s="125"/>
      <c r="AE588" s="125"/>
      <c r="AF588" s="125"/>
      <c r="AG588" s="125"/>
    </row>
    <row r="589" spans="1:33" x14ac:dyDescent="0.2">
      <c r="W589" s="122"/>
      <c r="X589" s="123"/>
      <c r="Y589" s="123"/>
      <c r="Z589" s="123"/>
      <c r="AA589" s="124"/>
      <c r="AB589" s="124"/>
      <c r="AC589" s="125"/>
      <c r="AD589" s="125"/>
      <c r="AE589" s="125"/>
      <c r="AF589" s="125"/>
      <c r="AG589" s="125"/>
    </row>
    <row r="590" spans="1:33" x14ac:dyDescent="0.2">
      <c r="W590" s="122"/>
      <c r="X590" s="123"/>
      <c r="Y590" s="123"/>
      <c r="Z590" s="123"/>
      <c r="AA590" s="124"/>
      <c r="AB590" s="124"/>
      <c r="AC590" s="125"/>
      <c r="AD590" s="125"/>
      <c r="AE590" s="125"/>
      <c r="AF590" s="125"/>
      <c r="AG590" s="125"/>
    </row>
    <row r="591" spans="1:33" x14ac:dyDescent="0.2">
      <c r="W591" s="122"/>
      <c r="X591" s="123"/>
      <c r="Y591" s="123"/>
      <c r="Z591" s="123"/>
      <c r="AA591" s="124"/>
      <c r="AB591" s="124"/>
      <c r="AC591" s="125"/>
      <c r="AD591" s="125"/>
      <c r="AE591" s="125"/>
      <c r="AF591" s="125"/>
      <c r="AG591" s="125"/>
    </row>
    <row r="592" spans="1:33" x14ac:dyDescent="0.2">
      <c r="W592" s="122"/>
      <c r="X592" s="123"/>
      <c r="Y592" s="123"/>
      <c r="Z592" s="123"/>
      <c r="AA592" s="124"/>
      <c r="AB592" s="124"/>
      <c r="AC592" s="125"/>
      <c r="AD592" s="125"/>
      <c r="AE592" s="125"/>
      <c r="AF592" s="125"/>
      <c r="AG592" s="125"/>
    </row>
    <row r="593" spans="23:33" x14ac:dyDescent="0.2">
      <c r="W593" s="122"/>
      <c r="X593" s="123"/>
      <c r="Y593" s="123"/>
      <c r="Z593" s="123"/>
      <c r="AA593" s="124"/>
      <c r="AB593" s="124"/>
      <c r="AC593" s="125"/>
      <c r="AD593" s="125"/>
      <c r="AE593" s="125"/>
      <c r="AF593" s="125"/>
      <c r="AG593" s="125"/>
    </row>
    <row r="594" spans="23:33" x14ac:dyDescent="0.2">
      <c r="W594" s="122"/>
      <c r="X594" s="123"/>
      <c r="Y594" s="123"/>
      <c r="Z594" s="123"/>
      <c r="AA594" s="124"/>
      <c r="AB594" s="124"/>
      <c r="AC594" s="125"/>
      <c r="AD594" s="125"/>
      <c r="AE594" s="125"/>
      <c r="AF594" s="125"/>
      <c r="AG594" s="125"/>
    </row>
    <row r="595" spans="23:33" x14ac:dyDescent="0.2">
      <c r="W595" s="122"/>
      <c r="X595" s="123"/>
      <c r="Y595" s="123"/>
      <c r="Z595" s="123"/>
      <c r="AA595" s="124"/>
      <c r="AB595" s="124"/>
      <c r="AC595" s="125"/>
      <c r="AD595" s="125"/>
      <c r="AE595" s="125"/>
      <c r="AF595" s="125"/>
      <c r="AG595" s="125"/>
    </row>
    <row r="596" spans="23:33" x14ac:dyDescent="0.2">
      <c r="W596" s="122"/>
      <c r="X596" s="123"/>
      <c r="Y596" s="123"/>
      <c r="Z596" s="123"/>
      <c r="AA596" s="124"/>
      <c r="AB596" s="124"/>
      <c r="AC596" s="125"/>
      <c r="AD596" s="125"/>
      <c r="AE596" s="125"/>
      <c r="AF596" s="125"/>
      <c r="AG596" s="125"/>
    </row>
    <row r="597" spans="23:33" x14ac:dyDescent="0.2">
      <c r="W597" s="122"/>
      <c r="X597" s="123"/>
      <c r="Y597" s="123"/>
      <c r="Z597" s="123"/>
      <c r="AA597" s="124"/>
      <c r="AB597" s="124"/>
      <c r="AC597" s="125"/>
      <c r="AD597" s="125"/>
      <c r="AE597" s="125"/>
      <c r="AF597" s="125"/>
      <c r="AG597" s="125"/>
    </row>
    <row r="598" spans="23:33" x14ac:dyDescent="0.2">
      <c r="W598" s="122"/>
      <c r="X598" s="123"/>
      <c r="Y598" s="123"/>
      <c r="Z598" s="123"/>
      <c r="AA598" s="124"/>
      <c r="AB598" s="124"/>
      <c r="AC598" s="125"/>
      <c r="AD598" s="125"/>
      <c r="AE598" s="125"/>
      <c r="AF598" s="125"/>
      <c r="AG598" s="125"/>
    </row>
    <row r="599" spans="23:33" x14ac:dyDescent="0.2">
      <c r="W599" s="122"/>
      <c r="X599" s="123"/>
      <c r="Y599" s="123"/>
      <c r="Z599" s="123"/>
      <c r="AA599" s="124"/>
      <c r="AB599" s="124"/>
      <c r="AC599" s="125"/>
      <c r="AD599" s="125"/>
      <c r="AE599" s="125"/>
      <c r="AF599" s="125"/>
      <c r="AG599" s="125"/>
    </row>
    <row r="600" spans="23:33" x14ac:dyDescent="0.2">
      <c r="W600" s="122"/>
      <c r="X600" s="123"/>
      <c r="Y600" s="123"/>
      <c r="Z600" s="123"/>
      <c r="AA600" s="124"/>
      <c r="AB600" s="124"/>
      <c r="AC600" s="125"/>
      <c r="AD600" s="125"/>
      <c r="AE600" s="125"/>
      <c r="AF600" s="125"/>
      <c r="AG600" s="125"/>
    </row>
    <row r="601" spans="23:33" x14ac:dyDescent="0.2">
      <c r="W601" s="122"/>
      <c r="X601" s="123"/>
      <c r="Y601" s="123"/>
      <c r="Z601" s="123"/>
      <c r="AA601" s="124"/>
      <c r="AB601" s="124"/>
      <c r="AC601" s="125"/>
      <c r="AD601" s="125"/>
      <c r="AE601" s="125"/>
      <c r="AF601" s="125"/>
      <c r="AG601" s="125"/>
    </row>
    <row r="602" spans="23:33" x14ac:dyDescent="0.2">
      <c r="W602" s="122"/>
      <c r="X602" s="123"/>
      <c r="Y602" s="123"/>
      <c r="Z602" s="123"/>
      <c r="AA602" s="124"/>
      <c r="AB602" s="124"/>
      <c r="AC602" s="125"/>
      <c r="AD602" s="125"/>
      <c r="AE602" s="125"/>
      <c r="AF602" s="125"/>
      <c r="AG602" s="125"/>
    </row>
    <row r="603" spans="23:33" x14ac:dyDescent="0.2">
      <c r="W603" s="122"/>
      <c r="X603" s="123"/>
      <c r="Y603" s="123"/>
      <c r="Z603" s="123"/>
      <c r="AA603" s="124"/>
      <c r="AB603" s="124"/>
      <c r="AC603" s="125"/>
      <c r="AD603" s="125"/>
      <c r="AE603" s="125"/>
      <c r="AF603" s="125"/>
      <c r="AG603" s="125"/>
    </row>
    <row r="604" spans="23:33" x14ac:dyDescent="0.2">
      <c r="W604" s="122"/>
      <c r="X604" s="123"/>
      <c r="Y604" s="123"/>
      <c r="Z604" s="123"/>
      <c r="AA604" s="124"/>
      <c r="AB604" s="124"/>
      <c r="AC604" s="125"/>
      <c r="AD604" s="125"/>
      <c r="AE604" s="125"/>
      <c r="AF604" s="125"/>
      <c r="AG604" s="125"/>
    </row>
    <row r="605" spans="23:33" x14ac:dyDescent="0.2">
      <c r="W605" s="122"/>
      <c r="X605" s="123"/>
      <c r="Y605" s="123"/>
      <c r="Z605" s="123"/>
      <c r="AA605" s="124"/>
      <c r="AB605" s="124"/>
      <c r="AC605" s="125"/>
      <c r="AD605" s="125"/>
      <c r="AE605" s="125"/>
      <c r="AF605" s="125"/>
      <c r="AG605" s="125"/>
    </row>
    <row r="606" spans="23:33" x14ac:dyDescent="0.2">
      <c r="W606" s="122"/>
      <c r="X606" s="123"/>
      <c r="Y606" s="123"/>
      <c r="Z606" s="123"/>
      <c r="AA606" s="124"/>
      <c r="AB606" s="124"/>
      <c r="AC606" s="125"/>
      <c r="AD606" s="125"/>
      <c r="AE606" s="125"/>
      <c r="AF606" s="125"/>
      <c r="AG606" s="125"/>
    </row>
    <row r="607" spans="23:33" x14ac:dyDescent="0.2">
      <c r="W607" s="122"/>
      <c r="X607" s="123"/>
      <c r="Y607" s="123"/>
      <c r="Z607" s="123"/>
      <c r="AA607" s="124"/>
      <c r="AB607" s="124"/>
      <c r="AC607" s="125"/>
      <c r="AD607" s="125"/>
      <c r="AE607" s="125"/>
      <c r="AF607" s="125"/>
      <c r="AG607" s="125"/>
    </row>
    <row r="608" spans="23:33" x14ac:dyDescent="0.2">
      <c r="W608" s="122"/>
      <c r="X608" s="123"/>
      <c r="Y608" s="123"/>
      <c r="Z608" s="123"/>
      <c r="AA608" s="124"/>
      <c r="AB608" s="124"/>
      <c r="AC608" s="125"/>
      <c r="AD608" s="125"/>
      <c r="AE608" s="125"/>
      <c r="AF608" s="125"/>
      <c r="AG608" s="125"/>
    </row>
    <row r="609" spans="23:33" x14ac:dyDescent="0.2">
      <c r="W609" s="122"/>
      <c r="X609" s="123"/>
      <c r="Y609" s="123"/>
      <c r="Z609" s="123"/>
      <c r="AA609" s="124"/>
      <c r="AB609" s="124"/>
      <c r="AC609" s="125"/>
      <c r="AD609" s="125"/>
      <c r="AE609" s="125"/>
      <c r="AF609" s="125"/>
      <c r="AG609" s="125"/>
    </row>
    <row r="610" spans="23:33" x14ac:dyDescent="0.2">
      <c r="W610" s="122"/>
      <c r="X610" s="123"/>
      <c r="Y610" s="123"/>
      <c r="Z610" s="123"/>
      <c r="AA610" s="124"/>
      <c r="AB610" s="124"/>
      <c r="AC610" s="125"/>
      <c r="AD610" s="125"/>
      <c r="AE610" s="125"/>
      <c r="AF610" s="125"/>
      <c r="AG610" s="125"/>
    </row>
    <row r="611" spans="23:33" x14ac:dyDescent="0.2">
      <c r="W611" s="122"/>
      <c r="X611" s="123"/>
      <c r="Y611" s="123"/>
      <c r="Z611" s="123"/>
      <c r="AA611" s="124"/>
      <c r="AB611" s="124"/>
      <c r="AC611" s="125"/>
      <c r="AD611" s="125"/>
      <c r="AE611" s="125"/>
      <c r="AF611" s="125"/>
      <c r="AG611" s="125"/>
    </row>
    <row r="612" spans="23:33" x14ac:dyDescent="0.2">
      <c r="W612" s="122"/>
      <c r="X612" s="123"/>
      <c r="Y612" s="123"/>
      <c r="Z612" s="123"/>
      <c r="AA612" s="124"/>
      <c r="AB612" s="124"/>
      <c r="AC612" s="125"/>
      <c r="AD612" s="125"/>
      <c r="AE612" s="125"/>
      <c r="AF612" s="125"/>
      <c r="AG612" s="125"/>
    </row>
    <row r="613" spans="23:33" x14ac:dyDescent="0.2">
      <c r="W613" s="122"/>
      <c r="X613" s="123"/>
      <c r="Y613" s="123"/>
      <c r="Z613" s="123"/>
      <c r="AA613" s="124"/>
      <c r="AB613" s="124"/>
      <c r="AC613" s="125"/>
      <c r="AD613" s="125"/>
      <c r="AE613" s="125"/>
      <c r="AF613" s="125"/>
      <c r="AG613" s="125"/>
    </row>
    <row r="614" spans="23:33" x14ac:dyDescent="0.2">
      <c r="W614" s="122"/>
      <c r="X614" s="123"/>
      <c r="Y614" s="123"/>
      <c r="Z614" s="123"/>
      <c r="AA614" s="124"/>
      <c r="AB614" s="124"/>
      <c r="AC614" s="125"/>
      <c r="AD614" s="125"/>
      <c r="AE614" s="125"/>
      <c r="AF614" s="125"/>
      <c r="AG614" s="125"/>
    </row>
    <row r="615" spans="23:33" x14ac:dyDescent="0.2">
      <c r="W615" s="122"/>
      <c r="X615" s="123"/>
      <c r="Y615" s="123"/>
      <c r="Z615" s="123"/>
      <c r="AA615" s="124"/>
      <c r="AB615" s="124"/>
      <c r="AC615" s="125"/>
      <c r="AD615" s="125"/>
      <c r="AE615" s="125"/>
      <c r="AF615" s="125"/>
      <c r="AG615" s="125"/>
    </row>
    <row r="616" spans="23:33" x14ac:dyDescent="0.2">
      <c r="W616" s="122"/>
      <c r="X616" s="123"/>
      <c r="Y616" s="123"/>
      <c r="Z616" s="123"/>
      <c r="AA616" s="124"/>
      <c r="AB616" s="124"/>
      <c r="AC616" s="125"/>
      <c r="AD616" s="125"/>
      <c r="AE616" s="125"/>
      <c r="AF616" s="125"/>
      <c r="AG616" s="125"/>
    </row>
    <row r="617" spans="23:33" x14ac:dyDescent="0.2">
      <c r="W617" s="122"/>
      <c r="X617" s="123"/>
      <c r="Y617" s="123"/>
      <c r="Z617" s="123"/>
      <c r="AA617" s="124"/>
      <c r="AB617" s="124"/>
      <c r="AC617" s="125"/>
      <c r="AD617" s="125"/>
      <c r="AE617" s="125"/>
      <c r="AF617" s="125"/>
      <c r="AG617" s="125"/>
    </row>
    <row r="618" spans="23:33" x14ac:dyDescent="0.2">
      <c r="W618" s="122"/>
      <c r="X618" s="123"/>
      <c r="Y618" s="123"/>
      <c r="Z618" s="123"/>
      <c r="AA618" s="124"/>
      <c r="AB618" s="124"/>
      <c r="AC618" s="125"/>
      <c r="AD618" s="125"/>
      <c r="AE618" s="125"/>
      <c r="AF618" s="125"/>
      <c r="AG618" s="125"/>
    </row>
    <row r="619" spans="23:33" x14ac:dyDescent="0.2">
      <c r="W619" s="122"/>
      <c r="X619" s="123"/>
      <c r="Y619" s="123"/>
      <c r="Z619" s="123"/>
      <c r="AA619" s="124"/>
      <c r="AB619" s="124"/>
      <c r="AC619" s="125"/>
      <c r="AD619" s="125"/>
      <c r="AE619" s="125"/>
      <c r="AF619" s="125"/>
      <c r="AG619" s="125"/>
    </row>
    <row r="620" spans="23:33" x14ac:dyDescent="0.2">
      <c r="W620" s="122"/>
      <c r="X620" s="123"/>
      <c r="Y620" s="123"/>
      <c r="Z620" s="123"/>
      <c r="AA620" s="124"/>
      <c r="AB620" s="124"/>
      <c r="AC620" s="125"/>
      <c r="AD620" s="125"/>
      <c r="AE620" s="125"/>
      <c r="AF620" s="125"/>
      <c r="AG620" s="125"/>
    </row>
    <row r="621" spans="23:33" x14ac:dyDescent="0.2">
      <c r="W621" s="122"/>
      <c r="X621" s="123"/>
      <c r="Y621" s="123"/>
      <c r="Z621" s="123"/>
      <c r="AA621" s="124"/>
      <c r="AB621" s="124"/>
      <c r="AC621" s="125"/>
      <c r="AD621" s="125"/>
      <c r="AE621" s="125"/>
      <c r="AF621" s="125"/>
      <c r="AG621" s="125"/>
    </row>
    <row r="622" spans="23:33" x14ac:dyDescent="0.2">
      <c r="W622" s="122"/>
      <c r="X622" s="123"/>
      <c r="Y622" s="123"/>
      <c r="Z622" s="123"/>
      <c r="AA622" s="124"/>
      <c r="AB622" s="124"/>
      <c r="AC622" s="125"/>
      <c r="AD622" s="125"/>
      <c r="AE622" s="125"/>
      <c r="AF622" s="125"/>
      <c r="AG622" s="125"/>
    </row>
    <row r="623" spans="23:33" x14ac:dyDescent="0.2">
      <c r="W623" s="122"/>
      <c r="X623" s="123"/>
      <c r="Y623" s="123"/>
      <c r="Z623" s="123"/>
      <c r="AA623" s="124"/>
      <c r="AB623" s="124"/>
      <c r="AC623" s="125"/>
      <c r="AD623" s="125"/>
      <c r="AE623" s="125"/>
      <c r="AF623" s="125"/>
      <c r="AG623" s="125"/>
    </row>
    <row r="624" spans="23:33" x14ac:dyDescent="0.2">
      <c r="W624" s="122"/>
      <c r="X624" s="123"/>
      <c r="Y624" s="123"/>
      <c r="Z624" s="123"/>
      <c r="AA624" s="124"/>
      <c r="AB624" s="124"/>
      <c r="AC624" s="125"/>
      <c r="AD624" s="125"/>
      <c r="AE624" s="125"/>
      <c r="AF624" s="125"/>
      <c r="AG624" s="125"/>
    </row>
    <row r="625" spans="23:33" x14ac:dyDescent="0.2">
      <c r="W625" s="122"/>
      <c r="X625" s="123"/>
      <c r="Y625" s="123"/>
      <c r="Z625" s="123"/>
      <c r="AA625" s="124"/>
      <c r="AB625" s="124"/>
      <c r="AC625" s="125"/>
      <c r="AD625" s="125"/>
      <c r="AE625" s="125"/>
      <c r="AF625" s="125"/>
      <c r="AG625" s="125"/>
    </row>
    <row r="626" spans="23:33" x14ac:dyDescent="0.2">
      <c r="W626" s="122"/>
      <c r="X626" s="123"/>
      <c r="Y626" s="123"/>
      <c r="Z626" s="123"/>
      <c r="AA626" s="124"/>
      <c r="AB626" s="124"/>
      <c r="AC626" s="125"/>
      <c r="AD626" s="125"/>
      <c r="AE626" s="125"/>
      <c r="AF626" s="125"/>
      <c r="AG626" s="125"/>
    </row>
    <row r="627" spans="23:33" x14ac:dyDescent="0.2">
      <c r="W627" s="122"/>
      <c r="X627" s="123"/>
      <c r="Y627" s="123"/>
      <c r="Z627" s="123"/>
      <c r="AA627" s="124"/>
      <c r="AB627" s="124"/>
      <c r="AC627" s="125"/>
      <c r="AD627" s="125"/>
      <c r="AE627" s="125"/>
      <c r="AF627" s="125"/>
      <c r="AG627" s="125"/>
    </row>
    <row r="628" spans="23:33" x14ac:dyDescent="0.2">
      <c r="W628" s="122"/>
      <c r="X628" s="123"/>
      <c r="Y628" s="123"/>
      <c r="Z628" s="123"/>
      <c r="AA628" s="124"/>
      <c r="AB628" s="124"/>
      <c r="AC628" s="125"/>
      <c r="AD628" s="125"/>
      <c r="AE628" s="125"/>
      <c r="AF628" s="125"/>
      <c r="AG628" s="125"/>
    </row>
    <row r="629" spans="23:33" x14ac:dyDescent="0.2">
      <c r="W629" s="122"/>
      <c r="X629" s="123"/>
      <c r="Y629" s="123"/>
      <c r="Z629" s="123"/>
      <c r="AA629" s="124"/>
      <c r="AB629" s="124"/>
      <c r="AC629" s="125"/>
      <c r="AD629" s="125"/>
      <c r="AE629" s="125"/>
      <c r="AF629" s="125"/>
      <c r="AG629" s="125"/>
    </row>
    <row r="630" spans="23:33" x14ac:dyDescent="0.2">
      <c r="W630" s="122"/>
      <c r="X630" s="123"/>
      <c r="Y630" s="123"/>
      <c r="Z630" s="123"/>
      <c r="AA630" s="124"/>
      <c r="AB630" s="124"/>
      <c r="AC630" s="125"/>
      <c r="AD630" s="125"/>
      <c r="AE630" s="125"/>
      <c r="AF630" s="125"/>
      <c r="AG630" s="125"/>
    </row>
    <row r="631" spans="23:33" x14ac:dyDescent="0.2">
      <c r="W631" s="122"/>
      <c r="X631" s="123"/>
      <c r="Y631" s="123"/>
      <c r="Z631" s="123"/>
      <c r="AA631" s="124"/>
      <c r="AB631" s="124"/>
      <c r="AC631" s="125"/>
      <c r="AD631" s="125"/>
      <c r="AE631" s="125"/>
      <c r="AF631" s="125"/>
      <c r="AG631" s="125"/>
    </row>
    <row r="632" spans="23:33" x14ac:dyDescent="0.2">
      <c r="W632" s="122"/>
      <c r="X632" s="123"/>
      <c r="Y632" s="123"/>
      <c r="Z632" s="123"/>
      <c r="AA632" s="124"/>
      <c r="AB632" s="124"/>
      <c r="AC632" s="125"/>
      <c r="AD632" s="125"/>
      <c r="AE632" s="125"/>
      <c r="AF632" s="125"/>
      <c r="AG632" s="125"/>
    </row>
    <row r="633" spans="23:33" x14ac:dyDescent="0.2">
      <c r="W633" s="122"/>
      <c r="X633" s="123"/>
      <c r="Y633" s="123"/>
      <c r="Z633" s="123"/>
      <c r="AA633" s="124"/>
      <c r="AB633" s="124"/>
      <c r="AC633" s="125"/>
      <c r="AD633" s="125"/>
      <c r="AE633" s="125"/>
      <c r="AF633" s="125"/>
      <c r="AG633" s="125"/>
    </row>
    <row r="634" spans="23:33" x14ac:dyDescent="0.2">
      <c r="W634" s="122"/>
      <c r="X634" s="123"/>
      <c r="Y634" s="123"/>
      <c r="Z634" s="123"/>
      <c r="AA634" s="124"/>
      <c r="AB634" s="124"/>
      <c r="AC634" s="125"/>
      <c r="AD634" s="125"/>
      <c r="AE634" s="125"/>
      <c r="AF634" s="125"/>
      <c r="AG634" s="125"/>
    </row>
    <row r="635" spans="23:33" x14ac:dyDescent="0.2">
      <c r="W635" s="122"/>
      <c r="X635" s="123"/>
      <c r="Y635" s="123"/>
      <c r="Z635" s="123"/>
      <c r="AA635" s="124"/>
      <c r="AB635" s="124"/>
      <c r="AC635" s="125"/>
      <c r="AD635" s="125"/>
      <c r="AE635" s="125"/>
      <c r="AF635" s="125"/>
      <c r="AG635" s="125"/>
    </row>
    <row r="636" spans="23:33" x14ac:dyDescent="0.2">
      <c r="W636" s="122"/>
      <c r="X636" s="123"/>
      <c r="Y636" s="123"/>
      <c r="Z636" s="123"/>
      <c r="AA636" s="124"/>
      <c r="AB636" s="124"/>
      <c r="AC636" s="125"/>
      <c r="AD636" s="125"/>
      <c r="AE636" s="125"/>
      <c r="AF636" s="125"/>
      <c r="AG636" s="125"/>
    </row>
    <row r="637" spans="23:33" x14ac:dyDescent="0.2">
      <c r="W637" s="122"/>
      <c r="X637" s="123"/>
      <c r="Y637" s="123"/>
      <c r="Z637" s="123"/>
      <c r="AA637" s="124"/>
      <c r="AB637" s="124"/>
      <c r="AC637" s="125"/>
      <c r="AD637" s="125"/>
      <c r="AE637" s="125"/>
      <c r="AF637" s="125"/>
      <c r="AG637" s="125"/>
    </row>
    <row r="638" spans="23:33" x14ac:dyDescent="0.2">
      <c r="W638" s="122"/>
      <c r="X638" s="123"/>
      <c r="Y638" s="123"/>
      <c r="Z638" s="123"/>
      <c r="AA638" s="124"/>
      <c r="AB638" s="124"/>
      <c r="AC638" s="125"/>
      <c r="AD638" s="125"/>
      <c r="AE638" s="125"/>
      <c r="AF638" s="125"/>
      <c r="AG638" s="125"/>
    </row>
    <row r="639" spans="23:33" x14ac:dyDescent="0.2">
      <c r="W639" s="122"/>
      <c r="X639" s="123"/>
      <c r="Y639" s="123"/>
      <c r="Z639" s="123"/>
      <c r="AA639" s="124"/>
      <c r="AB639" s="124"/>
      <c r="AC639" s="125"/>
      <c r="AD639" s="125"/>
      <c r="AE639" s="125"/>
      <c r="AF639" s="125"/>
      <c r="AG639" s="125"/>
    </row>
    <row r="640" spans="23:33" x14ac:dyDescent="0.2">
      <c r="W640" s="122"/>
      <c r="X640" s="123"/>
      <c r="Y640" s="123"/>
      <c r="Z640" s="123"/>
      <c r="AA640" s="124"/>
      <c r="AB640" s="124"/>
      <c r="AC640" s="125"/>
      <c r="AD640" s="125"/>
      <c r="AE640" s="125"/>
      <c r="AF640" s="125"/>
      <c r="AG640" s="125"/>
    </row>
    <row r="641" spans="23:33" x14ac:dyDescent="0.2">
      <c r="W641" s="122"/>
      <c r="X641" s="123"/>
      <c r="Y641" s="123"/>
      <c r="Z641" s="123"/>
      <c r="AA641" s="124"/>
      <c r="AB641" s="124"/>
      <c r="AC641" s="125"/>
      <c r="AD641" s="125"/>
      <c r="AE641" s="125"/>
      <c r="AF641" s="125"/>
      <c r="AG641" s="125"/>
    </row>
    <row r="642" spans="23:33" x14ac:dyDescent="0.2">
      <c r="W642" s="122"/>
      <c r="X642" s="123"/>
      <c r="Y642" s="123"/>
      <c r="Z642" s="123"/>
      <c r="AA642" s="124"/>
      <c r="AB642" s="124"/>
      <c r="AC642" s="125"/>
      <c r="AD642" s="125"/>
      <c r="AE642" s="125"/>
      <c r="AF642" s="125"/>
      <c r="AG642" s="125"/>
    </row>
    <row r="643" spans="23:33" x14ac:dyDescent="0.2">
      <c r="W643" s="122"/>
      <c r="X643" s="123"/>
      <c r="Y643" s="123"/>
      <c r="Z643" s="123"/>
      <c r="AA643" s="124"/>
      <c r="AB643" s="124"/>
      <c r="AC643" s="125"/>
      <c r="AD643" s="125"/>
      <c r="AE643" s="125"/>
      <c r="AF643" s="125"/>
      <c r="AG643" s="125"/>
    </row>
    <row r="644" spans="23:33" x14ac:dyDescent="0.2">
      <c r="W644" s="122"/>
      <c r="X644" s="123"/>
      <c r="Y644" s="123"/>
      <c r="Z644" s="123"/>
      <c r="AA644" s="124"/>
      <c r="AB644" s="124"/>
      <c r="AC644" s="125"/>
      <c r="AD644" s="125"/>
      <c r="AE644" s="125"/>
      <c r="AF644" s="125"/>
      <c r="AG644" s="125"/>
    </row>
    <row r="645" spans="23:33" x14ac:dyDescent="0.2">
      <c r="W645" s="122"/>
      <c r="X645" s="123"/>
      <c r="Y645" s="123"/>
      <c r="Z645" s="123"/>
      <c r="AA645" s="124"/>
      <c r="AB645" s="124"/>
      <c r="AC645" s="125"/>
      <c r="AD645" s="125"/>
      <c r="AE645" s="125"/>
      <c r="AF645" s="125"/>
      <c r="AG645" s="125"/>
    </row>
    <row r="646" spans="23:33" x14ac:dyDescent="0.2">
      <c r="W646" s="122"/>
      <c r="X646" s="123"/>
      <c r="Y646" s="123"/>
      <c r="Z646" s="123"/>
      <c r="AA646" s="124"/>
      <c r="AB646" s="124"/>
      <c r="AC646" s="125"/>
      <c r="AD646" s="125"/>
      <c r="AE646" s="125"/>
      <c r="AF646" s="125"/>
      <c r="AG646" s="125"/>
    </row>
    <row r="647" spans="23:33" x14ac:dyDescent="0.2">
      <c r="W647" s="122"/>
      <c r="X647" s="123"/>
      <c r="Y647" s="123"/>
      <c r="Z647" s="123"/>
      <c r="AA647" s="124"/>
      <c r="AB647" s="124"/>
      <c r="AC647" s="125"/>
      <c r="AD647" s="125"/>
      <c r="AE647" s="125"/>
      <c r="AF647" s="125"/>
      <c r="AG647" s="125"/>
    </row>
    <row r="648" spans="23:33" x14ac:dyDescent="0.2">
      <c r="W648" s="122"/>
      <c r="X648" s="123"/>
      <c r="Y648" s="123"/>
      <c r="Z648" s="123"/>
      <c r="AA648" s="124"/>
      <c r="AB648" s="124"/>
      <c r="AC648" s="125"/>
      <c r="AD648" s="125"/>
      <c r="AE648" s="125"/>
      <c r="AF648" s="125"/>
      <c r="AG648" s="125"/>
    </row>
    <row r="649" spans="23:33" x14ac:dyDescent="0.2">
      <c r="W649" s="122"/>
      <c r="X649" s="123"/>
      <c r="Y649" s="123"/>
      <c r="Z649" s="123"/>
      <c r="AA649" s="124"/>
      <c r="AB649" s="124"/>
      <c r="AC649" s="125"/>
      <c r="AD649" s="125"/>
      <c r="AE649" s="125"/>
      <c r="AF649" s="125"/>
      <c r="AG649" s="125"/>
    </row>
    <row r="650" spans="23:33" x14ac:dyDescent="0.2">
      <c r="W650" s="122"/>
      <c r="X650" s="123"/>
      <c r="Y650" s="123"/>
      <c r="Z650" s="123"/>
      <c r="AA650" s="124"/>
      <c r="AB650" s="124"/>
      <c r="AC650" s="125"/>
      <c r="AD650" s="125"/>
      <c r="AE650" s="125"/>
      <c r="AF650" s="125"/>
      <c r="AG650" s="125"/>
    </row>
    <row r="651" spans="23:33" x14ac:dyDescent="0.2">
      <c r="W651" s="122"/>
      <c r="X651" s="123"/>
      <c r="Y651" s="123"/>
      <c r="Z651" s="123"/>
      <c r="AA651" s="124"/>
      <c r="AB651" s="124"/>
      <c r="AC651" s="125"/>
      <c r="AD651" s="125"/>
      <c r="AE651" s="125"/>
      <c r="AF651" s="125"/>
      <c r="AG651" s="125"/>
    </row>
    <row r="652" spans="23:33" x14ac:dyDescent="0.2">
      <c r="W652" s="122"/>
      <c r="X652" s="123"/>
      <c r="Y652" s="123"/>
      <c r="Z652" s="123"/>
      <c r="AA652" s="124"/>
      <c r="AB652" s="124"/>
      <c r="AC652" s="125"/>
      <c r="AD652" s="125"/>
      <c r="AE652" s="125"/>
      <c r="AF652" s="125"/>
      <c r="AG652" s="125"/>
    </row>
    <row r="653" spans="23:33" x14ac:dyDescent="0.2">
      <c r="W653" s="122"/>
      <c r="X653" s="123"/>
      <c r="Y653" s="123"/>
      <c r="Z653" s="123"/>
      <c r="AA653" s="124"/>
      <c r="AB653" s="124"/>
      <c r="AC653" s="125"/>
      <c r="AD653" s="125"/>
      <c r="AE653" s="125"/>
      <c r="AF653" s="125"/>
      <c r="AG653" s="125"/>
    </row>
    <row r="654" spans="23:33" x14ac:dyDescent="0.2">
      <c r="W654" s="122"/>
      <c r="X654" s="123"/>
      <c r="Y654" s="123"/>
      <c r="Z654" s="123"/>
      <c r="AA654" s="124"/>
      <c r="AB654" s="124"/>
      <c r="AC654" s="125"/>
      <c r="AD654" s="125"/>
      <c r="AE654" s="125"/>
      <c r="AF654" s="125"/>
      <c r="AG654" s="125"/>
    </row>
    <row r="655" spans="23:33" x14ac:dyDescent="0.2">
      <c r="W655" s="122"/>
      <c r="X655" s="123"/>
      <c r="Y655" s="123"/>
      <c r="Z655" s="123"/>
      <c r="AA655" s="124"/>
      <c r="AB655" s="124"/>
      <c r="AC655" s="125"/>
      <c r="AD655" s="125"/>
      <c r="AE655" s="125"/>
      <c r="AF655" s="125"/>
      <c r="AG655" s="125"/>
    </row>
    <row r="656" spans="23:33" x14ac:dyDescent="0.2">
      <c r="W656" s="122"/>
      <c r="X656" s="123"/>
      <c r="Y656" s="123"/>
      <c r="Z656" s="123"/>
      <c r="AA656" s="124"/>
      <c r="AB656" s="124"/>
      <c r="AC656" s="125"/>
      <c r="AD656" s="125"/>
      <c r="AE656" s="125"/>
      <c r="AF656" s="125"/>
      <c r="AG656" s="125"/>
    </row>
    <row r="657" spans="23:33" x14ac:dyDescent="0.2">
      <c r="W657" s="122"/>
      <c r="X657" s="123"/>
      <c r="Y657" s="123"/>
      <c r="Z657" s="123"/>
      <c r="AA657" s="124"/>
      <c r="AB657" s="124"/>
      <c r="AC657" s="125"/>
      <c r="AD657" s="125"/>
      <c r="AE657" s="125"/>
      <c r="AF657" s="125"/>
      <c r="AG657" s="125"/>
    </row>
    <row r="658" spans="23:33" x14ac:dyDescent="0.2">
      <c r="W658" s="122"/>
      <c r="X658" s="123"/>
      <c r="Y658" s="123"/>
      <c r="Z658" s="123"/>
      <c r="AA658" s="124"/>
      <c r="AB658" s="124"/>
      <c r="AC658" s="125"/>
      <c r="AD658" s="125"/>
      <c r="AE658" s="125"/>
      <c r="AF658" s="125"/>
      <c r="AG658" s="125"/>
    </row>
    <row r="659" spans="23:33" x14ac:dyDescent="0.2">
      <c r="W659" s="122"/>
      <c r="X659" s="123"/>
      <c r="Y659" s="123"/>
      <c r="Z659" s="123"/>
      <c r="AA659" s="124"/>
      <c r="AB659" s="124"/>
      <c r="AC659" s="125"/>
      <c r="AD659" s="125"/>
      <c r="AE659" s="125"/>
      <c r="AF659" s="125"/>
      <c r="AG659" s="125"/>
    </row>
    <row r="660" spans="23:33" x14ac:dyDescent="0.2">
      <c r="W660" s="122"/>
      <c r="X660" s="123"/>
      <c r="Y660" s="123"/>
      <c r="Z660" s="123"/>
      <c r="AA660" s="124"/>
      <c r="AB660" s="124"/>
      <c r="AC660" s="125"/>
      <c r="AD660" s="125"/>
      <c r="AE660" s="125"/>
      <c r="AF660" s="125"/>
      <c r="AG660" s="125"/>
    </row>
    <row r="661" spans="23:33" x14ac:dyDescent="0.2">
      <c r="W661" s="122"/>
      <c r="X661" s="123"/>
      <c r="Y661" s="123"/>
      <c r="Z661" s="123"/>
      <c r="AA661" s="124"/>
      <c r="AB661" s="124"/>
      <c r="AC661" s="125"/>
      <c r="AD661" s="125"/>
      <c r="AE661" s="125"/>
      <c r="AF661" s="125"/>
      <c r="AG661" s="125"/>
    </row>
    <row r="662" spans="23:33" x14ac:dyDescent="0.2">
      <c r="W662" s="122"/>
      <c r="X662" s="123"/>
      <c r="Y662" s="123"/>
      <c r="Z662" s="123"/>
      <c r="AA662" s="124"/>
      <c r="AB662" s="124"/>
      <c r="AC662" s="125"/>
      <c r="AD662" s="125"/>
      <c r="AE662" s="125"/>
      <c r="AF662" s="125"/>
      <c r="AG662" s="125"/>
    </row>
    <row r="663" spans="23:33" x14ac:dyDescent="0.2">
      <c r="W663" s="122"/>
      <c r="X663" s="123"/>
      <c r="Y663" s="123"/>
      <c r="Z663" s="123"/>
      <c r="AA663" s="124"/>
      <c r="AB663" s="124"/>
      <c r="AC663" s="125"/>
      <c r="AD663" s="125"/>
      <c r="AE663" s="125"/>
      <c r="AF663" s="125"/>
      <c r="AG663" s="125"/>
    </row>
    <row r="664" spans="23:33" x14ac:dyDescent="0.2">
      <c r="W664" s="122"/>
      <c r="X664" s="123"/>
      <c r="Y664" s="123"/>
      <c r="Z664" s="123"/>
      <c r="AA664" s="124"/>
      <c r="AB664" s="124"/>
      <c r="AC664" s="125"/>
      <c r="AD664" s="125"/>
      <c r="AE664" s="125"/>
      <c r="AF664" s="125"/>
      <c r="AG664" s="125"/>
    </row>
    <row r="665" spans="23:33" x14ac:dyDescent="0.2">
      <c r="W665" s="122"/>
      <c r="X665" s="123"/>
      <c r="Y665" s="123"/>
      <c r="Z665" s="123"/>
      <c r="AA665" s="124"/>
      <c r="AB665" s="124"/>
      <c r="AC665" s="125"/>
      <c r="AD665" s="125"/>
      <c r="AE665" s="125"/>
      <c r="AF665" s="125"/>
      <c r="AG665" s="125"/>
    </row>
    <row r="666" spans="23:33" x14ac:dyDescent="0.2">
      <c r="W666" s="122"/>
      <c r="X666" s="123"/>
      <c r="Y666" s="123"/>
      <c r="Z666" s="123"/>
      <c r="AA666" s="124"/>
      <c r="AB666" s="124"/>
      <c r="AC666" s="125"/>
      <c r="AD666" s="125"/>
      <c r="AE666" s="125"/>
      <c r="AF666" s="125"/>
      <c r="AG666" s="125"/>
    </row>
    <row r="667" spans="23:33" x14ac:dyDescent="0.2">
      <c r="W667" s="122"/>
      <c r="X667" s="123"/>
      <c r="Y667" s="123"/>
      <c r="Z667" s="123"/>
      <c r="AA667" s="124"/>
      <c r="AB667" s="124"/>
      <c r="AC667" s="125"/>
      <c r="AD667" s="125"/>
      <c r="AE667" s="125"/>
      <c r="AF667" s="125"/>
      <c r="AG667" s="125"/>
    </row>
    <row r="668" spans="23:33" x14ac:dyDescent="0.2">
      <c r="W668" s="122"/>
      <c r="X668" s="123"/>
      <c r="Y668" s="123"/>
      <c r="Z668" s="123"/>
      <c r="AA668" s="124"/>
      <c r="AB668" s="124"/>
      <c r="AC668" s="125"/>
      <c r="AD668" s="125"/>
      <c r="AE668" s="125"/>
      <c r="AF668" s="125"/>
      <c r="AG668" s="125"/>
    </row>
    <row r="669" spans="23:33" x14ac:dyDescent="0.2">
      <c r="W669" s="122"/>
      <c r="X669" s="123"/>
      <c r="Y669" s="123"/>
      <c r="Z669" s="123"/>
      <c r="AA669" s="124"/>
      <c r="AB669" s="124"/>
      <c r="AC669" s="125"/>
      <c r="AD669" s="125"/>
      <c r="AE669" s="125"/>
      <c r="AF669" s="125"/>
      <c r="AG669" s="125"/>
    </row>
    <row r="670" spans="23:33" x14ac:dyDescent="0.2">
      <c r="W670" s="122"/>
      <c r="X670" s="123"/>
      <c r="Y670" s="123"/>
      <c r="Z670" s="123"/>
      <c r="AA670" s="124"/>
      <c r="AB670" s="124"/>
      <c r="AC670" s="125"/>
      <c r="AD670" s="125"/>
      <c r="AE670" s="125"/>
      <c r="AF670" s="125"/>
      <c r="AG670" s="125"/>
    </row>
    <row r="671" spans="23:33" x14ac:dyDescent="0.2">
      <c r="W671" s="122"/>
      <c r="X671" s="123"/>
      <c r="Y671" s="123"/>
      <c r="Z671" s="123"/>
      <c r="AA671" s="124"/>
      <c r="AB671" s="124"/>
      <c r="AC671" s="125"/>
      <c r="AD671" s="125"/>
      <c r="AE671" s="125"/>
      <c r="AF671" s="125"/>
      <c r="AG671" s="125"/>
    </row>
    <row r="672" spans="23:33" x14ac:dyDescent="0.2">
      <c r="W672" s="122"/>
      <c r="X672" s="123"/>
      <c r="Y672" s="123"/>
      <c r="Z672" s="123"/>
      <c r="AA672" s="124"/>
      <c r="AB672" s="124"/>
      <c r="AC672" s="125"/>
      <c r="AD672" s="125"/>
      <c r="AE672" s="125"/>
      <c r="AF672" s="125"/>
      <c r="AG672" s="125"/>
    </row>
    <row r="673" spans="23:33" x14ac:dyDescent="0.2">
      <c r="W673" s="122"/>
      <c r="X673" s="123"/>
      <c r="Y673" s="123"/>
      <c r="Z673" s="123"/>
      <c r="AA673" s="124"/>
      <c r="AB673" s="124"/>
      <c r="AC673" s="125"/>
      <c r="AD673" s="125"/>
      <c r="AE673" s="125"/>
      <c r="AF673" s="125"/>
      <c r="AG673" s="125"/>
    </row>
    <row r="674" spans="23:33" x14ac:dyDescent="0.2">
      <c r="W674" s="122"/>
      <c r="X674" s="123"/>
      <c r="Y674" s="123"/>
      <c r="Z674" s="123"/>
      <c r="AA674" s="124"/>
      <c r="AB674" s="124"/>
      <c r="AC674" s="125"/>
      <c r="AD674" s="125"/>
      <c r="AE674" s="125"/>
      <c r="AF674" s="125"/>
      <c r="AG674" s="125"/>
    </row>
    <row r="675" spans="23:33" x14ac:dyDescent="0.2">
      <c r="W675" s="122"/>
      <c r="X675" s="123"/>
      <c r="Y675" s="123"/>
      <c r="Z675" s="123"/>
      <c r="AA675" s="124"/>
      <c r="AB675" s="124"/>
      <c r="AC675" s="125"/>
      <c r="AD675" s="125"/>
      <c r="AE675" s="125"/>
      <c r="AF675" s="125"/>
      <c r="AG675" s="125"/>
    </row>
    <row r="676" spans="23:33" x14ac:dyDescent="0.2">
      <c r="W676" s="122"/>
      <c r="X676" s="123"/>
      <c r="Y676" s="123"/>
      <c r="Z676" s="123"/>
      <c r="AA676" s="124"/>
      <c r="AB676" s="124"/>
      <c r="AC676" s="125"/>
      <c r="AD676" s="125"/>
      <c r="AE676" s="125"/>
      <c r="AF676" s="125"/>
      <c r="AG676" s="125"/>
    </row>
    <row r="677" spans="23:33" x14ac:dyDescent="0.2">
      <c r="W677" s="122"/>
      <c r="X677" s="123"/>
      <c r="Y677" s="123"/>
      <c r="Z677" s="123"/>
      <c r="AA677" s="124"/>
      <c r="AB677" s="124"/>
      <c r="AC677" s="125"/>
      <c r="AD677" s="125"/>
      <c r="AE677" s="125"/>
      <c r="AF677" s="125"/>
      <c r="AG677" s="125"/>
    </row>
    <row r="678" spans="23:33" x14ac:dyDescent="0.2">
      <c r="W678" s="122"/>
      <c r="X678" s="123"/>
      <c r="Y678" s="123"/>
      <c r="Z678" s="123"/>
      <c r="AA678" s="124"/>
      <c r="AB678" s="124"/>
      <c r="AC678" s="125"/>
      <c r="AD678" s="125"/>
      <c r="AE678" s="125"/>
      <c r="AF678" s="125"/>
      <c r="AG678" s="125"/>
    </row>
    <row r="679" spans="23:33" x14ac:dyDescent="0.2">
      <c r="W679" s="122"/>
      <c r="X679" s="123"/>
      <c r="Y679" s="123"/>
      <c r="Z679" s="123"/>
      <c r="AA679" s="124"/>
      <c r="AB679" s="124"/>
      <c r="AC679" s="125"/>
      <c r="AD679" s="125"/>
      <c r="AE679" s="125"/>
      <c r="AF679" s="125"/>
      <c r="AG679" s="125"/>
    </row>
    <row r="680" spans="23:33" x14ac:dyDescent="0.2">
      <c r="W680" s="122"/>
      <c r="X680" s="123"/>
      <c r="Y680" s="123"/>
      <c r="Z680" s="123"/>
      <c r="AA680" s="124"/>
      <c r="AB680" s="124"/>
      <c r="AC680" s="125"/>
      <c r="AD680" s="125"/>
      <c r="AE680" s="125"/>
      <c r="AF680" s="125"/>
      <c r="AG680" s="125"/>
    </row>
    <row r="681" spans="23:33" x14ac:dyDescent="0.2">
      <c r="W681" s="122"/>
      <c r="X681" s="123"/>
      <c r="Y681" s="123"/>
      <c r="Z681" s="123"/>
      <c r="AA681" s="124"/>
      <c r="AB681" s="124"/>
      <c r="AC681" s="125"/>
      <c r="AD681" s="125"/>
      <c r="AE681" s="125"/>
      <c r="AF681" s="125"/>
      <c r="AG681" s="125"/>
    </row>
    <row r="682" spans="23:33" x14ac:dyDescent="0.2">
      <c r="W682" s="122"/>
      <c r="X682" s="123"/>
      <c r="Y682" s="123"/>
      <c r="Z682" s="123"/>
      <c r="AA682" s="124"/>
      <c r="AB682" s="124"/>
      <c r="AC682" s="125"/>
      <c r="AD682" s="125"/>
      <c r="AE682" s="125"/>
      <c r="AF682" s="125"/>
      <c r="AG682" s="125"/>
    </row>
    <row r="683" spans="23:33" x14ac:dyDescent="0.2">
      <c r="W683" s="122"/>
      <c r="X683" s="123"/>
      <c r="Y683" s="123"/>
      <c r="Z683" s="123"/>
      <c r="AA683" s="124"/>
      <c r="AB683" s="124"/>
      <c r="AC683" s="125"/>
      <c r="AD683" s="125"/>
      <c r="AE683" s="125"/>
      <c r="AF683" s="125"/>
      <c r="AG683" s="125"/>
    </row>
    <row r="684" spans="23:33" x14ac:dyDescent="0.2">
      <c r="W684" s="122"/>
      <c r="X684" s="123"/>
      <c r="Y684" s="123"/>
      <c r="Z684" s="123"/>
      <c r="AA684" s="124"/>
      <c r="AB684" s="124"/>
      <c r="AC684" s="125"/>
      <c r="AD684" s="125"/>
      <c r="AE684" s="125"/>
      <c r="AF684" s="125"/>
      <c r="AG684" s="125"/>
    </row>
    <row r="685" spans="23:33" x14ac:dyDescent="0.2">
      <c r="W685" s="122"/>
      <c r="X685" s="123"/>
      <c r="Y685" s="123"/>
      <c r="Z685" s="123"/>
      <c r="AA685" s="124"/>
      <c r="AB685" s="124"/>
      <c r="AC685" s="125"/>
      <c r="AD685" s="125"/>
      <c r="AE685" s="125"/>
      <c r="AF685" s="125"/>
      <c r="AG685" s="125"/>
    </row>
    <row r="686" spans="23:33" x14ac:dyDescent="0.2">
      <c r="W686" s="122"/>
      <c r="X686" s="123"/>
      <c r="Y686" s="123"/>
      <c r="Z686" s="123"/>
      <c r="AA686" s="124"/>
      <c r="AB686" s="124"/>
      <c r="AC686" s="125"/>
      <c r="AD686" s="125"/>
      <c r="AE686" s="125"/>
      <c r="AF686" s="125"/>
      <c r="AG686" s="125"/>
    </row>
    <row r="687" spans="23:33" x14ac:dyDescent="0.2">
      <c r="W687" s="122"/>
      <c r="X687" s="123"/>
      <c r="Y687" s="123"/>
      <c r="Z687" s="123"/>
      <c r="AA687" s="124"/>
      <c r="AB687" s="124"/>
      <c r="AC687" s="125"/>
      <c r="AD687" s="125"/>
      <c r="AE687" s="125"/>
      <c r="AF687" s="125"/>
      <c r="AG687" s="125"/>
    </row>
    <row r="688" spans="23:33" x14ac:dyDescent="0.2">
      <c r="W688" s="122"/>
      <c r="X688" s="123"/>
      <c r="Y688" s="123"/>
      <c r="Z688" s="123"/>
      <c r="AA688" s="124"/>
      <c r="AB688" s="124"/>
      <c r="AC688" s="125"/>
      <c r="AD688" s="125"/>
      <c r="AE688" s="125"/>
      <c r="AF688" s="125"/>
      <c r="AG688" s="125"/>
    </row>
    <row r="689" spans="23:33" x14ac:dyDescent="0.2">
      <c r="W689" s="122"/>
      <c r="X689" s="123"/>
      <c r="Y689" s="123"/>
      <c r="Z689" s="123"/>
      <c r="AA689" s="124"/>
      <c r="AB689" s="124"/>
      <c r="AC689" s="125"/>
      <c r="AD689" s="125"/>
      <c r="AE689" s="125"/>
      <c r="AF689" s="125"/>
      <c r="AG689" s="125"/>
    </row>
    <row r="690" spans="23:33" x14ac:dyDescent="0.2">
      <c r="W690" s="122"/>
      <c r="X690" s="123"/>
      <c r="Y690" s="123"/>
      <c r="Z690" s="123"/>
      <c r="AA690" s="124"/>
      <c r="AB690" s="124"/>
      <c r="AC690" s="125"/>
      <c r="AD690" s="125"/>
      <c r="AE690" s="125"/>
      <c r="AF690" s="125"/>
      <c r="AG690" s="125"/>
    </row>
    <row r="691" spans="23:33" x14ac:dyDescent="0.2">
      <c r="W691" s="122"/>
      <c r="X691" s="123"/>
      <c r="Y691" s="123"/>
      <c r="Z691" s="123"/>
      <c r="AA691" s="124"/>
      <c r="AB691" s="124"/>
      <c r="AC691" s="125"/>
      <c r="AD691" s="125"/>
      <c r="AE691" s="125"/>
      <c r="AF691" s="125"/>
      <c r="AG691" s="125"/>
    </row>
    <row r="692" spans="23:33" x14ac:dyDescent="0.2">
      <c r="W692" s="122"/>
      <c r="X692" s="123"/>
      <c r="Y692" s="123"/>
      <c r="Z692" s="123"/>
      <c r="AA692" s="124"/>
      <c r="AB692" s="124"/>
      <c r="AC692" s="125"/>
      <c r="AD692" s="125"/>
      <c r="AE692" s="125"/>
      <c r="AF692" s="125"/>
      <c r="AG692" s="125"/>
    </row>
    <row r="693" spans="23:33" x14ac:dyDescent="0.2">
      <c r="W693" s="122"/>
      <c r="X693" s="123"/>
      <c r="Y693" s="123"/>
      <c r="Z693" s="123"/>
      <c r="AA693" s="124"/>
      <c r="AB693" s="124"/>
      <c r="AC693" s="125"/>
      <c r="AD693" s="125"/>
      <c r="AE693" s="125"/>
      <c r="AF693" s="125"/>
      <c r="AG693" s="125"/>
    </row>
    <row r="694" spans="23:33" x14ac:dyDescent="0.2">
      <c r="W694" s="122"/>
      <c r="X694" s="123"/>
      <c r="Y694" s="123"/>
      <c r="Z694" s="123"/>
      <c r="AA694" s="124"/>
      <c r="AB694" s="124"/>
      <c r="AC694" s="125"/>
      <c r="AD694" s="125"/>
      <c r="AE694" s="125"/>
      <c r="AF694" s="125"/>
      <c r="AG694" s="125"/>
    </row>
    <row r="695" spans="23:33" x14ac:dyDescent="0.2">
      <c r="W695" s="122"/>
      <c r="X695" s="123"/>
      <c r="Y695" s="123"/>
      <c r="Z695" s="123"/>
      <c r="AA695" s="124"/>
      <c r="AB695" s="124"/>
      <c r="AC695" s="125"/>
      <c r="AD695" s="125"/>
      <c r="AE695" s="125"/>
      <c r="AF695" s="125"/>
      <c r="AG695" s="125"/>
    </row>
    <row r="696" spans="23:33" x14ac:dyDescent="0.2">
      <c r="W696" s="122"/>
      <c r="X696" s="123"/>
      <c r="Y696" s="123"/>
      <c r="Z696" s="123"/>
      <c r="AA696" s="124"/>
      <c r="AB696" s="124"/>
      <c r="AC696" s="125"/>
      <c r="AD696" s="125"/>
      <c r="AE696" s="125"/>
      <c r="AF696" s="125"/>
      <c r="AG696" s="125"/>
    </row>
    <row r="697" spans="23:33" x14ac:dyDescent="0.2">
      <c r="W697" s="122"/>
      <c r="X697" s="123"/>
      <c r="Y697" s="123"/>
      <c r="Z697" s="123"/>
      <c r="AA697" s="124"/>
      <c r="AB697" s="124"/>
      <c r="AC697" s="125"/>
      <c r="AD697" s="125"/>
      <c r="AE697" s="125"/>
      <c r="AF697" s="125"/>
      <c r="AG697" s="125"/>
    </row>
    <row r="698" spans="23:33" x14ac:dyDescent="0.2">
      <c r="W698" s="122"/>
      <c r="X698" s="123"/>
      <c r="Y698" s="123"/>
      <c r="Z698" s="123"/>
      <c r="AA698" s="124"/>
      <c r="AB698" s="124"/>
      <c r="AC698" s="125"/>
      <c r="AD698" s="125"/>
      <c r="AE698" s="125"/>
      <c r="AF698" s="125"/>
      <c r="AG698" s="125"/>
    </row>
    <row r="699" spans="23:33" x14ac:dyDescent="0.2">
      <c r="W699" s="122"/>
      <c r="X699" s="123"/>
      <c r="Y699" s="123"/>
      <c r="Z699" s="123"/>
      <c r="AA699" s="124"/>
      <c r="AB699" s="124"/>
      <c r="AC699" s="125"/>
      <c r="AD699" s="125"/>
      <c r="AE699" s="125"/>
      <c r="AF699" s="125"/>
      <c r="AG699" s="125"/>
    </row>
    <row r="700" spans="23:33" x14ac:dyDescent="0.2">
      <c r="W700" s="122"/>
      <c r="X700" s="123"/>
      <c r="Y700" s="123"/>
      <c r="Z700" s="123"/>
      <c r="AA700" s="124"/>
      <c r="AB700" s="124"/>
      <c r="AC700" s="125"/>
      <c r="AD700" s="125"/>
      <c r="AE700" s="125"/>
      <c r="AF700" s="125"/>
      <c r="AG700" s="125"/>
    </row>
    <row r="701" spans="23:33" x14ac:dyDescent="0.2">
      <c r="W701" s="122"/>
      <c r="X701" s="123"/>
      <c r="Y701" s="123"/>
      <c r="Z701" s="123"/>
      <c r="AA701" s="124"/>
      <c r="AB701" s="124"/>
      <c r="AC701" s="125"/>
      <c r="AD701" s="125"/>
      <c r="AE701" s="125"/>
      <c r="AF701" s="125"/>
      <c r="AG701" s="125"/>
    </row>
    <row r="702" spans="23:33" x14ac:dyDescent="0.2">
      <c r="W702" s="122"/>
      <c r="X702" s="123"/>
      <c r="Y702" s="123"/>
      <c r="Z702" s="123"/>
      <c r="AA702" s="124"/>
      <c r="AB702" s="124"/>
      <c r="AC702" s="125"/>
      <c r="AD702" s="125"/>
      <c r="AE702" s="125"/>
      <c r="AF702" s="125"/>
      <c r="AG702" s="125"/>
    </row>
    <row r="703" spans="23:33" x14ac:dyDescent="0.2">
      <c r="W703" s="122"/>
      <c r="X703" s="123"/>
      <c r="Y703" s="123"/>
      <c r="Z703" s="123"/>
      <c r="AA703" s="124"/>
      <c r="AB703" s="124"/>
      <c r="AC703" s="125"/>
      <c r="AD703" s="125"/>
      <c r="AE703" s="125"/>
      <c r="AF703" s="125"/>
      <c r="AG703" s="125"/>
    </row>
    <row r="704" spans="23:33" x14ac:dyDescent="0.2">
      <c r="W704" s="122"/>
      <c r="X704" s="123"/>
      <c r="Y704" s="123"/>
      <c r="Z704" s="123"/>
      <c r="AA704" s="124"/>
      <c r="AB704" s="124"/>
      <c r="AC704" s="125"/>
      <c r="AD704" s="125"/>
      <c r="AE704" s="125"/>
      <c r="AF704" s="125"/>
      <c r="AG704" s="125"/>
    </row>
    <row r="705" spans="23:33" x14ac:dyDescent="0.2">
      <c r="W705" s="122"/>
      <c r="X705" s="123"/>
      <c r="Y705" s="123"/>
      <c r="Z705" s="123"/>
      <c r="AA705" s="124"/>
      <c r="AB705" s="124"/>
      <c r="AC705" s="125"/>
      <c r="AD705" s="125"/>
      <c r="AE705" s="125"/>
      <c r="AF705" s="125"/>
      <c r="AG705" s="125"/>
    </row>
    <row r="706" spans="23:33" x14ac:dyDescent="0.2">
      <c r="W706" s="122"/>
      <c r="X706" s="123"/>
      <c r="Y706" s="123"/>
      <c r="Z706" s="123"/>
      <c r="AA706" s="124"/>
      <c r="AB706" s="124"/>
      <c r="AC706" s="125"/>
      <c r="AD706" s="125"/>
      <c r="AE706" s="125"/>
      <c r="AF706" s="125"/>
      <c r="AG706" s="125"/>
    </row>
    <row r="707" spans="23:33" x14ac:dyDescent="0.2">
      <c r="W707" s="122"/>
      <c r="X707" s="123"/>
      <c r="Y707" s="123"/>
      <c r="Z707" s="123"/>
      <c r="AA707" s="124"/>
      <c r="AB707" s="124"/>
      <c r="AC707" s="125"/>
      <c r="AD707" s="125"/>
      <c r="AE707" s="125"/>
      <c r="AF707" s="125"/>
      <c r="AG707" s="125"/>
    </row>
    <row r="708" spans="23:33" x14ac:dyDescent="0.2">
      <c r="W708" s="122"/>
      <c r="X708" s="123"/>
      <c r="Y708" s="123"/>
      <c r="Z708" s="123"/>
      <c r="AA708" s="124"/>
      <c r="AB708" s="124"/>
      <c r="AC708" s="125"/>
      <c r="AD708" s="125"/>
      <c r="AE708" s="125"/>
      <c r="AF708" s="125"/>
      <c r="AG708" s="125"/>
    </row>
    <row r="709" spans="23:33" x14ac:dyDescent="0.2">
      <c r="W709" s="122"/>
      <c r="X709" s="123"/>
      <c r="Y709" s="123"/>
      <c r="Z709" s="123"/>
      <c r="AA709" s="124"/>
      <c r="AB709" s="124"/>
      <c r="AC709" s="125"/>
      <c r="AD709" s="125"/>
      <c r="AE709" s="125"/>
      <c r="AF709" s="125"/>
      <c r="AG709" s="125"/>
    </row>
    <row r="710" spans="23:33" x14ac:dyDescent="0.2">
      <c r="W710" s="122"/>
      <c r="X710" s="123"/>
      <c r="Y710" s="123"/>
      <c r="Z710" s="123"/>
      <c r="AA710" s="124"/>
      <c r="AB710" s="124"/>
      <c r="AC710" s="125"/>
      <c r="AD710" s="125"/>
      <c r="AE710" s="125"/>
      <c r="AF710" s="125"/>
      <c r="AG710" s="125"/>
    </row>
    <row r="711" spans="23:33" x14ac:dyDescent="0.2">
      <c r="W711" s="122"/>
      <c r="X711" s="123"/>
      <c r="Y711" s="123"/>
      <c r="Z711" s="123"/>
      <c r="AA711" s="124"/>
      <c r="AB711" s="124"/>
      <c r="AC711" s="125"/>
      <c r="AD711" s="125"/>
      <c r="AE711" s="125"/>
      <c r="AF711" s="125"/>
      <c r="AG711" s="125"/>
    </row>
    <row r="712" spans="23:33" x14ac:dyDescent="0.2">
      <c r="W712" s="122"/>
      <c r="X712" s="123"/>
      <c r="Y712" s="123"/>
      <c r="Z712" s="123"/>
      <c r="AA712" s="124"/>
      <c r="AB712" s="124"/>
      <c r="AC712" s="125"/>
      <c r="AD712" s="125"/>
      <c r="AE712" s="125"/>
      <c r="AF712" s="125"/>
      <c r="AG712" s="125"/>
    </row>
    <row r="713" spans="23:33" x14ac:dyDescent="0.2">
      <c r="W713" s="122"/>
      <c r="X713" s="123"/>
      <c r="Y713" s="123"/>
      <c r="Z713" s="123"/>
      <c r="AA713" s="124"/>
      <c r="AB713" s="124"/>
      <c r="AC713" s="125"/>
      <c r="AD713" s="125"/>
      <c r="AE713" s="125"/>
      <c r="AF713" s="125"/>
      <c r="AG713" s="125"/>
    </row>
    <row r="714" spans="23:33" x14ac:dyDescent="0.2">
      <c r="W714" s="122"/>
      <c r="X714" s="123"/>
      <c r="Y714" s="123"/>
      <c r="Z714" s="123"/>
      <c r="AA714" s="124"/>
      <c r="AB714" s="124"/>
      <c r="AC714" s="125"/>
      <c r="AD714" s="125"/>
      <c r="AE714" s="125"/>
      <c r="AF714" s="125"/>
      <c r="AG714" s="125"/>
    </row>
    <row r="715" spans="23:33" x14ac:dyDescent="0.2">
      <c r="W715" s="122"/>
      <c r="X715" s="123"/>
      <c r="Y715" s="123"/>
      <c r="Z715" s="123"/>
      <c r="AA715" s="124"/>
      <c r="AB715" s="124"/>
      <c r="AC715" s="125"/>
      <c r="AD715" s="125"/>
      <c r="AE715" s="125"/>
      <c r="AF715" s="125"/>
      <c r="AG715" s="125"/>
    </row>
    <row r="716" spans="23:33" x14ac:dyDescent="0.2">
      <c r="W716" s="122"/>
      <c r="X716" s="123"/>
      <c r="Y716" s="123"/>
      <c r="Z716" s="123"/>
      <c r="AA716" s="124"/>
      <c r="AB716" s="124"/>
      <c r="AC716" s="125"/>
      <c r="AD716" s="125"/>
      <c r="AE716" s="125"/>
      <c r="AF716" s="125"/>
      <c r="AG716" s="125"/>
    </row>
    <row r="717" spans="23:33" x14ac:dyDescent="0.2">
      <c r="W717" s="122"/>
      <c r="X717" s="123"/>
      <c r="Y717" s="123"/>
      <c r="Z717" s="123"/>
      <c r="AA717" s="124"/>
      <c r="AB717" s="124"/>
      <c r="AC717" s="125"/>
      <c r="AD717" s="125"/>
      <c r="AE717" s="125"/>
      <c r="AF717" s="125"/>
      <c r="AG717" s="125"/>
    </row>
    <row r="718" spans="23:33" x14ac:dyDescent="0.2">
      <c r="W718" s="122"/>
      <c r="X718" s="123"/>
      <c r="Y718" s="123"/>
      <c r="Z718" s="123"/>
      <c r="AA718" s="124"/>
      <c r="AB718" s="124"/>
      <c r="AC718" s="125"/>
      <c r="AD718" s="125"/>
      <c r="AE718" s="125"/>
      <c r="AF718" s="125"/>
      <c r="AG718" s="125"/>
    </row>
    <row r="719" spans="23:33" x14ac:dyDescent="0.2">
      <c r="W719" s="122"/>
      <c r="X719" s="123"/>
      <c r="Y719" s="123"/>
      <c r="Z719" s="123"/>
      <c r="AA719" s="124"/>
      <c r="AB719" s="124"/>
      <c r="AC719" s="125"/>
      <c r="AD719" s="125"/>
      <c r="AE719" s="125"/>
      <c r="AF719" s="125"/>
      <c r="AG719" s="125"/>
    </row>
    <row r="720" spans="23:33" x14ac:dyDescent="0.2">
      <c r="W720" s="122"/>
      <c r="X720" s="123"/>
      <c r="Y720" s="123"/>
      <c r="Z720" s="123"/>
      <c r="AA720" s="124"/>
      <c r="AB720" s="124"/>
      <c r="AC720" s="125"/>
      <c r="AD720" s="125"/>
      <c r="AE720" s="125"/>
      <c r="AF720" s="125"/>
      <c r="AG720" s="125"/>
    </row>
    <row r="721" spans="23:33" x14ac:dyDescent="0.2">
      <c r="W721" s="122"/>
      <c r="X721" s="123"/>
      <c r="Y721" s="123"/>
      <c r="Z721" s="123"/>
      <c r="AA721" s="124"/>
      <c r="AB721" s="124"/>
      <c r="AC721" s="125"/>
      <c r="AD721" s="125"/>
      <c r="AE721" s="125"/>
      <c r="AF721" s="125"/>
      <c r="AG721" s="125"/>
    </row>
    <row r="722" spans="23:33" x14ac:dyDescent="0.2">
      <c r="W722" s="122"/>
      <c r="X722" s="123"/>
      <c r="Y722" s="123"/>
      <c r="Z722" s="123"/>
      <c r="AA722" s="124"/>
      <c r="AB722" s="124"/>
      <c r="AC722" s="125"/>
      <c r="AD722" s="125"/>
      <c r="AE722" s="125"/>
      <c r="AF722" s="125"/>
      <c r="AG722" s="125"/>
    </row>
    <row r="723" spans="23:33" x14ac:dyDescent="0.2">
      <c r="W723" s="122"/>
      <c r="X723" s="123"/>
      <c r="Y723" s="123"/>
      <c r="Z723" s="123"/>
      <c r="AA723" s="124"/>
      <c r="AB723" s="124"/>
      <c r="AC723" s="125"/>
      <c r="AD723" s="125"/>
      <c r="AE723" s="125"/>
      <c r="AF723" s="125"/>
      <c r="AG723" s="125"/>
    </row>
    <row r="724" spans="23:33" x14ac:dyDescent="0.2">
      <c r="W724" s="122"/>
      <c r="X724" s="123"/>
      <c r="Y724" s="123"/>
      <c r="Z724" s="123"/>
      <c r="AA724" s="124"/>
      <c r="AB724" s="124"/>
      <c r="AC724" s="125"/>
      <c r="AD724" s="125"/>
      <c r="AE724" s="125"/>
      <c r="AF724" s="125"/>
      <c r="AG724" s="125"/>
    </row>
    <row r="725" spans="23:33" x14ac:dyDescent="0.2">
      <c r="W725" s="122"/>
      <c r="X725" s="123"/>
      <c r="Y725" s="123"/>
      <c r="Z725" s="123"/>
      <c r="AA725" s="124"/>
      <c r="AB725" s="124"/>
      <c r="AC725" s="125"/>
      <c r="AD725" s="125"/>
      <c r="AE725" s="125"/>
      <c r="AF725" s="125"/>
      <c r="AG725" s="125"/>
    </row>
    <row r="726" spans="23:33" x14ac:dyDescent="0.2">
      <c r="W726" s="122"/>
      <c r="X726" s="123"/>
      <c r="Y726" s="123"/>
      <c r="Z726" s="123"/>
      <c r="AA726" s="124"/>
      <c r="AB726" s="124"/>
      <c r="AC726" s="125"/>
      <c r="AD726" s="125"/>
      <c r="AE726" s="125"/>
      <c r="AF726" s="125"/>
      <c r="AG726" s="125"/>
    </row>
    <row r="727" spans="23:33" x14ac:dyDescent="0.2">
      <c r="W727" s="122"/>
      <c r="X727" s="123"/>
      <c r="Y727" s="123"/>
      <c r="Z727" s="123"/>
      <c r="AA727" s="124"/>
      <c r="AB727" s="124"/>
      <c r="AC727" s="125"/>
      <c r="AD727" s="125"/>
      <c r="AE727" s="125"/>
      <c r="AF727" s="125"/>
      <c r="AG727" s="125"/>
    </row>
    <row r="728" spans="23:33" x14ac:dyDescent="0.2">
      <c r="W728" s="122"/>
      <c r="X728" s="123"/>
      <c r="Y728" s="123"/>
      <c r="Z728" s="123"/>
      <c r="AA728" s="124"/>
      <c r="AB728" s="124"/>
      <c r="AC728" s="125"/>
      <c r="AD728" s="125"/>
      <c r="AE728" s="125"/>
      <c r="AF728" s="125"/>
      <c r="AG728" s="125"/>
    </row>
    <row r="729" spans="23:33" x14ac:dyDescent="0.2">
      <c r="W729" s="122"/>
      <c r="X729" s="123"/>
      <c r="Y729" s="123"/>
      <c r="Z729" s="123"/>
      <c r="AA729" s="124"/>
      <c r="AB729" s="124"/>
      <c r="AC729" s="125"/>
      <c r="AD729" s="125"/>
      <c r="AE729" s="125"/>
      <c r="AF729" s="125"/>
      <c r="AG729" s="125"/>
    </row>
    <row r="730" spans="23:33" x14ac:dyDescent="0.2">
      <c r="W730" s="122"/>
      <c r="X730" s="123"/>
      <c r="Y730" s="123"/>
      <c r="Z730" s="123"/>
      <c r="AA730" s="124"/>
      <c r="AB730" s="124"/>
      <c r="AC730" s="125"/>
      <c r="AD730" s="125"/>
      <c r="AE730" s="125"/>
      <c r="AF730" s="125"/>
      <c r="AG730" s="125"/>
    </row>
    <row r="731" spans="23:33" x14ac:dyDescent="0.2">
      <c r="W731" s="122"/>
      <c r="X731" s="123"/>
      <c r="Y731" s="123"/>
      <c r="Z731" s="123"/>
      <c r="AA731" s="124"/>
      <c r="AB731" s="124"/>
      <c r="AC731" s="125"/>
      <c r="AD731" s="125"/>
      <c r="AE731" s="125"/>
      <c r="AF731" s="125"/>
      <c r="AG731" s="125"/>
    </row>
    <row r="732" spans="23:33" x14ac:dyDescent="0.2">
      <c r="W732" s="122"/>
      <c r="X732" s="123"/>
      <c r="Y732" s="123"/>
      <c r="Z732" s="123"/>
      <c r="AA732" s="124"/>
      <c r="AB732" s="124"/>
      <c r="AC732" s="125"/>
      <c r="AD732" s="125"/>
      <c r="AE732" s="125"/>
      <c r="AF732" s="125"/>
      <c r="AG732" s="125"/>
    </row>
    <row r="733" spans="23:33" x14ac:dyDescent="0.2">
      <c r="W733" s="122"/>
      <c r="X733" s="123"/>
      <c r="Y733" s="123"/>
      <c r="Z733" s="123"/>
      <c r="AA733" s="124"/>
      <c r="AB733" s="124"/>
      <c r="AC733" s="125"/>
      <c r="AD733" s="125"/>
      <c r="AE733" s="125"/>
      <c r="AF733" s="125"/>
      <c r="AG733" s="125"/>
    </row>
    <row r="734" spans="23:33" x14ac:dyDescent="0.2">
      <c r="W734" s="122"/>
      <c r="X734" s="123"/>
      <c r="Y734" s="123"/>
      <c r="Z734" s="123"/>
      <c r="AA734" s="124"/>
      <c r="AB734" s="124"/>
      <c r="AC734" s="125"/>
      <c r="AD734" s="125"/>
      <c r="AE734" s="125"/>
      <c r="AF734" s="125"/>
      <c r="AG734" s="125"/>
    </row>
    <row r="735" spans="23:33" x14ac:dyDescent="0.2">
      <c r="W735" s="122"/>
      <c r="X735" s="123"/>
      <c r="Y735" s="123"/>
      <c r="Z735" s="123"/>
      <c r="AA735" s="124"/>
      <c r="AB735" s="124"/>
      <c r="AC735" s="125"/>
      <c r="AD735" s="125"/>
      <c r="AE735" s="125"/>
      <c r="AF735" s="125"/>
      <c r="AG735" s="125"/>
    </row>
    <row r="736" spans="23:33" x14ac:dyDescent="0.2">
      <c r="W736" s="122"/>
      <c r="X736" s="123"/>
      <c r="Y736" s="123"/>
      <c r="Z736" s="123"/>
      <c r="AA736" s="124"/>
      <c r="AB736" s="124"/>
      <c r="AC736" s="125"/>
      <c r="AD736" s="125"/>
      <c r="AE736" s="125"/>
      <c r="AF736" s="125"/>
      <c r="AG736" s="125"/>
    </row>
    <row r="737" spans="23:33" x14ac:dyDescent="0.2">
      <c r="W737" s="122"/>
      <c r="X737" s="123"/>
      <c r="Y737" s="123"/>
      <c r="Z737" s="123"/>
      <c r="AA737" s="124"/>
      <c r="AB737" s="124"/>
      <c r="AC737" s="125"/>
      <c r="AD737" s="125"/>
      <c r="AE737" s="125"/>
      <c r="AF737" s="125"/>
      <c r="AG737" s="125"/>
    </row>
    <row r="738" spans="23:33" x14ac:dyDescent="0.2">
      <c r="W738" s="122"/>
      <c r="X738" s="123"/>
      <c r="Y738" s="123"/>
      <c r="Z738" s="123"/>
      <c r="AA738" s="124"/>
      <c r="AB738" s="124"/>
      <c r="AC738" s="125"/>
      <c r="AD738" s="125"/>
      <c r="AE738" s="125"/>
      <c r="AF738" s="125"/>
      <c r="AG738" s="125"/>
    </row>
    <row r="739" spans="23:33" x14ac:dyDescent="0.2">
      <c r="W739" s="122"/>
      <c r="X739" s="123"/>
      <c r="Y739" s="123"/>
      <c r="Z739" s="123"/>
      <c r="AA739" s="124"/>
      <c r="AB739" s="124"/>
      <c r="AC739" s="125"/>
      <c r="AD739" s="125"/>
      <c r="AE739" s="125"/>
      <c r="AF739" s="125"/>
      <c r="AG739" s="125"/>
    </row>
    <row r="740" spans="23:33" x14ac:dyDescent="0.2">
      <c r="W740" s="122"/>
      <c r="X740" s="123"/>
      <c r="Y740" s="123"/>
      <c r="Z740" s="123"/>
      <c r="AA740" s="124"/>
      <c r="AB740" s="124"/>
      <c r="AC740" s="125"/>
      <c r="AD740" s="125"/>
      <c r="AE740" s="125"/>
      <c r="AF740" s="125"/>
      <c r="AG740" s="125"/>
    </row>
    <row r="741" spans="23:33" x14ac:dyDescent="0.2">
      <c r="W741" s="122"/>
      <c r="X741" s="123"/>
      <c r="Y741" s="123"/>
      <c r="Z741" s="123"/>
      <c r="AA741" s="124"/>
      <c r="AB741" s="124"/>
      <c r="AC741" s="125"/>
      <c r="AD741" s="125"/>
      <c r="AE741" s="125"/>
      <c r="AF741" s="125"/>
      <c r="AG741" s="125"/>
    </row>
    <row r="742" spans="23:33" x14ac:dyDescent="0.2">
      <c r="W742" s="122"/>
      <c r="X742" s="123"/>
      <c r="Y742" s="123"/>
      <c r="Z742" s="123"/>
      <c r="AA742" s="124"/>
      <c r="AB742" s="124"/>
      <c r="AC742" s="125"/>
      <c r="AD742" s="125"/>
      <c r="AE742" s="125"/>
      <c r="AF742" s="125"/>
      <c r="AG742" s="125"/>
    </row>
    <row r="743" spans="23:33" x14ac:dyDescent="0.2">
      <c r="W743" s="122"/>
      <c r="X743" s="123"/>
      <c r="Y743" s="123"/>
      <c r="Z743" s="123"/>
      <c r="AA743" s="124"/>
      <c r="AB743" s="124"/>
      <c r="AC743" s="125"/>
      <c r="AD743" s="125"/>
      <c r="AE743" s="125"/>
      <c r="AF743" s="125"/>
      <c r="AG743" s="125"/>
    </row>
    <row r="744" spans="23:33" x14ac:dyDescent="0.2">
      <c r="W744" s="122"/>
      <c r="X744" s="123"/>
      <c r="Y744" s="123"/>
      <c r="Z744" s="123"/>
      <c r="AA744" s="124"/>
      <c r="AB744" s="124"/>
      <c r="AC744" s="125"/>
      <c r="AD744" s="125"/>
      <c r="AE744" s="125"/>
      <c r="AF744" s="125"/>
      <c r="AG744" s="125"/>
    </row>
    <row r="745" spans="23:33" x14ac:dyDescent="0.2">
      <c r="W745" s="122"/>
      <c r="X745" s="123"/>
      <c r="Y745" s="123"/>
      <c r="Z745" s="123"/>
      <c r="AA745" s="124"/>
      <c r="AB745" s="124"/>
      <c r="AC745" s="125"/>
      <c r="AD745" s="125"/>
      <c r="AE745" s="125"/>
      <c r="AF745" s="125"/>
      <c r="AG745" s="125"/>
    </row>
    <row r="746" spans="23:33" x14ac:dyDescent="0.2">
      <c r="W746" s="122"/>
      <c r="X746" s="123"/>
      <c r="Y746" s="123"/>
      <c r="Z746" s="123"/>
      <c r="AA746" s="124"/>
      <c r="AB746" s="124"/>
      <c r="AC746" s="125"/>
      <c r="AD746" s="125"/>
      <c r="AE746" s="125"/>
      <c r="AF746" s="125"/>
      <c r="AG746" s="125"/>
    </row>
    <row r="747" spans="23:33" x14ac:dyDescent="0.2">
      <c r="W747" s="122"/>
      <c r="X747" s="123"/>
      <c r="Y747" s="123"/>
      <c r="Z747" s="123"/>
      <c r="AA747" s="124"/>
      <c r="AB747" s="124"/>
      <c r="AC747" s="125"/>
      <c r="AD747" s="125"/>
      <c r="AE747" s="125"/>
      <c r="AF747" s="125"/>
      <c r="AG747" s="125"/>
    </row>
    <row r="748" spans="23:33" x14ac:dyDescent="0.2">
      <c r="W748" s="122"/>
      <c r="X748" s="123"/>
      <c r="Y748" s="123"/>
      <c r="Z748" s="123"/>
      <c r="AA748" s="124"/>
      <c r="AB748" s="124"/>
      <c r="AC748" s="125"/>
      <c r="AD748" s="125"/>
      <c r="AE748" s="125"/>
      <c r="AF748" s="125"/>
      <c r="AG748" s="125"/>
    </row>
    <row r="749" spans="23:33" x14ac:dyDescent="0.2">
      <c r="W749" s="122"/>
      <c r="X749" s="123"/>
      <c r="Y749" s="123"/>
      <c r="Z749" s="123"/>
      <c r="AA749" s="124"/>
      <c r="AB749" s="124"/>
      <c r="AC749" s="125"/>
      <c r="AD749" s="125"/>
      <c r="AE749" s="125"/>
      <c r="AF749" s="125"/>
      <c r="AG749" s="125"/>
    </row>
    <row r="750" spans="23:33" x14ac:dyDescent="0.2">
      <c r="W750" s="122"/>
      <c r="X750" s="123"/>
      <c r="Y750" s="123"/>
      <c r="Z750" s="123"/>
      <c r="AA750" s="124"/>
      <c r="AB750" s="124"/>
      <c r="AC750" s="125"/>
      <c r="AD750" s="125"/>
      <c r="AE750" s="125"/>
      <c r="AF750" s="125"/>
      <c r="AG750" s="125"/>
    </row>
    <row r="751" spans="23:33" x14ac:dyDescent="0.2">
      <c r="W751" s="122"/>
      <c r="X751" s="123"/>
      <c r="Y751" s="123"/>
      <c r="Z751" s="123"/>
      <c r="AA751" s="124"/>
      <c r="AB751" s="124"/>
      <c r="AC751" s="125"/>
      <c r="AD751" s="125"/>
      <c r="AE751" s="125"/>
      <c r="AF751" s="125"/>
      <c r="AG751" s="125"/>
    </row>
    <row r="752" spans="23:33" x14ac:dyDescent="0.2">
      <c r="W752" s="122"/>
      <c r="X752" s="123"/>
      <c r="Y752" s="123"/>
      <c r="Z752" s="123"/>
      <c r="AA752" s="124"/>
      <c r="AB752" s="124"/>
      <c r="AC752" s="125"/>
      <c r="AD752" s="125"/>
      <c r="AE752" s="125"/>
      <c r="AF752" s="125"/>
      <c r="AG752" s="125"/>
    </row>
    <row r="753" spans="23:33" x14ac:dyDescent="0.2">
      <c r="W753" s="122"/>
      <c r="X753" s="123"/>
      <c r="Y753" s="123"/>
      <c r="Z753" s="123"/>
      <c r="AA753" s="124"/>
      <c r="AB753" s="124"/>
      <c r="AC753" s="125"/>
      <c r="AD753" s="125"/>
      <c r="AE753" s="125"/>
      <c r="AF753" s="125"/>
      <c r="AG753" s="125"/>
    </row>
    <row r="754" spans="23:33" x14ac:dyDescent="0.2">
      <c r="W754" s="122"/>
      <c r="X754" s="123"/>
      <c r="Y754" s="123"/>
      <c r="Z754" s="123"/>
      <c r="AA754" s="124"/>
      <c r="AB754" s="124"/>
      <c r="AC754" s="125"/>
      <c r="AD754" s="125"/>
      <c r="AE754" s="125"/>
      <c r="AF754" s="125"/>
      <c r="AG754" s="125"/>
    </row>
    <row r="755" spans="23:33" x14ac:dyDescent="0.2">
      <c r="W755" s="122"/>
      <c r="X755" s="123"/>
      <c r="Y755" s="123"/>
      <c r="Z755" s="123"/>
      <c r="AA755" s="124"/>
      <c r="AB755" s="124"/>
      <c r="AC755" s="125"/>
      <c r="AD755" s="125"/>
      <c r="AE755" s="125"/>
      <c r="AF755" s="125"/>
      <c r="AG755" s="125"/>
    </row>
    <row r="756" spans="23:33" x14ac:dyDescent="0.2">
      <c r="W756" s="122"/>
      <c r="X756" s="123"/>
      <c r="Y756" s="123"/>
      <c r="Z756" s="123"/>
      <c r="AA756" s="124"/>
      <c r="AB756" s="124"/>
      <c r="AC756" s="125"/>
      <c r="AD756" s="125"/>
      <c r="AE756" s="125"/>
      <c r="AF756" s="125"/>
      <c r="AG756" s="125"/>
    </row>
    <row r="757" spans="23:33" x14ac:dyDescent="0.2">
      <c r="W757" s="122"/>
      <c r="X757" s="123"/>
      <c r="Y757" s="123"/>
      <c r="Z757" s="123"/>
      <c r="AA757" s="124"/>
      <c r="AB757" s="124"/>
      <c r="AC757" s="125"/>
      <c r="AD757" s="125"/>
      <c r="AE757" s="125"/>
      <c r="AF757" s="125"/>
      <c r="AG757" s="125"/>
    </row>
    <row r="758" spans="23:33" x14ac:dyDescent="0.2">
      <c r="W758" s="122"/>
      <c r="X758" s="123"/>
      <c r="Y758" s="123"/>
      <c r="Z758" s="123"/>
      <c r="AA758" s="124"/>
      <c r="AB758" s="124"/>
      <c r="AC758" s="125"/>
      <c r="AD758" s="125"/>
      <c r="AE758" s="125"/>
      <c r="AF758" s="125"/>
      <c r="AG758" s="125"/>
    </row>
    <row r="759" spans="23:33" x14ac:dyDescent="0.2">
      <c r="W759" s="122"/>
      <c r="X759" s="123"/>
      <c r="Y759" s="123"/>
      <c r="Z759" s="123"/>
      <c r="AA759" s="124"/>
      <c r="AB759" s="124"/>
      <c r="AC759" s="125"/>
      <c r="AD759" s="125"/>
      <c r="AE759" s="125"/>
      <c r="AF759" s="125"/>
      <c r="AG759" s="125"/>
    </row>
    <row r="760" spans="23:33" x14ac:dyDescent="0.2">
      <c r="W760" s="122"/>
      <c r="X760" s="123"/>
      <c r="Y760" s="123"/>
      <c r="Z760" s="123"/>
      <c r="AA760" s="124"/>
      <c r="AB760" s="124"/>
      <c r="AC760" s="125"/>
      <c r="AD760" s="125"/>
      <c r="AE760" s="125"/>
      <c r="AF760" s="125"/>
      <c r="AG760" s="125"/>
    </row>
    <row r="761" spans="23:33" x14ac:dyDescent="0.2">
      <c r="W761" s="122"/>
      <c r="X761" s="123"/>
      <c r="Y761" s="123"/>
      <c r="Z761" s="123"/>
      <c r="AA761" s="124"/>
      <c r="AB761" s="124"/>
      <c r="AC761" s="125"/>
      <c r="AD761" s="125"/>
      <c r="AE761" s="125"/>
      <c r="AF761" s="125"/>
      <c r="AG761" s="125"/>
    </row>
    <row r="762" spans="23:33" x14ac:dyDescent="0.2">
      <c r="W762" s="122"/>
      <c r="X762" s="123"/>
      <c r="Y762" s="123"/>
      <c r="Z762" s="123"/>
      <c r="AA762" s="124"/>
      <c r="AB762" s="124"/>
      <c r="AC762" s="125"/>
      <c r="AD762" s="125"/>
      <c r="AE762" s="125"/>
      <c r="AF762" s="125"/>
      <c r="AG762" s="125"/>
    </row>
    <row r="763" spans="23:33" x14ac:dyDescent="0.2">
      <c r="W763" s="122"/>
      <c r="X763" s="123"/>
      <c r="Y763" s="123"/>
      <c r="Z763" s="123"/>
      <c r="AA763" s="124"/>
      <c r="AB763" s="124"/>
      <c r="AC763" s="125"/>
      <c r="AD763" s="125"/>
      <c r="AE763" s="125"/>
      <c r="AF763" s="125"/>
      <c r="AG763" s="125"/>
    </row>
    <row r="764" spans="23:33" x14ac:dyDescent="0.2">
      <c r="W764" s="122"/>
      <c r="X764" s="123"/>
      <c r="Y764" s="123"/>
      <c r="Z764" s="123"/>
      <c r="AA764" s="124"/>
      <c r="AB764" s="124"/>
      <c r="AC764" s="125"/>
      <c r="AD764" s="125"/>
      <c r="AE764" s="125"/>
      <c r="AF764" s="125"/>
      <c r="AG764" s="125"/>
    </row>
    <row r="765" spans="23:33" x14ac:dyDescent="0.2">
      <c r="W765" s="122"/>
      <c r="X765" s="123"/>
      <c r="Y765" s="123"/>
      <c r="Z765" s="123"/>
      <c r="AA765" s="124"/>
      <c r="AB765" s="124"/>
      <c r="AC765" s="125"/>
      <c r="AD765" s="125"/>
      <c r="AE765" s="125"/>
      <c r="AF765" s="125"/>
      <c r="AG765" s="125"/>
    </row>
    <row r="766" spans="23:33" x14ac:dyDescent="0.2">
      <c r="W766" s="122"/>
      <c r="X766" s="123"/>
      <c r="Y766" s="123"/>
      <c r="Z766" s="123"/>
      <c r="AA766" s="124"/>
      <c r="AB766" s="124"/>
      <c r="AC766" s="125"/>
      <c r="AD766" s="125"/>
      <c r="AE766" s="125"/>
      <c r="AF766" s="125"/>
      <c r="AG766" s="125"/>
    </row>
    <row r="767" spans="23:33" x14ac:dyDescent="0.2">
      <c r="W767" s="122"/>
      <c r="X767" s="123"/>
      <c r="Y767" s="123"/>
      <c r="Z767" s="123"/>
      <c r="AA767" s="124"/>
      <c r="AB767" s="124"/>
      <c r="AC767" s="125"/>
      <c r="AD767" s="125"/>
      <c r="AE767" s="125"/>
      <c r="AF767" s="125"/>
      <c r="AG767" s="125"/>
    </row>
    <row r="768" spans="23:33" x14ac:dyDescent="0.2">
      <c r="W768" s="122"/>
      <c r="X768" s="123"/>
      <c r="Y768" s="123"/>
      <c r="Z768" s="123"/>
      <c r="AA768" s="124"/>
      <c r="AB768" s="124"/>
      <c r="AC768" s="125"/>
      <c r="AD768" s="125"/>
      <c r="AE768" s="125"/>
      <c r="AF768" s="125"/>
      <c r="AG768" s="125"/>
    </row>
    <row r="769" spans="23:33" x14ac:dyDescent="0.2">
      <c r="W769" s="122"/>
      <c r="X769" s="123"/>
      <c r="Y769" s="123"/>
      <c r="Z769" s="123"/>
      <c r="AA769" s="124"/>
      <c r="AB769" s="124"/>
      <c r="AC769" s="125"/>
      <c r="AD769" s="125"/>
      <c r="AE769" s="125"/>
      <c r="AF769" s="125"/>
      <c r="AG769" s="125"/>
    </row>
    <row r="770" spans="23:33" x14ac:dyDescent="0.2">
      <c r="W770" s="122"/>
      <c r="X770" s="123"/>
      <c r="Y770" s="123"/>
      <c r="Z770" s="123"/>
      <c r="AA770" s="124"/>
      <c r="AB770" s="124"/>
      <c r="AC770" s="125"/>
      <c r="AD770" s="125"/>
      <c r="AE770" s="125"/>
      <c r="AF770" s="125"/>
      <c r="AG770" s="125"/>
    </row>
    <row r="771" spans="23:33" x14ac:dyDescent="0.2">
      <c r="W771" s="122"/>
      <c r="X771" s="123"/>
      <c r="Y771" s="123"/>
      <c r="Z771" s="123"/>
      <c r="AA771" s="124"/>
      <c r="AB771" s="124"/>
      <c r="AC771" s="125"/>
      <c r="AD771" s="125"/>
      <c r="AE771" s="125"/>
      <c r="AF771" s="125"/>
      <c r="AG771" s="125"/>
    </row>
    <row r="772" spans="23:33" x14ac:dyDescent="0.2">
      <c r="W772" s="122"/>
      <c r="X772" s="123"/>
      <c r="Y772" s="123"/>
      <c r="Z772" s="123"/>
      <c r="AA772" s="124"/>
      <c r="AB772" s="124"/>
      <c r="AC772" s="125"/>
      <c r="AD772" s="125"/>
      <c r="AE772" s="125"/>
      <c r="AF772" s="125"/>
      <c r="AG772" s="125"/>
    </row>
    <row r="773" spans="23:33" x14ac:dyDescent="0.2">
      <c r="W773" s="122"/>
      <c r="X773" s="123"/>
      <c r="Y773" s="123"/>
      <c r="Z773" s="123"/>
      <c r="AA773" s="124"/>
      <c r="AB773" s="124"/>
      <c r="AC773" s="125"/>
      <c r="AD773" s="125"/>
      <c r="AE773" s="125"/>
      <c r="AF773" s="125"/>
      <c r="AG773" s="125"/>
    </row>
    <row r="774" spans="23:33" x14ac:dyDescent="0.2">
      <c r="W774" s="122"/>
      <c r="X774" s="123"/>
      <c r="Y774" s="123"/>
      <c r="Z774" s="123"/>
      <c r="AA774" s="124"/>
      <c r="AB774" s="124"/>
      <c r="AC774" s="125"/>
      <c r="AD774" s="125"/>
      <c r="AE774" s="125"/>
      <c r="AF774" s="125"/>
      <c r="AG774" s="125"/>
    </row>
    <row r="775" spans="23:33" x14ac:dyDescent="0.2">
      <c r="W775" s="122"/>
      <c r="X775" s="123"/>
      <c r="Y775" s="123"/>
      <c r="Z775" s="123"/>
      <c r="AA775" s="124"/>
      <c r="AB775" s="124"/>
      <c r="AC775" s="125"/>
      <c r="AD775" s="125"/>
      <c r="AE775" s="125"/>
      <c r="AF775" s="125"/>
      <c r="AG775" s="125"/>
    </row>
    <row r="776" spans="23:33" x14ac:dyDescent="0.2">
      <c r="W776" s="122"/>
      <c r="X776" s="123"/>
      <c r="Y776" s="123"/>
      <c r="Z776" s="123"/>
      <c r="AA776" s="124"/>
      <c r="AB776" s="124"/>
      <c r="AC776" s="125"/>
      <c r="AD776" s="125"/>
      <c r="AE776" s="125"/>
      <c r="AF776" s="125"/>
      <c r="AG776" s="125"/>
    </row>
    <row r="777" spans="23:33" x14ac:dyDescent="0.2">
      <c r="W777" s="122"/>
      <c r="X777" s="123"/>
      <c r="Y777" s="123"/>
      <c r="Z777" s="123"/>
      <c r="AA777" s="124"/>
      <c r="AB777" s="124"/>
      <c r="AC777" s="125"/>
      <c r="AD777" s="125"/>
      <c r="AE777" s="125"/>
      <c r="AF777" s="125"/>
      <c r="AG777" s="125"/>
    </row>
    <row r="778" spans="23:33" x14ac:dyDescent="0.2">
      <c r="W778" s="122"/>
      <c r="X778" s="123"/>
      <c r="Y778" s="123"/>
      <c r="Z778" s="123"/>
      <c r="AA778" s="124"/>
      <c r="AB778" s="124"/>
      <c r="AC778" s="125"/>
      <c r="AD778" s="125"/>
      <c r="AE778" s="125"/>
      <c r="AF778" s="125"/>
      <c r="AG778" s="125"/>
    </row>
    <row r="779" spans="23:33" x14ac:dyDescent="0.2">
      <c r="W779" s="122"/>
      <c r="X779" s="123"/>
      <c r="Y779" s="123"/>
      <c r="Z779" s="123"/>
      <c r="AA779" s="124"/>
      <c r="AB779" s="124"/>
      <c r="AC779" s="125"/>
      <c r="AD779" s="125"/>
      <c r="AE779" s="125"/>
      <c r="AF779" s="125"/>
      <c r="AG779" s="125"/>
    </row>
    <row r="780" spans="23:33" x14ac:dyDescent="0.2">
      <c r="W780" s="122"/>
      <c r="X780" s="123"/>
      <c r="Y780" s="123"/>
      <c r="Z780" s="123"/>
      <c r="AA780" s="124"/>
      <c r="AB780" s="124"/>
      <c r="AC780" s="125"/>
      <c r="AD780" s="125"/>
      <c r="AE780" s="125"/>
      <c r="AF780" s="125"/>
      <c r="AG780" s="125"/>
    </row>
    <row r="781" spans="23:33" x14ac:dyDescent="0.2">
      <c r="W781" s="122"/>
      <c r="X781" s="123"/>
      <c r="Y781" s="123"/>
      <c r="Z781" s="123"/>
      <c r="AA781" s="124"/>
      <c r="AB781" s="124"/>
      <c r="AC781" s="125"/>
      <c r="AD781" s="125"/>
      <c r="AE781" s="125"/>
      <c r="AF781" s="125"/>
      <c r="AG781" s="125"/>
    </row>
    <row r="782" spans="23:33" x14ac:dyDescent="0.2">
      <c r="W782" s="122"/>
      <c r="X782" s="123"/>
      <c r="Y782" s="123"/>
      <c r="Z782" s="123"/>
      <c r="AA782" s="124"/>
      <c r="AB782" s="124"/>
      <c r="AC782" s="125"/>
      <c r="AD782" s="125"/>
      <c r="AE782" s="125"/>
      <c r="AF782" s="125"/>
      <c r="AG782" s="125"/>
    </row>
    <row r="783" spans="23:33" x14ac:dyDescent="0.2">
      <c r="W783" s="122"/>
      <c r="X783" s="123"/>
      <c r="Y783" s="123"/>
      <c r="Z783" s="123"/>
      <c r="AA783" s="124"/>
      <c r="AB783" s="124"/>
      <c r="AC783" s="125"/>
      <c r="AD783" s="125"/>
      <c r="AE783" s="125"/>
      <c r="AF783" s="125"/>
      <c r="AG783" s="125"/>
    </row>
    <row r="784" spans="23:33" x14ac:dyDescent="0.2">
      <c r="W784" s="122"/>
      <c r="X784" s="123"/>
      <c r="Y784" s="123"/>
      <c r="Z784" s="123"/>
      <c r="AA784" s="124"/>
      <c r="AB784" s="124"/>
      <c r="AC784" s="125"/>
      <c r="AD784" s="125"/>
      <c r="AE784" s="125"/>
      <c r="AF784" s="125"/>
      <c r="AG784" s="125"/>
    </row>
    <row r="785" spans="23:33" x14ac:dyDescent="0.2">
      <c r="W785" s="122"/>
      <c r="X785" s="123"/>
      <c r="Y785" s="123"/>
      <c r="Z785" s="123"/>
      <c r="AA785" s="124"/>
      <c r="AB785" s="124"/>
      <c r="AC785" s="125"/>
      <c r="AD785" s="125"/>
      <c r="AE785" s="125"/>
      <c r="AF785" s="125"/>
      <c r="AG785" s="125"/>
    </row>
    <row r="786" spans="23:33" x14ac:dyDescent="0.2">
      <c r="W786" s="122"/>
      <c r="X786" s="123"/>
      <c r="Y786" s="123"/>
      <c r="Z786" s="123"/>
      <c r="AA786" s="124"/>
      <c r="AB786" s="124"/>
      <c r="AC786" s="125"/>
      <c r="AD786" s="125"/>
      <c r="AE786" s="125"/>
      <c r="AF786" s="125"/>
      <c r="AG786" s="125"/>
    </row>
    <row r="787" spans="23:33" x14ac:dyDescent="0.2">
      <c r="W787" s="122"/>
      <c r="X787" s="123"/>
      <c r="Y787" s="123"/>
      <c r="Z787" s="123"/>
      <c r="AA787" s="124"/>
      <c r="AB787" s="124"/>
      <c r="AC787" s="125"/>
      <c r="AD787" s="125"/>
      <c r="AE787" s="125"/>
      <c r="AF787" s="125"/>
      <c r="AG787" s="125"/>
    </row>
    <row r="788" spans="23:33" x14ac:dyDescent="0.2">
      <c r="W788" s="122"/>
      <c r="X788" s="123"/>
      <c r="Y788" s="123"/>
      <c r="Z788" s="123"/>
      <c r="AA788" s="124"/>
      <c r="AB788" s="124"/>
      <c r="AC788" s="125"/>
      <c r="AD788" s="125"/>
      <c r="AE788" s="125"/>
      <c r="AF788" s="125"/>
      <c r="AG788" s="125"/>
    </row>
    <row r="789" spans="23:33" x14ac:dyDescent="0.2">
      <c r="W789" s="122"/>
      <c r="X789" s="123"/>
      <c r="Y789" s="123"/>
      <c r="Z789" s="123"/>
      <c r="AA789" s="124"/>
      <c r="AB789" s="124"/>
      <c r="AC789" s="125"/>
      <c r="AD789" s="125"/>
      <c r="AE789" s="125"/>
      <c r="AF789" s="125"/>
      <c r="AG789" s="125"/>
    </row>
    <row r="790" spans="23:33" x14ac:dyDescent="0.2">
      <c r="W790" s="122"/>
      <c r="X790" s="123"/>
      <c r="Y790" s="123"/>
      <c r="Z790" s="123"/>
      <c r="AA790" s="124"/>
      <c r="AB790" s="124"/>
      <c r="AC790" s="125"/>
      <c r="AD790" s="125"/>
      <c r="AE790" s="125"/>
      <c r="AF790" s="125"/>
      <c r="AG790" s="125"/>
    </row>
    <row r="791" spans="23:33" x14ac:dyDescent="0.2">
      <c r="W791" s="122"/>
      <c r="X791" s="123"/>
      <c r="Y791" s="123"/>
      <c r="Z791" s="123"/>
      <c r="AA791" s="124"/>
      <c r="AB791" s="124"/>
      <c r="AC791" s="125"/>
      <c r="AD791" s="125"/>
      <c r="AE791" s="125"/>
      <c r="AF791" s="125"/>
      <c r="AG791" s="125"/>
    </row>
    <row r="792" spans="23:33" x14ac:dyDescent="0.2">
      <c r="W792" s="122"/>
      <c r="X792" s="123"/>
      <c r="Y792" s="123"/>
      <c r="Z792" s="123"/>
      <c r="AA792" s="124"/>
      <c r="AB792" s="124"/>
      <c r="AC792" s="125"/>
      <c r="AD792" s="125"/>
      <c r="AE792" s="125"/>
      <c r="AF792" s="125"/>
      <c r="AG792" s="125"/>
    </row>
    <row r="793" spans="23:33" x14ac:dyDescent="0.2">
      <c r="W793" s="122"/>
      <c r="X793" s="123"/>
      <c r="Y793" s="123"/>
      <c r="Z793" s="123"/>
      <c r="AA793" s="124"/>
      <c r="AB793" s="124"/>
      <c r="AC793" s="125"/>
      <c r="AD793" s="125"/>
      <c r="AE793" s="125"/>
      <c r="AF793" s="125"/>
      <c r="AG793" s="125"/>
    </row>
    <row r="794" spans="23:33" x14ac:dyDescent="0.2">
      <c r="W794" s="122"/>
      <c r="X794" s="123"/>
      <c r="Y794" s="123"/>
      <c r="Z794" s="123"/>
      <c r="AA794" s="124"/>
      <c r="AB794" s="124"/>
      <c r="AC794" s="125"/>
      <c r="AD794" s="125"/>
      <c r="AE794" s="125"/>
      <c r="AF794" s="125"/>
      <c r="AG794" s="125"/>
    </row>
    <row r="795" spans="23:33" x14ac:dyDescent="0.2">
      <c r="W795" s="122"/>
      <c r="X795" s="123"/>
      <c r="Y795" s="123"/>
      <c r="Z795" s="123"/>
      <c r="AA795" s="124"/>
      <c r="AB795" s="124"/>
      <c r="AC795" s="125"/>
      <c r="AD795" s="125"/>
      <c r="AE795" s="125"/>
      <c r="AF795" s="125"/>
      <c r="AG795" s="125"/>
    </row>
    <row r="796" spans="23:33" x14ac:dyDescent="0.2">
      <c r="W796" s="122"/>
      <c r="X796" s="123"/>
      <c r="Y796" s="123"/>
      <c r="Z796" s="123"/>
      <c r="AA796" s="124"/>
      <c r="AB796" s="124"/>
      <c r="AC796" s="125"/>
      <c r="AD796" s="125"/>
      <c r="AE796" s="125"/>
      <c r="AF796" s="125"/>
      <c r="AG796" s="125"/>
    </row>
    <row r="797" spans="23:33" x14ac:dyDescent="0.2">
      <c r="W797" s="122"/>
      <c r="X797" s="123"/>
      <c r="Y797" s="123"/>
      <c r="Z797" s="123"/>
      <c r="AA797" s="124"/>
      <c r="AB797" s="124"/>
      <c r="AC797" s="125"/>
      <c r="AD797" s="125"/>
      <c r="AE797" s="125"/>
      <c r="AF797" s="125"/>
      <c r="AG797" s="125"/>
    </row>
    <row r="798" spans="23:33" x14ac:dyDescent="0.2">
      <c r="W798" s="122"/>
      <c r="X798" s="123"/>
      <c r="Y798" s="123"/>
      <c r="Z798" s="123"/>
      <c r="AA798" s="124"/>
      <c r="AB798" s="124"/>
      <c r="AC798" s="125"/>
      <c r="AD798" s="125"/>
      <c r="AE798" s="125"/>
      <c r="AF798" s="125"/>
      <c r="AG798" s="125"/>
    </row>
    <row r="799" spans="23:33" x14ac:dyDescent="0.2">
      <c r="W799" s="122"/>
      <c r="X799" s="123"/>
      <c r="Y799" s="123"/>
      <c r="Z799" s="123"/>
      <c r="AA799" s="124"/>
      <c r="AB799" s="124"/>
      <c r="AC799" s="125"/>
      <c r="AD799" s="125"/>
      <c r="AE799" s="125"/>
      <c r="AF799" s="125"/>
      <c r="AG799" s="125"/>
    </row>
    <row r="800" spans="23:33" x14ac:dyDescent="0.2">
      <c r="W800" s="122"/>
      <c r="X800" s="123"/>
      <c r="Y800" s="123"/>
      <c r="Z800" s="123"/>
      <c r="AA800" s="124"/>
      <c r="AB800" s="124"/>
      <c r="AC800" s="125"/>
      <c r="AD800" s="125"/>
      <c r="AE800" s="125"/>
      <c r="AF800" s="125"/>
      <c r="AG800" s="125"/>
    </row>
    <row r="801" spans="23:33" x14ac:dyDescent="0.2">
      <c r="W801" s="122"/>
      <c r="X801" s="123"/>
      <c r="Y801" s="123"/>
      <c r="Z801" s="123"/>
      <c r="AA801" s="124"/>
      <c r="AB801" s="124"/>
      <c r="AC801" s="125"/>
      <c r="AD801" s="125"/>
      <c r="AE801" s="125"/>
      <c r="AF801" s="125"/>
      <c r="AG801" s="125"/>
    </row>
    <row r="802" spans="23:33" x14ac:dyDescent="0.2">
      <c r="W802" s="122"/>
      <c r="X802" s="123"/>
      <c r="Y802" s="123"/>
      <c r="Z802" s="123"/>
      <c r="AA802" s="124"/>
      <c r="AB802" s="124"/>
      <c r="AC802" s="125"/>
      <c r="AD802" s="125"/>
      <c r="AE802" s="125"/>
      <c r="AF802" s="125"/>
      <c r="AG802" s="125"/>
    </row>
    <row r="803" spans="23:33" x14ac:dyDescent="0.2">
      <c r="W803" s="122"/>
      <c r="X803" s="123"/>
      <c r="Y803" s="123"/>
      <c r="Z803" s="123"/>
      <c r="AA803" s="124"/>
      <c r="AB803" s="124"/>
      <c r="AC803" s="125"/>
      <c r="AD803" s="125"/>
      <c r="AE803" s="125"/>
      <c r="AF803" s="125"/>
      <c r="AG803" s="125"/>
    </row>
    <row r="804" spans="23:33" x14ac:dyDescent="0.2">
      <c r="W804" s="122"/>
      <c r="X804" s="123"/>
      <c r="Y804" s="123"/>
      <c r="Z804" s="123"/>
      <c r="AA804" s="124"/>
      <c r="AB804" s="124"/>
      <c r="AC804" s="125"/>
      <c r="AD804" s="125"/>
      <c r="AE804" s="125"/>
      <c r="AF804" s="125"/>
      <c r="AG804" s="125"/>
    </row>
    <row r="805" spans="23:33" x14ac:dyDescent="0.2">
      <c r="W805" s="122"/>
      <c r="X805" s="123"/>
      <c r="Y805" s="123"/>
      <c r="Z805" s="123"/>
      <c r="AA805" s="124"/>
      <c r="AB805" s="124"/>
      <c r="AC805" s="125"/>
      <c r="AD805" s="125"/>
      <c r="AE805" s="125"/>
      <c r="AF805" s="125"/>
      <c r="AG805" s="125"/>
    </row>
    <row r="806" spans="23:33" x14ac:dyDescent="0.2">
      <c r="W806" s="122"/>
      <c r="X806" s="123"/>
      <c r="Y806" s="123"/>
      <c r="Z806" s="123"/>
      <c r="AA806" s="124"/>
      <c r="AB806" s="124"/>
      <c r="AC806" s="125"/>
      <c r="AD806" s="125"/>
      <c r="AE806" s="125"/>
      <c r="AF806" s="125"/>
      <c r="AG806" s="125"/>
    </row>
    <row r="807" spans="23:33" x14ac:dyDescent="0.2">
      <c r="W807" s="122"/>
      <c r="X807" s="123"/>
      <c r="Y807" s="123"/>
      <c r="Z807" s="123"/>
      <c r="AA807" s="124"/>
      <c r="AB807" s="124"/>
      <c r="AC807" s="125"/>
      <c r="AD807" s="125"/>
      <c r="AE807" s="125"/>
      <c r="AF807" s="125"/>
      <c r="AG807" s="125"/>
    </row>
    <row r="808" spans="23:33" x14ac:dyDescent="0.2">
      <c r="W808" s="122"/>
      <c r="X808" s="123"/>
      <c r="Y808" s="123"/>
      <c r="Z808" s="123"/>
      <c r="AA808" s="124"/>
      <c r="AB808" s="124"/>
      <c r="AC808" s="125"/>
      <c r="AD808" s="125"/>
      <c r="AE808" s="125"/>
      <c r="AF808" s="125"/>
      <c r="AG808" s="125"/>
    </row>
    <row r="809" spans="23:33" x14ac:dyDescent="0.2">
      <c r="W809" s="122"/>
      <c r="X809" s="123"/>
      <c r="Y809" s="123"/>
      <c r="Z809" s="123"/>
      <c r="AA809" s="124"/>
      <c r="AB809" s="124"/>
      <c r="AC809" s="125"/>
      <c r="AD809" s="125"/>
      <c r="AE809" s="125"/>
      <c r="AF809" s="125"/>
      <c r="AG809" s="125"/>
    </row>
    <row r="810" spans="23:33" x14ac:dyDescent="0.2">
      <c r="W810" s="122"/>
      <c r="X810" s="123"/>
      <c r="Y810" s="123"/>
      <c r="Z810" s="123"/>
      <c r="AA810" s="124"/>
      <c r="AB810" s="124"/>
      <c r="AC810" s="125"/>
      <c r="AD810" s="125"/>
      <c r="AE810" s="125"/>
      <c r="AF810" s="125"/>
      <c r="AG810" s="125"/>
    </row>
    <row r="811" spans="23:33" x14ac:dyDescent="0.2">
      <c r="W811" s="122"/>
      <c r="X811" s="123"/>
      <c r="Y811" s="123"/>
      <c r="Z811" s="123"/>
      <c r="AA811" s="124"/>
      <c r="AB811" s="124"/>
      <c r="AC811" s="125"/>
      <c r="AD811" s="125"/>
      <c r="AE811" s="125"/>
      <c r="AF811" s="125"/>
      <c r="AG811" s="125"/>
    </row>
    <row r="812" spans="23:33" x14ac:dyDescent="0.2">
      <c r="W812" s="122"/>
      <c r="X812" s="123"/>
      <c r="Y812" s="123"/>
      <c r="Z812" s="123"/>
      <c r="AA812" s="124"/>
      <c r="AB812" s="124"/>
      <c r="AC812" s="125"/>
      <c r="AD812" s="125"/>
      <c r="AE812" s="125"/>
      <c r="AF812" s="125"/>
      <c r="AG812" s="125"/>
    </row>
    <row r="813" spans="23:33" x14ac:dyDescent="0.2">
      <c r="W813" s="122"/>
      <c r="X813" s="123"/>
      <c r="Y813" s="123"/>
      <c r="Z813" s="123"/>
      <c r="AA813" s="124"/>
      <c r="AB813" s="124"/>
      <c r="AC813" s="125"/>
      <c r="AD813" s="125"/>
      <c r="AE813" s="125"/>
      <c r="AF813" s="125"/>
      <c r="AG813" s="125"/>
    </row>
    <row r="814" spans="23:33" x14ac:dyDescent="0.2">
      <c r="W814" s="122"/>
      <c r="X814" s="123"/>
      <c r="Y814" s="123"/>
      <c r="Z814" s="123"/>
      <c r="AA814" s="124"/>
      <c r="AB814" s="124"/>
      <c r="AC814" s="125"/>
      <c r="AD814" s="125"/>
      <c r="AE814" s="125"/>
      <c r="AF814" s="125"/>
      <c r="AG814" s="125"/>
    </row>
    <row r="815" spans="23:33" x14ac:dyDescent="0.2">
      <c r="W815" s="122"/>
      <c r="X815" s="123"/>
      <c r="Y815" s="123"/>
      <c r="Z815" s="123"/>
      <c r="AA815" s="124"/>
      <c r="AB815" s="124"/>
      <c r="AC815" s="125"/>
      <c r="AD815" s="125"/>
      <c r="AE815" s="125"/>
      <c r="AF815" s="125"/>
      <c r="AG815" s="125"/>
    </row>
    <row r="816" spans="23:33" x14ac:dyDescent="0.2">
      <c r="W816" s="122"/>
      <c r="X816" s="123"/>
      <c r="Y816" s="123"/>
      <c r="Z816" s="123"/>
      <c r="AA816" s="124"/>
      <c r="AB816" s="124"/>
      <c r="AC816" s="125"/>
      <c r="AD816" s="125"/>
      <c r="AE816" s="125"/>
      <c r="AF816" s="125"/>
      <c r="AG816" s="125"/>
    </row>
  </sheetData>
  <mergeCells count="1">
    <mergeCell ref="AI2:AK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Cornboard Final Data</vt:lpstr>
      <vt:lpstr>Performance</vt:lpstr>
      <vt:lpstr>Final Performance</vt:lpstr>
      <vt:lpstr>Livers 2 Important</vt:lpstr>
      <vt:lpstr>Assign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 Madison</dc:creator>
  <cp:lastModifiedBy>Paige Madison</cp:lastModifiedBy>
  <dcterms:created xsi:type="dcterms:W3CDTF">2025-01-29T16:25:46Z</dcterms:created>
  <dcterms:modified xsi:type="dcterms:W3CDTF">2025-01-29T16:40:43Z</dcterms:modified>
</cp:coreProperties>
</file>